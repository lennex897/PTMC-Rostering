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 firstSheet="8" activeTab="15"/>
  </bookViews>
  <sheets>
    <sheet name="Nov-2024-Roster" sheetId="30" r:id="rId1"/>
    <sheet name="Dec-2024-Roster" sheetId="31" r:id="rId2"/>
    <sheet name="Jan-2025-Roster" sheetId="32" r:id="rId3"/>
    <sheet name="Feb-2025-Roster" sheetId="33" r:id="rId4"/>
    <sheet name="Mar-2025-Roster" sheetId="34" r:id="rId5"/>
    <sheet name="Apr-2025-Roster" sheetId="36" r:id="rId6"/>
    <sheet name="May-2025-Roster" sheetId="37" r:id="rId7"/>
    <sheet name="Jun-2025-Roster" sheetId="38" r:id="rId8"/>
    <sheet name="Jul-2025-Roster" sheetId="41" r:id="rId9"/>
    <sheet name="Feb-2026-Roster" sheetId="42" r:id="rId10"/>
    <sheet name="Mar-2026-Roster" sheetId="43" r:id="rId11"/>
    <sheet name="Apr-2026-Roster" sheetId="44" r:id="rId12"/>
    <sheet name="May-2026-Roster" sheetId="45" r:id="rId13"/>
    <sheet name="Jun-2026 Roster" sheetId="46" r:id="rId14"/>
    <sheet name="Jul-2026 Roster" sheetId="47" r:id="rId15"/>
    <sheet name="Aug-2026 Roster" sheetId="48" r:id="rId16"/>
    <sheet name="Personnel" sheetId="82" r:id="rId17"/>
    <sheet name="Setting key Duty" sheetId="51" r:id="rId18"/>
    <sheet name="GPGX ROLES" sheetId="52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<sst xmlns="http://schemas.openxmlformats.org/spreadsheetml/2006/main" count="9155" uniqueCount="1183">
  <si>
    <t>Type of req:
Reason:</t>
  </si>
  <si>
    <t>Event Log</t>
  </si>
  <si>
    <t>C VACC 2</t>
  </si>
  <si>
    <t>F VACC 2</t>
  </si>
  <si>
    <t>E VACC 1</t>
  </si>
  <si>
    <t>T VACC 1</t>
  </si>
  <si>
    <t>B VACC 1</t>
  </si>
  <si>
    <t>U VACC 2</t>
  </si>
  <si>
    <t>A VACC 1</t>
  </si>
  <si>
    <t>V VACC 2</t>
  </si>
  <si>
    <t>W VACC 2</t>
  </si>
  <si>
    <t>O VACC 2</t>
  </si>
  <si>
    <t>N VACC 1</t>
  </si>
  <si>
    <t>R VACC 2</t>
  </si>
  <si>
    <t>P VACC 1</t>
  </si>
  <si>
    <t>S VACC 1</t>
  </si>
  <si>
    <t>0.3125+0.0625+0.5
long+stay+pass12</t>
  </si>
  <si>
    <t>0.3125+0.125
Long hr+aft 1730</t>
  </si>
  <si>
    <t>0.125+0.125+0.0625
Bef 0730+Aft1730+stay</t>
  </si>
  <si>
    <t>0.125
after 1730</t>
  </si>
  <si>
    <t>stay in+ bef 0730</t>
  </si>
  <si>
    <t>Rostering</t>
  </si>
  <si>
    <t>Weekday Duty</t>
  </si>
  <si>
    <t>Weekday Extra</t>
  </si>
  <si>
    <t>Weekend Duty</t>
  </si>
  <si>
    <t>Weekend Extra</t>
  </si>
  <si>
    <t>Duty Point</t>
  </si>
  <si>
    <t>Total Duty</t>
  </si>
  <si>
    <t>Total Cover</t>
  </si>
  <si>
    <t>Total Point</t>
  </si>
  <si>
    <t>Total Cover
Point</t>
  </si>
  <si>
    <t>Bedok RT</t>
  </si>
  <si>
    <t>BTP</t>
  </si>
  <si>
    <t>$BTP
Point</t>
  </si>
  <si>
    <t>Long Cover</t>
  </si>
  <si>
    <t>$L
Point</t>
  </si>
  <si>
    <t>Mid Cover</t>
  </si>
  <si>
    <t>$M 
Point</t>
  </si>
  <si>
    <t>Cover
 Normal Hour</t>
  </si>
  <si>
    <t>Cover
After Hour</t>
  </si>
  <si>
    <t>$PM
Point</t>
  </si>
  <si>
    <t>Cover
Early</t>
  </si>
  <si>
    <t>$AM
Point</t>
  </si>
  <si>
    <t>$FC
Point</t>
  </si>
  <si>
    <t>Updated on: 26/10/1018</t>
  </si>
  <si>
    <t>BRT</t>
  </si>
  <si>
    <t>$BTP</t>
  </si>
  <si>
    <t>$L</t>
  </si>
  <si>
    <t>$M</t>
  </si>
  <si>
    <t>$N</t>
  </si>
  <si>
    <t>$PM</t>
  </si>
  <si>
    <t>$AM</t>
  </si>
  <si>
    <t>X</t>
  </si>
  <si>
    <t>CFC MUHAMAD HAZMI BIN MOHD ZULKIFLI</t>
  </si>
  <si>
    <t>OL</t>
  </si>
  <si>
    <t>AL</t>
  </si>
  <si>
    <t>CS1</t>
  </si>
  <si>
    <t>DM</t>
  </si>
  <si>
    <t>SB1</t>
  </si>
  <si>
    <t>CS2</t>
  </si>
  <si>
    <t>CPL MUHAMMAD IZZAN RIZAL</t>
  </si>
  <si>
    <t>AMPT</t>
  </si>
  <si>
    <t>LCP KARTHIKRAM KRISHNAN</t>
  </si>
  <si>
    <t>CPL MUHAMMAD AQIL BIN ABDULLAH</t>
  </si>
  <si>
    <t>LCP FARABI BIN ZULKIFLI</t>
  </si>
  <si>
    <t>AE</t>
  </si>
  <si>
    <t>CFC MOHAMAD HIDAYAT BIN MOHAMAD YUSOFF</t>
  </si>
  <si>
    <t>DA</t>
  </si>
  <si>
    <t>LCP MUHAMMAD KHIDIR BIN ZAKARIA</t>
  </si>
  <si>
    <t>MA</t>
  </si>
  <si>
    <t>CPL MOHD AMEER KHAN S/O BASHIR ISMAIL</t>
  </si>
  <si>
    <t>MC</t>
  </si>
  <si>
    <t>LCP ALPHA KELVIN ISAAC BIN MUHAMMAD MCKEVIN LAWRENCE</t>
  </si>
  <si>
    <t>R $FC</t>
  </si>
  <si>
    <t>C $M 12 KM RM (1400-2359)</t>
  </si>
  <si>
    <t>E $M ISAD (0530-2000)</t>
  </si>
  <si>
    <t>LCP RAZIN HILMANSYAH BIN ROSLI</t>
  </si>
  <si>
    <t>B (MALAYSIA)</t>
  </si>
  <si>
    <t>LCP RICKY NG RUIQI</t>
  </si>
  <si>
    <t>LCP MUHAMED AMIR BIN AHMAD FAIZAL</t>
  </si>
  <si>
    <t>BAIL</t>
  </si>
  <si>
    <t>LCP MARK TAN YIH</t>
  </si>
  <si>
    <t>CFC MOK CHENGXUN</t>
  </si>
  <si>
    <t>CPL PANG JUN YUAN</t>
  </si>
  <si>
    <t>LCP SEE WEI ZHI</t>
  </si>
  <si>
    <t>LCP ESWARAN SENTHILKUMAR</t>
  </si>
  <si>
    <t>CFC TAN WAI KEAT</t>
  </si>
  <si>
    <t>LCP WAN FARID BIN ABDULLAH</t>
  </si>
  <si>
    <t>K $FC</t>
  </si>
  <si>
    <t>R $M 12KM RM (1600-2359)</t>
  </si>
  <si>
    <t>H $M RE 12 KM RM (1700 - 2359)</t>
  </si>
  <si>
    <t>PTE JAY DEOL FROST</t>
  </si>
  <si>
    <t>D $FC</t>
  </si>
  <si>
    <t>SB2</t>
  </si>
  <si>
    <t>R $PM PERSMTAFF SOC (1530 -2000)</t>
  </si>
  <si>
    <t>O $FC</t>
  </si>
  <si>
    <t>OFF</t>
  </si>
  <si>
    <t>L $PM ER (1530-2000)</t>
  </si>
  <si>
    <t>H $M 12KM RM (1400-2359)</t>
  </si>
  <si>
    <t>LCP MUHAMMAD AQIL HAMZAH BIN SYELDRICK</t>
  </si>
  <si>
    <t>O $BTP (0530-2359)</t>
  </si>
  <si>
    <t xml:space="preserve">C $AM 8KM (0600-1100) </t>
  </si>
  <si>
    <t>HQ NSMEN $AM IPPT (0530-1000)</t>
  </si>
  <si>
    <t>R $AM 8KM (0600-1000)</t>
  </si>
  <si>
    <t>C $AM IPPT (0500-1100)</t>
  </si>
  <si>
    <t>F $M 12 KM RM (1400-2359)</t>
  </si>
  <si>
    <t>N $AM IPPT (0500-1100)</t>
  </si>
  <si>
    <t>N $M ISAD (0530-2000)</t>
  </si>
  <si>
    <t>PTE JASON TAN JIAN CHEN</t>
  </si>
  <si>
    <t>L $M BIC (0530-2000)</t>
  </si>
  <si>
    <t>F $AM 8KM (0600-1100)</t>
  </si>
  <si>
    <t>L $AM 8KM (0600-1100)</t>
  </si>
  <si>
    <t>K $M HG (0530-2000)</t>
  </si>
  <si>
    <t>O $PM ER (1530 - 20000)</t>
  </si>
  <si>
    <t>K $BTP (0530 -2359)</t>
  </si>
  <si>
    <t>C $M RE-IFC (0600-1500)</t>
  </si>
  <si>
    <t>R $AM IPPT (0530-1000)</t>
  </si>
  <si>
    <t>L $M 12KM RM (1400-2359)</t>
  </si>
  <si>
    <t>H $M RE IFC (0700-1400)</t>
  </si>
  <si>
    <t>PTE MUHAMAD LUTFIL AL-HADI</t>
  </si>
  <si>
    <t>WEDDING</t>
  </si>
  <si>
    <t>PTE JARRETT TSING KEE JIN</t>
  </si>
  <si>
    <t xml:space="preserve"> F $M BIC (0530 -2000)</t>
  </si>
  <si>
    <t>D $AM 8KM (0600-1100)</t>
  </si>
  <si>
    <t>K $PM ER (1530-2000)</t>
  </si>
  <si>
    <t>K $M BIC (0530-2000)</t>
  </si>
  <si>
    <t>F $AM RE-IPPT (0500-1100)</t>
  </si>
  <si>
    <t>O $M HG (0530-2000)</t>
  </si>
  <si>
    <t>COURSE</t>
  </si>
  <si>
    <t>PTE CHEN DENG FENG</t>
  </si>
  <si>
    <t>EXAM</t>
  </si>
  <si>
    <t>L $AM ER (0600-1100)</t>
  </si>
  <si>
    <t>L $AM IPPT (0500-1100)</t>
  </si>
  <si>
    <t>F $AM IPPT (0500-1100)</t>
  </si>
  <si>
    <t>PTE MARK WU</t>
  </si>
  <si>
    <t>H $AM 8KM (0600-1100)</t>
  </si>
  <si>
    <t>D $M BIC (0530-2000)</t>
  </si>
  <si>
    <t>D $M HG (0530-2000)</t>
  </si>
  <si>
    <t>H $PM ER (1530-2000)</t>
  </si>
  <si>
    <t>H $PM IPPT (1530-2000)</t>
  </si>
  <si>
    <t>L $AM PERSMTAFF SOC(0540-1100)</t>
  </si>
  <si>
    <t>SCH1 $M HQ GP REHEARSAL(0800 - 1700)</t>
  </si>
  <si>
    <t>PTE EUAN TING</t>
  </si>
  <si>
    <t>L $PM PERSMTAFF SOC (1530 -2000)</t>
  </si>
  <si>
    <t>D $AM IPPT (0500-1100)</t>
  </si>
  <si>
    <t>D $M 12 KM RM (1400-2359)</t>
  </si>
  <si>
    <t>C $M RE-12KM RM (1400-2359)</t>
  </si>
  <si>
    <t>L $AM PERSMTAFF SOC(0600-1100)</t>
  </si>
  <si>
    <t>Leave a blank row after the last name ^</t>
  </si>
  <si>
    <t>GX24</t>
  </si>
  <si>
    <t>GP</t>
  </si>
  <si>
    <t>LULL PERIOD (NO MORE SB1)</t>
  </si>
  <si>
    <t>CST?</t>
  </si>
  <si>
    <t>CHRISTMAS</t>
  </si>
  <si>
    <t>P VACC 2 (42SAR)</t>
  </si>
  <si>
    <t>S VACC 2 (42SAR) / NEW YEARS EVE</t>
  </si>
  <si>
    <t>Updated on: 26/10/2022</t>
  </si>
  <si>
    <t>CAREER FAIR</t>
  </si>
  <si>
    <t>DENTAL</t>
  </si>
  <si>
    <t>GP STORES</t>
  </si>
  <si>
    <t>GP REHEARSAL</t>
  </si>
  <si>
    <t>GP B</t>
  </si>
  <si>
    <t>MSP</t>
  </si>
  <si>
    <t>BAND</t>
  </si>
  <si>
    <t>PM AL</t>
  </si>
  <si>
    <t>SCH2 $AM TEKONG 8 KM (0515-1100</t>
  </si>
  <si>
    <t>PERFORMANCE</t>
  </si>
  <si>
    <t>HL</t>
  </si>
  <si>
    <t>TX B</t>
  </si>
  <si>
    <t>N $FC</t>
  </si>
  <si>
    <t>SCH1 $AM TEKONG 8KM (0515-1100)</t>
  </si>
  <si>
    <t>CPL MARK TAN YIH</t>
  </si>
  <si>
    <t>PTT</t>
  </si>
  <si>
    <t>RM</t>
  </si>
  <si>
    <t>RM OFF</t>
  </si>
  <si>
    <t>RM RECCE</t>
  </si>
  <si>
    <t>PHLEBO</t>
  </si>
  <si>
    <t>N $AM IPPPT (0500-1100)</t>
  </si>
  <si>
    <t>R $L ATP/CS (0600-2359)</t>
  </si>
  <si>
    <t>SCH 2 $M RE GX (0600-1300)</t>
  </si>
  <si>
    <t>E $AM IPPT (0500-1100)</t>
  </si>
  <si>
    <t>N $AM ER (0600-1100)</t>
  </si>
  <si>
    <t>42SAR $M ISAD (1000-2200)</t>
  </si>
  <si>
    <t>N $PM PS SOC TEST (1600-2000)</t>
  </si>
  <si>
    <t>HQBMTC $M GP REHEARSAL  (0800-1700)</t>
  </si>
  <si>
    <t>B $AM IPPT (0530-1100)</t>
  </si>
  <si>
    <t>OIL</t>
  </si>
  <si>
    <t>H $L ATP/CS (0515-2359)</t>
  </si>
  <si>
    <t>A $AM IPPT (0500-1100)</t>
  </si>
  <si>
    <t>PTE GERALD TAN</t>
  </si>
  <si>
    <t>UIP</t>
  </si>
  <si>
    <t>PTE FANG JIANGRUI</t>
  </si>
  <si>
    <t>PTE HO SHENGHUI HAYDEN</t>
  </si>
  <si>
    <t>PTE CHIA TECK IAN</t>
  </si>
  <si>
    <t>PTE ADBEEL YEO</t>
  </si>
  <si>
    <t>PTE QUEK ZI YI</t>
  </si>
  <si>
    <t>NEW YEARS</t>
  </si>
  <si>
    <t>DE</t>
  </si>
  <si>
    <t>U VACC 1 (42SAR)</t>
  </si>
  <si>
    <t>N VACC 2</t>
  </si>
  <si>
    <t>P VACC 1 (BMT)</t>
  </si>
  <si>
    <t>T VACC 1 (42SAR)</t>
  </si>
  <si>
    <t>F VACC 1</t>
  </si>
  <si>
    <t>MSP / L VACC 1</t>
  </si>
  <si>
    <t>M VACC 1</t>
  </si>
  <si>
    <t>R VACC 1</t>
  </si>
  <si>
    <t>K VACC 1</t>
  </si>
  <si>
    <t>CONFINEMENT ENDS</t>
  </si>
  <si>
    <t>CNY EVE</t>
  </si>
  <si>
    <t>CNY</t>
  </si>
  <si>
    <t>d</t>
  </si>
  <si>
    <t>CPL KARTHIKRAM KRISHNAN</t>
  </si>
  <si>
    <t>AMEER/WAN BACK UP</t>
  </si>
  <si>
    <t>FARABI BACK UP</t>
  </si>
  <si>
    <t>BCLS COURSE</t>
  </si>
  <si>
    <t>CPL FARABI BIN ZULKIFLI</t>
  </si>
  <si>
    <t>PM OFF</t>
  </si>
  <si>
    <t>N $PM CC (1530-2000)</t>
  </si>
  <si>
    <t>DISPENSE COURSE</t>
  </si>
  <si>
    <t>N $PM SOC (1530-2000)</t>
  </si>
  <si>
    <t>A $AM IPPT (0500-1000)</t>
  </si>
  <si>
    <t>B $AM IPPT(0500-1100)</t>
  </si>
  <si>
    <t xml:space="preserve">AMPT </t>
  </si>
  <si>
    <t>MM</t>
  </si>
  <si>
    <t>CPL RICKY NG RUIQI</t>
  </si>
  <si>
    <t>RC $FC</t>
  </si>
  <si>
    <t>CPL MUHAMED AMIR BIN AHMAD FAIZAL</t>
  </si>
  <si>
    <t>N $M HG (0515-2000)</t>
  </si>
  <si>
    <t xml:space="preserve"> M $AM IPPT (0500-1100)</t>
  </si>
  <si>
    <t>BIRTHDAY</t>
  </si>
  <si>
    <t>N $BTP (0515-2359)</t>
  </si>
  <si>
    <t>E $FC</t>
  </si>
  <si>
    <t>STAY IN</t>
  </si>
  <si>
    <t>CPL WAN FARID BIN ABDULLAH</t>
  </si>
  <si>
    <t>N $PM CC (1530-20000</t>
  </si>
  <si>
    <t>R $AM CC (0600-1000)</t>
  </si>
  <si>
    <t>L $AM CC (0600-1100)</t>
  </si>
  <si>
    <t>A $BTP (0530-2359)</t>
  </si>
  <si>
    <t>B $BTP (0630-2359)</t>
  </si>
  <si>
    <t>ALPHA BACK UP</t>
  </si>
  <si>
    <t>A $M HG (0530-2000)</t>
  </si>
  <si>
    <t>M $AM IPPT (0500-1100</t>
  </si>
  <si>
    <t>A $FC</t>
  </si>
  <si>
    <t>FC OFF?</t>
  </si>
  <si>
    <t>B $AM IPPT (0500-1100)</t>
  </si>
  <si>
    <t>R $AM IPPT (0500-1000)</t>
  </si>
  <si>
    <t>K $AM ER (0600-1100)</t>
  </si>
  <si>
    <t>R $PM SOC (1530-2000)</t>
  </si>
  <si>
    <t>R $PM IPPT (1500-2000)</t>
  </si>
  <si>
    <t>BACKUP</t>
  </si>
  <si>
    <t>F $AM CC (0600-1100)</t>
  </si>
  <si>
    <t>F $AM IPPT(0500-1100)</t>
  </si>
  <si>
    <t>L $M HG (0515-2000)</t>
  </si>
  <si>
    <t>PM MA</t>
  </si>
  <si>
    <t>SHADOW?</t>
  </si>
  <si>
    <t>E $BTP (0530-2359)</t>
  </si>
  <si>
    <t>B $FC</t>
  </si>
  <si>
    <t>F $M ISAD (0530-2000)</t>
  </si>
  <si>
    <t>M $AM CC (0600-1100)</t>
  </si>
  <si>
    <t>F $M HG (0530-2000)</t>
  </si>
  <si>
    <t>R $BTP (0530-2359)</t>
  </si>
  <si>
    <t>AM MA</t>
  </si>
  <si>
    <t>PTE APPLE YEO</t>
  </si>
  <si>
    <t>M $M ISAD (0515-2000)</t>
  </si>
  <si>
    <t>A VACC 2</t>
  </si>
  <si>
    <t>B VACC 2</t>
  </si>
  <si>
    <t>E VACC 2</t>
  </si>
  <si>
    <t>P VACC 2</t>
  </si>
  <si>
    <t>J VACC 1</t>
  </si>
  <si>
    <t>L VACC 2 M VACC 2</t>
  </si>
  <si>
    <t>K VACC 2</t>
  </si>
  <si>
    <t>W VACC 1</t>
  </si>
  <si>
    <t>T VACC 2</t>
  </si>
  <si>
    <t>V VACC 1</t>
  </si>
  <si>
    <t>N $AM 8KM (0600-1100)</t>
  </si>
  <si>
    <t>J $AM IPPT (0500-1100)</t>
  </si>
  <si>
    <t>M $AM 8KM (0600-1100)</t>
  </si>
  <si>
    <t>UNC</t>
  </si>
  <si>
    <t>CHALET</t>
  </si>
  <si>
    <t>E $M HG (0530-2000)</t>
  </si>
  <si>
    <t>NSMEN $AM IPPT</t>
  </si>
  <si>
    <t>F $BTP (0530-2359)</t>
  </si>
  <si>
    <t>L $M RE-IFC (0530-1500)</t>
  </si>
  <si>
    <t>SCH1 $M GP REHEARSAL (0700-1700)</t>
  </si>
  <si>
    <t>S $M RE-SIT TEST (1800-2359)</t>
  </si>
  <si>
    <t>S $M RE-SIT TEST (0000-1800)</t>
  </si>
  <si>
    <t>LCP JAY DEOL FROST</t>
  </si>
  <si>
    <t>R $M 12KM (1615 - 2359)</t>
  </si>
  <si>
    <t>E $AM REIPPT (0500-1100)</t>
  </si>
  <si>
    <t>LCP JASON TAN JIAN CHEN</t>
  </si>
  <si>
    <t>E $AM 8KM (0600-1100)</t>
  </si>
  <si>
    <t>N $M 12KM (1400-2359)</t>
  </si>
  <si>
    <t>FC OFF</t>
  </si>
  <si>
    <t>J $M ISAD (0515-2000)</t>
  </si>
  <si>
    <t>SCH1 HQ $M GP REHEARSAL (0700-1700)</t>
  </si>
  <si>
    <t>A $AM 8KM (0600-1100)</t>
  </si>
  <si>
    <t>M $PM IPPT (1500-2000)</t>
  </si>
  <si>
    <t>K $M HG (0515-2000)</t>
  </si>
  <si>
    <t>D</t>
  </si>
  <si>
    <t>B $M REIFC (0700-1300)</t>
  </si>
  <si>
    <t>CFC MARK TAN YIH</t>
  </si>
  <si>
    <t>BYE :(</t>
  </si>
  <si>
    <t>LCP CHEN DENG FENG</t>
  </si>
  <si>
    <t>B $M BIC (0530-2000)</t>
  </si>
  <si>
    <t>R $M HG (0500-2000)</t>
  </si>
  <si>
    <t>F $M RE12KM (1400-2359)</t>
  </si>
  <si>
    <t>LCP EUAN TING</t>
  </si>
  <si>
    <t>N $AM PS SOC (0600-1100)</t>
  </si>
  <si>
    <t>K $BTP (0515-2359)</t>
  </si>
  <si>
    <t>R $AM PS SOC (0600-1000)</t>
  </si>
  <si>
    <t>L $M 12KM (1400-2359)</t>
  </si>
  <si>
    <t>N $M BIC (0630-1400)</t>
  </si>
  <si>
    <t>LCP MARK WU</t>
  </si>
  <si>
    <t>FCOFF</t>
  </si>
  <si>
    <t>6TH $AM ICT IPPT (0500-1030)</t>
  </si>
  <si>
    <t>E $M 12KM (1400-2359)</t>
  </si>
  <si>
    <t>L $AM PS SOC (0600-1100)</t>
  </si>
  <si>
    <t>K $M BIC (1000-1700)</t>
  </si>
  <si>
    <t>HQ NSMEN $AM IPPT</t>
  </si>
  <si>
    <t>HQ $M BLAST GRENADE TRIALS (0800-1800)</t>
  </si>
  <si>
    <t>A $PM PS SOC (1500-2000)</t>
  </si>
  <si>
    <t>L $M BIC (0515-2000)</t>
  </si>
  <si>
    <t>L $AM PS SOC(0600-1100)</t>
  </si>
  <si>
    <t>B $M HG (0530-2000)</t>
  </si>
  <si>
    <t>B $AM 8KM (0600-1100)</t>
  </si>
  <si>
    <t>F $M BIC (0530-2000)</t>
  </si>
  <si>
    <t>N $M BIC (0515-2000)</t>
  </si>
  <si>
    <t>N $M RE 12 KM (1400-2359)</t>
  </si>
  <si>
    <t>C $M ISAD (0530-2000)</t>
  </si>
  <si>
    <t>F $FC</t>
  </si>
  <si>
    <t>L $BTP (0515-2359)</t>
  </si>
  <si>
    <t>A $M 12KM (1400-2359)</t>
  </si>
  <si>
    <t>L $M RE 12 KM (1400-2359)</t>
  </si>
  <si>
    <t>M $PM CC (1530-2000)</t>
  </si>
  <si>
    <t>N $PM PS SOC (1530-2000)</t>
  </si>
  <si>
    <t>N $PM ER (1530-2000)</t>
  </si>
  <si>
    <t>N $PM IPPT (1530-2000)</t>
  </si>
  <si>
    <t>A $PM SOC ( 1530-2000)</t>
  </si>
  <si>
    <t>R $PM IPPT (1530-2000)</t>
  </si>
  <si>
    <t>L $FC</t>
  </si>
  <si>
    <t>L $BTP (0515 -2359)</t>
  </si>
  <si>
    <t>F $M 12KM (1400-2359)</t>
  </si>
  <si>
    <t>K $M RE 12 KM (1400-2359)</t>
  </si>
  <si>
    <t>R $M BIC (0500-1200)</t>
  </si>
  <si>
    <t>RAMADHAN STARTS</t>
  </si>
  <si>
    <t>GRADUATION</t>
  </si>
  <si>
    <t>D VACC 1</t>
  </si>
  <si>
    <t>C VACC 1</t>
  </si>
  <si>
    <t>HARI RAYA</t>
  </si>
  <si>
    <t>USS</t>
  </si>
  <si>
    <t>RESERVE</t>
  </si>
  <si>
    <t>CNY OFF</t>
  </si>
  <si>
    <r>
      <rPr>
        <b/>
        <sz val="9"/>
        <color rgb="FF000000"/>
        <rFont val="Times New Roman"/>
        <charset val="134"/>
      </rPr>
      <t>PMO</t>
    </r>
    <r>
      <rPr>
        <b/>
        <sz val="1"/>
        <color rgb="FF000000"/>
        <rFont val="Times New Roman"/>
        <charset val="134"/>
      </rPr>
      <t>FF</t>
    </r>
  </si>
  <si>
    <t>CPL RAZIN HILMANSYAH BIN ROSLI</t>
  </si>
  <si>
    <t>J $AM ER (0600-1100)</t>
  </si>
  <si>
    <t>CPL SEE WEI ZHI</t>
  </si>
  <si>
    <t>SCH 1/2 $BTP (0530-2359)</t>
  </si>
  <si>
    <t>REGX $AM (0630-0900)</t>
  </si>
  <si>
    <t xml:space="preserve">AM MA </t>
  </si>
  <si>
    <t>K $AM SOC</t>
  </si>
  <si>
    <t>SCH 3/4 $BTP (0530-2359)</t>
  </si>
  <si>
    <t>TPP $AM IPPT (0600-1100)</t>
  </si>
  <si>
    <t>SURGERY</t>
  </si>
  <si>
    <t>BYE</t>
  </si>
  <si>
    <t>RC $FC (0500-2100)</t>
  </si>
  <si>
    <t>PTE EKLAYVA</t>
  </si>
  <si>
    <t>PTE ASHWIN</t>
  </si>
  <si>
    <t>PTE ZHONGHAO</t>
  </si>
  <si>
    <t>PTE DERRICK</t>
  </si>
  <si>
    <t>PTE GOH DI XUAN</t>
  </si>
  <si>
    <t>LCP HAZIQ</t>
  </si>
  <si>
    <t>PTE WILLARD</t>
  </si>
  <si>
    <t>J VACC 2</t>
  </si>
  <si>
    <t>O VACC 1</t>
  </si>
  <si>
    <t>GOOD FRIDAY</t>
  </si>
  <si>
    <t>labour day</t>
  </si>
  <si>
    <t>DIPESNSE COURSE</t>
  </si>
  <si>
    <t>CFC FARABI BIN ZULKIFLI</t>
  </si>
  <si>
    <t>EM</t>
  </si>
  <si>
    <t>MSP BRIEFING</t>
  </si>
  <si>
    <t>MSP REHEARSAL</t>
  </si>
  <si>
    <t>OWADIO!!</t>
  </si>
  <si>
    <t>CFC PANG JUN YUAN</t>
  </si>
  <si>
    <t>J $M HG (0515-2000)</t>
  </si>
  <si>
    <t>C $AM CC (0500-1100)</t>
  </si>
  <si>
    <t>HQ BMTC $AM IPPT (0530-0930)</t>
  </si>
  <si>
    <t>J $AM CC (0600-1100)</t>
  </si>
  <si>
    <t>O $AM IPPT (0500-1100)</t>
  </si>
  <si>
    <t>CPL MARK WU</t>
  </si>
  <si>
    <t>PMMA</t>
  </si>
  <si>
    <t>D $BTP (0530-2359</t>
  </si>
  <si>
    <t>J $BTP (0515-2359)</t>
  </si>
  <si>
    <t>O $M ISAD (0515-2000)</t>
  </si>
  <si>
    <t>O $M HG (0515-2000)</t>
  </si>
  <si>
    <t>J $AM SOC (0600-1100)</t>
  </si>
  <si>
    <t>J $AM IPPT (0600-1100)</t>
  </si>
  <si>
    <t>O $PM SOC PERMSTAFF (1530-2000)</t>
  </si>
  <si>
    <t>N PS $PM SOC (1530-2000)</t>
  </si>
  <si>
    <t>O $PM SOC (1530-2000)</t>
  </si>
  <si>
    <t>O $PM CC (1530-2000)</t>
  </si>
  <si>
    <t>R $PM SOC(1530-2000)</t>
  </si>
  <si>
    <t>J $PM SOC (1530-2000)</t>
  </si>
  <si>
    <t>O $BTP (0515-2359)</t>
  </si>
  <si>
    <t>C $BTP (0530-2359</t>
  </si>
  <si>
    <t>J $FC</t>
  </si>
  <si>
    <t xml:space="preserve">C $FC </t>
  </si>
  <si>
    <t xml:space="preserve">D $FC </t>
  </si>
  <si>
    <t>C $AM PS SOC (0600-1100)</t>
  </si>
  <si>
    <t>C $PM PS SOC (1530-2000)</t>
  </si>
  <si>
    <t>SERVE+</t>
  </si>
  <si>
    <t>PTE YAN SHENG</t>
  </si>
  <si>
    <t>LABOUR DAY</t>
  </si>
  <si>
    <t>POLLING DAY</t>
  </si>
  <si>
    <t>D VACC 2</t>
  </si>
  <si>
    <t>VESAK DAY</t>
  </si>
  <si>
    <t>K VACC 2 N VACC 2</t>
  </si>
  <si>
    <t>S VACC 2</t>
  </si>
  <si>
    <t>A VACC 1 R VACC 2</t>
  </si>
  <si>
    <t>U VACC 1</t>
  </si>
  <si>
    <t>L VACC 1</t>
  </si>
  <si>
    <t>LCP MUHAMAD LUTFIL AL-HADI</t>
  </si>
  <si>
    <t>NSC</t>
  </si>
  <si>
    <t>D $M 12KM(1400-2359)</t>
  </si>
  <si>
    <t>PMO</t>
  </si>
  <si>
    <t>ICT $AM IPPT (0600-1100)</t>
  </si>
  <si>
    <t>BDAY</t>
  </si>
  <si>
    <t>CPL JASON TAN JIAN CHEN</t>
  </si>
  <si>
    <t>LCP JARRETT TSING KEE JIN</t>
  </si>
  <si>
    <t>GP $M REHEARSAL (0730-1700)</t>
  </si>
  <si>
    <t>C $M 12KM (1400-2359)</t>
  </si>
  <si>
    <t>C $M HG (0500-2000)</t>
  </si>
  <si>
    <t>D $M 12KM (1400-2359)</t>
  </si>
  <si>
    <t>J $AM ER(0600-1100)</t>
  </si>
  <si>
    <t>A $AM IPPT(0500-1100)</t>
  </si>
  <si>
    <t>LCP HO SHENGHUI HAYDEN</t>
  </si>
  <si>
    <t>C $PM SOC (1500-2000)</t>
  </si>
  <si>
    <t>LCP CHIA TECK IAN</t>
  </si>
  <si>
    <t>O $PM 8KM (1530-2000)</t>
  </si>
  <si>
    <t>R $M 8KM RM (1600-2000)</t>
  </si>
  <si>
    <t>R $PM IPPT(1500-2000)</t>
  </si>
  <si>
    <t>J $M 12KM (1400-2359)</t>
  </si>
  <si>
    <t>SCH1 $MRE RE 12KM (1600-2359)</t>
  </si>
  <si>
    <t>LCP QUEK ZI YI</t>
  </si>
  <si>
    <t>W $FC</t>
  </si>
  <si>
    <t>O $M 12KM (1400-2359)</t>
  </si>
  <si>
    <t>N $M RE-12KM (1400-2359)</t>
  </si>
  <si>
    <t>off</t>
  </si>
  <si>
    <t>D $AM IPPT (0500-100)</t>
  </si>
  <si>
    <t>J $AM 8KM (0600-1100)</t>
  </si>
  <si>
    <t>SAF DP</t>
  </si>
  <si>
    <t>M $AM IPPT(0500-1100)</t>
  </si>
  <si>
    <t>R $M BIC (0500-1300)</t>
  </si>
  <si>
    <t>C $AM 8KM (0600-1100)</t>
  </si>
  <si>
    <t>FC OIL</t>
  </si>
  <si>
    <t>R $BTP (0500-2359)</t>
  </si>
  <si>
    <t>A $PM PS SOC (1530-2000)</t>
  </si>
  <si>
    <t>S $M RE-IFC (0600-1500)</t>
  </si>
  <si>
    <t>C $AM IPPT (0500-1000)</t>
  </si>
  <si>
    <t>J $M BIC (0515-2000)</t>
  </si>
  <si>
    <t xml:space="preserve">AL </t>
  </si>
  <si>
    <t>R $AM SOC (0530-1000)</t>
  </si>
  <si>
    <t>O $FC RE-SIT TEST (1800)</t>
  </si>
  <si>
    <t>O $FC RE-SIT TEST</t>
  </si>
  <si>
    <t>C  RE$BTP(0600-2000)</t>
  </si>
  <si>
    <t>PM OL</t>
  </si>
  <si>
    <t>Hari Raya Haji</t>
  </si>
  <si>
    <t>ALB</t>
  </si>
  <si>
    <t>CPL MUHAMMAD AQIL HAMZAH BIN SYELDRICK</t>
  </si>
  <si>
    <t>GX $AM 8KM</t>
  </si>
  <si>
    <t>Labour Day OIL</t>
  </si>
  <si>
    <t>F $AM ER 0600-1100</t>
  </si>
  <si>
    <t>BMT $PM SAF DAY</t>
  </si>
  <si>
    <t>CPL CHEN DENG FENG</t>
  </si>
  <si>
    <t>CPL EUAN TING</t>
  </si>
  <si>
    <t>NDP</t>
  </si>
  <si>
    <t xml:space="preserve">CPL SEE WEI ZHI </t>
  </si>
  <si>
    <t>VESAK OIL</t>
  </si>
  <si>
    <t>DISPENSE</t>
  </si>
  <si>
    <t xml:space="preserve">CPL WAN FARID BIN ABDULLAH </t>
  </si>
  <si>
    <t xml:space="preserve">PTE GERALD TAN </t>
  </si>
  <si>
    <t>M $AM IPPT 0500-1100</t>
  </si>
  <si>
    <t>M $AM ER 0600-1100</t>
  </si>
  <si>
    <t xml:space="preserve">APS </t>
  </si>
  <si>
    <t>WISDOM TOOTH</t>
  </si>
  <si>
    <t>BMT $AM SAF DAY</t>
  </si>
  <si>
    <t>R $PM SOC (1530-1800)</t>
  </si>
  <si>
    <t>SCH 2 $AM SOC (0600-1100)</t>
  </si>
  <si>
    <t xml:space="preserve"> </t>
  </si>
  <si>
    <t>TPP $PM IPPT (1530-1720)</t>
  </si>
  <si>
    <t xml:space="preserve">PTE EKLAYVA </t>
  </si>
  <si>
    <t>SAF DAY TRAINING</t>
  </si>
  <si>
    <t>SCH 1 $M ISAD 0530-2000</t>
  </si>
  <si>
    <t>SAF DAY - 2200 hrs report</t>
  </si>
  <si>
    <t>SAF DAY PARADE</t>
  </si>
  <si>
    <t xml:space="preserve">PTE ASHWIN </t>
  </si>
  <si>
    <t>B $AM IPPT 0500-1100</t>
  </si>
  <si>
    <t>U $L ATP/CS (0530-2359)</t>
  </si>
  <si>
    <t>F $AM IPPT 0500-1100</t>
  </si>
  <si>
    <t>R $AM IPPT (0500-1100)</t>
  </si>
  <si>
    <t>N $L ATP/CS  0515-2359</t>
  </si>
  <si>
    <t>GP $M REHERSEAL (0700-1200)</t>
  </si>
  <si>
    <t>A $AM IPPT 0500-1100</t>
  </si>
  <si>
    <t>SCH 3 $AM IPPT (0500-1000)</t>
  </si>
  <si>
    <t>DE (1GDS)</t>
  </si>
  <si>
    <t>DE (K B3/B4) (O)</t>
  </si>
  <si>
    <t>GOOD FRIDAY OFF</t>
  </si>
  <si>
    <t>EMSA BRIEF @NSC</t>
  </si>
  <si>
    <t>HARI RAYA OIL</t>
  </si>
  <si>
    <t>WISDOM SURGERY</t>
  </si>
  <si>
    <t>AWARD CEREMONY</t>
  </si>
  <si>
    <t>Wedding Prep</t>
  </si>
  <si>
    <t xml:space="preserve">PM MA </t>
  </si>
  <si>
    <t>V $AM IPPT (0500-1000)</t>
  </si>
  <si>
    <t>W $AM CC (0600-1000)</t>
  </si>
  <si>
    <t>DUTY</t>
  </si>
  <si>
    <t>TPP $AM IPPT (0900-1050)</t>
  </si>
  <si>
    <t>W $AM IPPT (0500-1000)</t>
  </si>
  <si>
    <t>M $BTP (0515-1100)</t>
  </si>
  <si>
    <t>LCP EKLAYVA PENGALI</t>
  </si>
  <si>
    <t>O $AM IPPT (0600-1100)</t>
  </si>
  <si>
    <t>LCP ASHWIN GUNASEKERAN</t>
  </si>
  <si>
    <t>B $PM SOC TEST (1530-2000)</t>
  </si>
  <si>
    <t>LCP ZHAO ZHONGHAO</t>
  </si>
  <si>
    <t>R PS $PM SOC TEST (1500-2000)</t>
  </si>
  <si>
    <t>LCP DERRICK CHIN</t>
  </si>
  <si>
    <t>V $M HG (0500-2000)</t>
  </si>
  <si>
    <t>LCP GOH DI XUAN</t>
  </si>
  <si>
    <t>LCP MUHAMMAD HAZIQ BIN MOHAMED HESHAM</t>
  </si>
  <si>
    <t>M $AM ER (0600-1100)</t>
  </si>
  <si>
    <t>PTE WONG JI FENG WILLARD</t>
  </si>
  <si>
    <t>LCP KUEH YAN SHENG</t>
  </si>
  <si>
    <t>PTE MUHAMAD ZULKHAIRI BIN MOHAMAD SAPARI</t>
  </si>
  <si>
    <t>A $PM ER (1530-20000</t>
  </si>
  <si>
    <t>R PS $AM SOC TEST (0500-1000)</t>
  </si>
  <si>
    <t>M $FC</t>
  </si>
  <si>
    <t>PTE SAMUEL TAN ENG WEE</t>
  </si>
  <si>
    <t>B $BTP (0530-2359)</t>
  </si>
  <si>
    <t>M $PM ER (1530-20000</t>
  </si>
  <si>
    <t>A $PM ER (1530-2000)</t>
  </si>
  <si>
    <t>PTE CHYE JING AN MAXIMUS</t>
  </si>
  <si>
    <t>M $AM IPPT (0500-1100)</t>
  </si>
  <si>
    <t>D $M ISAD (0530-2000)</t>
  </si>
  <si>
    <t>D $BTP (0530-2359)</t>
  </si>
  <si>
    <t>W $BTP (0500-2359)</t>
  </si>
  <si>
    <t>PTE MATTHEW HWANG YEW SENG</t>
  </si>
  <si>
    <t>R/V/W $M ISAD (0500-2000)</t>
  </si>
  <si>
    <t>D $M HG (0530-20000</t>
  </si>
  <si>
    <t>PTE TAN JUN YANG KELVIN</t>
  </si>
  <si>
    <t>F $PM ER (1530-2000)</t>
  </si>
  <si>
    <t>F $AM ER (0600-1100)</t>
  </si>
  <si>
    <t>Svc total = 58</t>
  </si>
  <si>
    <t>P VACC 2 &amp; R VACC 1</t>
  </si>
  <si>
    <t>N VACC 1 &amp; W VACC 2</t>
  </si>
  <si>
    <t>CMC VISIT &amp; K VACC 2</t>
  </si>
  <si>
    <t>CNY DAY 1</t>
  </si>
  <si>
    <t>CNY DAY 2</t>
  </si>
  <si>
    <t>L VACC 2</t>
  </si>
  <si>
    <t>M VACC 2</t>
  </si>
  <si>
    <t>Svc avg = 7.25</t>
  </si>
  <si>
    <t>TO ADD</t>
  </si>
  <si>
    <t>TO MINUS</t>
  </si>
  <si>
    <t>Friday Duty</t>
  </si>
  <si>
    <t>CPL MUHAMAD LUTFIL AL-HADI</t>
  </si>
  <si>
    <t>BREAK FAST</t>
  </si>
  <si>
    <t>CHRISTMAS OIL</t>
  </si>
  <si>
    <t xml:space="preserve">CPL GERALD TAN </t>
  </si>
  <si>
    <t>CS/B</t>
  </si>
  <si>
    <t>CPL FANG JIANGRUI</t>
  </si>
  <si>
    <t>CFC JAY DEOL FROST</t>
  </si>
  <si>
    <t>no more duty</t>
  </si>
  <si>
    <t>owadio</t>
  </si>
  <si>
    <t>CPL JARRETT TSING KEE JIN</t>
  </si>
  <si>
    <t>COHESION</t>
  </si>
  <si>
    <t>COVER RESERVE</t>
  </si>
  <si>
    <t>LCP WONG JI FENG WILLARD</t>
  </si>
  <si>
    <t xml:space="preserve">PTE KOO YI XIAN RAPHAEL </t>
  </si>
  <si>
    <t>Outfield Reserve</t>
  </si>
  <si>
    <t>F $AM RM (0600-1100)</t>
  </si>
  <si>
    <t>SHADOW CS</t>
  </si>
  <si>
    <t>A $PM SOC (1530-2000)</t>
  </si>
  <si>
    <t>MEDICAL RECCE</t>
  </si>
  <si>
    <t>R $AM ER (0500-1000)</t>
  </si>
  <si>
    <t>CPL SAMUEL TAN ENG WEE</t>
  </si>
  <si>
    <t>SCH 1 RE-IPPT $AM (0500-1100)</t>
  </si>
  <si>
    <t>LCP MATTHEW HWANG YEW SENG</t>
  </si>
  <si>
    <t xml:space="preserve">PTE IGNATIUS QUEK </t>
  </si>
  <si>
    <t>xmas oil</t>
  </si>
  <si>
    <t>Al</t>
  </si>
  <si>
    <t>al</t>
  </si>
  <si>
    <t>P $AM IPPT (0500-1000)</t>
  </si>
  <si>
    <t>SHADOW SENDOUT</t>
  </si>
  <si>
    <t>PTE MENDEZ RALPH JUSTINE MACALINO</t>
  </si>
  <si>
    <t>LCP APPLE YEO</t>
  </si>
  <si>
    <t>New Year OIL</t>
  </si>
  <si>
    <t>LCP EKLAYVA PINGALI</t>
  </si>
  <si>
    <t>C $FC</t>
  </si>
  <si>
    <t>CFC MARK WU</t>
  </si>
  <si>
    <t>burfday</t>
  </si>
  <si>
    <t>CPL HO SHENGHUI HAYDEN</t>
  </si>
  <si>
    <t>BMTC $BTP ASM (0400-2359)</t>
  </si>
  <si>
    <t>CPL DERRICK CHIN</t>
  </si>
  <si>
    <t>P $PM PERM SOC (1700-2000)</t>
  </si>
  <si>
    <t>P $BTP (0500-2359)</t>
  </si>
  <si>
    <t>OVERSEAS</t>
  </si>
  <si>
    <t>CPL ASHWIN GUNASEKERAN</t>
  </si>
  <si>
    <t>P $AM 8KM (0500-1100)</t>
  </si>
  <si>
    <t>F $AM SOC (0600-1100)</t>
  </si>
  <si>
    <t>Birthday</t>
  </si>
  <si>
    <t>Birthday plans</t>
  </si>
  <si>
    <t xml:space="preserve">LCP KUEH YAN SHENG </t>
  </si>
  <si>
    <t>LCP MUHAMMAD YASIR BIN MUHAMMAD HIJAZ</t>
  </si>
  <si>
    <t>M $PM IPPT (1530-2000)</t>
  </si>
  <si>
    <t>NEW YEAR OIL</t>
  </si>
  <si>
    <t>CFC JASON TAN JIAN CHEN</t>
  </si>
  <si>
    <t>LCP CHYE JING AN MAXIMUS</t>
  </si>
  <si>
    <t>C $AM FC</t>
  </si>
  <si>
    <t>F $M RM (1400-2359)</t>
  </si>
  <si>
    <t>C $PM PERM SOC (1700-2000)</t>
  </si>
  <si>
    <t>LCP TAN JUN YANG KELVIN</t>
  </si>
  <si>
    <t>L $PM PERM SOC (1700-2000)</t>
  </si>
  <si>
    <t>A $AM RM (0600-1100)</t>
  </si>
  <si>
    <t>B for BDAY🤪</t>
  </si>
  <si>
    <t>P $M RE RM (2000-0100)</t>
  </si>
  <si>
    <t>LCP ZHANG ZHONGHAO</t>
  </si>
  <si>
    <t>M $BTP (0515-2359)</t>
  </si>
  <si>
    <t>LCP MACASERO TROY ADRIAN LARUMBE</t>
  </si>
  <si>
    <t>SHADOW CS (READ CS GUIDE)</t>
  </si>
  <si>
    <t>LCP MUHAMAD ZULKHAIRI BIN MOHAMAD SAPARI</t>
  </si>
  <si>
    <t>BMTC $BTP ASM (0400-2359) @SAFTI</t>
  </si>
  <si>
    <t>B $AM RM (0600-1100)</t>
  </si>
  <si>
    <t>P $M 12KM (1600-2359)</t>
  </si>
  <si>
    <t>RE-IFC $M (0600-1400), 7th Coy</t>
  </si>
  <si>
    <t>C $AM PERM SOC (0600-1100)</t>
  </si>
  <si>
    <t xml:space="preserve">LCP RON NG </t>
  </si>
  <si>
    <t>M $M RESITEST (1800-2359)</t>
  </si>
  <si>
    <t>M $M RESITEST (0515-2359)</t>
  </si>
  <si>
    <t>S $PM IPPT (1600-2359)</t>
  </si>
  <si>
    <t>LCP TRAN MINH KHOA</t>
  </si>
  <si>
    <t>C $M RM (1400-2359)</t>
  </si>
  <si>
    <t xml:space="preserve">LCP STEPHEN TAY </t>
  </si>
  <si>
    <t>HQ $AM IPPT (0730-0920)</t>
  </si>
  <si>
    <t xml:space="preserve">PTE EDWARD GAN BOON WEI </t>
  </si>
  <si>
    <t>P $M HG (0500-2000)</t>
  </si>
  <si>
    <t>A $M BIC (0530-2000)</t>
  </si>
  <si>
    <t>J $PM IPPT (1530-2000)</t>
  </si>
  <si>
    <t>SCH 1 $M RE-RM (1400-2359)</t>
  </si>
  <si>
    <t>PTE RAIYAN ZUFAYRI BIN MOHAMAD HELMY</t>
  </si>
  <si>
    <t>B $M RM (1400-2359)</t>
  </si>
  <si>
    <t>C $PM IPPT (1530-2000)</t>
  </si>
  <si>
    <t>PTE CHOA ZONGHAN ETIENNE</t>
  </si>
  <si>
    <t>P $FC</t>
  </si>
  <si>
    <t>C $M BIC (0530-2000)</t>
  </si>
  <si>
    <t>B $PM IPPT(1530-2000)</t>
  </si>
  <si>
    <t>A $M RM (1400-2359)</t>
  </si>
  <si>
    <t>P $M BIC (1330-1830)</t>
  </si>
  <si>
    <t>L $M RE 12KM RM (1400-2359)</t>
  </si>
  <si>
    <t>L $BTP (0545-2359)</t>
  </si>
  <si>
    <t>LCP SHLOK PUROHIT</t>
  </si>
  <si>
    <t>C $PM CC (1530-2000)</t>
  </si>
  <si>
    <t>LCP HYDER ISKANDAR BIN ZULKILFILY</t>
  </si>
  <si>
    <t>C $M HG (0530-2000)</t>
  </si>
  <si>
    <t>DENTAL MA</t>
  </si>
  <si>
    <t>C $M RE-12KM (0530-1000)</t>
  </si>
  <si>
    <t>Cbt total =</t>
  </si>
  <si>
    <t>SERVICE POINTS</t>
  </si>
  <si>
    <t xml:space="preserve">Cbt avg = </t>
  </si>
  <si>
    <t>8.78 ~ 9</t>
  </si>
  <si>
    <t>COMBAT POINTS</t>
  </si>
  <si>
    <t>TOTAL POINTS</t>
  </si>
  <si>
    <t>SKILLS FUTURE</t>
  </si>
  <si>
    <t>GP (at night)</t>
  </si>
  <si>
    <t>GP $M</t>
  </si>
  <si>
    <t>WISDOM</t>
  </si>
  <si>
    <t>SCH 1 $AM GX PHASE 1 (0400-1200)</t>
  </si>
  <si>
    <t>SCT SAMUEL TAN ENG WEE</t>
  </si>
  <si>
    <t>ADMIN SPEC CADET COURSE</t>
  </si>
  <si>
    <t xml:space="preserve">COVER RESERVE </t>
  </si>
  <si>
    <t>GX $PM</t>
  </si>
  <si>
    <t>GX</t>
  </si>
  <si>
    <t>HQ $AM TPP IPPT (0600-1030)</t>
  </si>
  <si>
    <t>GX $M</t>
  </si>
  <si>
    <t>Mum's Birthday</t>
  </si>
  <si>
    <t>S $M ATP/CS (0500-2359)</t>
  </si>
  <si>
    <t>SCH 1 $M GP REHEARSAL (0800-1700)</t>
  </si>
  <si>
    <t>SHADOW OUTSIDE CS</t>
  </si>
  <si>
    <t>S $AM IPPT (0500-1000)</t>
  </si>
  <si>
    <t>L $AM GX PHASE 1 (0400-1200)</t>
  </si>
  <si>
    <t>P $AM GX PHASE 1 (0400-1200)</t>
  </si>
  <si>
    <t>R/S $M ISAD (0500-1430)</t>
  </si>
  <si>
    <t>T $PM SOC (1700-2000)</t>
  </si>
  <si>
    <t>(1430HRS) MA</t>
  </si>
  <si>
    <t>(0910HRS) MA</t>
  </si>
  <si>
    <t>L $BTP ATP/REBTP (0515-2359)</t>
  </si>
  <si>
    <t>RAYA VISITING</t>
  </si>
  <si>
    <t>S $AM ER (0500-1000)</t>
  </si>
  <si>
    <t>S $PM ER (1530-1830)</t>
  </si>
  <si>
    <t>REMEDIAL COY $FC</t>
  </si>
  <si>
    <t>B (Dental)</t>
  </si>
  <si>
    <t>svc avg = 6</t>
  </si>
  <si>
    <t>cbt avg = 7.5</t>
  </si>
  <si>
    <t xml:space="preserve">             </t>
  </si>
  <si>
    <t xml:space="preserve">DE </t>
  </si>
  <si>
    <t>LUTFIL OPEN HSE</t>
  </si>
  <si>
    <t>N RE-VACC</t>
  </si>
  <si>
    <t>60 Finale</t>
  </si>
  <si>
    <t>MSP / O RE VACC</t>
  </si>
  <si>
    <t>Friends Open house</t>
  </si>
  <si>
    <t>COMPONENT TRAINING</t>
  </si>
  <si>
    <t xml:space="preserve">       </t>
  </si>
  <si>
    <t>AM MA PM AL</t>
  </si>
  <si>
    <t>CFC JARRETT TSING KEE JIN</t>
  </si>
  <si>
    <t>PM WISDOM</t>
  </si>
  <si>
    <t>R $AM CC (0500-1000)</t>
  </si>
  <si>
    <t>WEEKEND OUTFIELD RESERVE</t>
  </si>
  <si>
    <t xml:space="preserve">LCP KOO YI XIAN RAPHAEL </t>
  </si>
  <si>
    <t>3SG SAMUEL TAN ENG WEE</t>
  </si>
  <si>
    <t>D $AM IPPT (0530-1100) CFM ALR AH</t>
  </si>
  <si>
    <t xml:space="preserve">LCP IGNATIUS QUEK </t>
  </si>
  <si>
    <t>PTE DANIEL ISKANDAR BIN SANUSI</t>
  </si>
  <si>
    <t>S $M HG (0500-1830)</t>
  </si>
  <si>
    <t>QINGMING</t>
  </si>
  <si>
    <t>S $PM CC (1530-1830)</t>
  </si>
  <si>
    <t>SISTER BIRTHDAY</t>
  </si>
  <si>
    <t>R $PM CC (1530-1830)</t>
  </si>
  <si>
    <t>OWADIO</t>
  </si>
  <si>
    <t>CFC DERRICK CHIN</t>
  </si>
  <si>
    <t>D $M HG (0500-2000)</t>
  </si>
  <si>
    <t>T $PM IPPT (1530-1830)</t>
  </si>
  <si>
    <t>S $BTP (0500-2359)</t>
  </si>
  <si>
    <t xml:space="preserve"> DISPENSE </t>
  </si>
  <si>
    <t xml:space="preserve">DISPENSE </t>
  </si>
  <si>
    <t>(STARLIGHT)</t>
  </si>
  <si>
    <t>T $AM ER (0500-1000)</t>
  </si>
  <si>
    <t>J PERM SOC $PM (1500-2000)</t>
  </si>
  <si>
    <t>T $AM IPPT (0500-1000)</t>
  </si>
  <si>
    <t>R $PM IPPT (1530-1830)</t>
  </si>
  <si>
    <t xml:space="preserve">LCP EDWARD GAN BOON WEI </t>
  </si>
  <si>
    <t>SHADOW INSIDE CS</t>
  </si>
  <si>
    <t>J $BTP (0530-2359)</t>
  </si>
  <si>
    <t>LCP RAIYAN ZUFAYRI BIN MOHAMAD HELMY</t>
  </si>
  <si>
    <t>E $BTP (0500-2300)</t>
  </si>
  <si>
    <t>S PERM $PM SOC (1700-2000)</t>
  </si>
  <si>
    <t>T $M ISAD (0500-1730)</t>
  </si>
  <si>
    <t>S $AM CC (0500-1000)</t>
  </si>
  <si>
    <t>PTE MUHAMMAD SHAUKI BIN MOHD SHAM</t>
  </si>
  <si>
    <t>SHADOW COVER</t>
  </si>
  <si>
    <t>D $BTP (0500-2300)</t>
  </si>
  <si>
    <t>T $PM ER (1630-1830)</t>
  </si>
  <si>
    <t>PTE HUANG JIHUI</t>
  </si>
  <si>
    <t>E $M HG (0500-2000)</t>
  </si>
  <si>
    <t xml:space="preserve">HQ ICT $AM IPPT (0600-1030) </t>
  </si>
  <si>
    <t xml:space="preserve">E $FC </t>
  </si>
  <si>
    <t>PTE MUHAMMAD HAMZA ZUBERI</t>
  </si>
  <si>
    <t>PTE RAGURAMAN ANIRUDH</t>
  </si>
  <si>
    <t>S $FC</t>
  </si>
  <si>
    <t>NUMBER OF DM</t>
  </si>
  <si>
    <t>`</t>
  </si>
  <si>
    <t>DE, AMPT</t>
  </si>
  <si>
    <t>L,N VACC 2</t>
  </si>
  <si>
    <t>V VACC 1, AMPT</t>
  </si>
  <si>
    <t>O,M VACC 2</t>
  </si>
  <si>
    <t>HARI RAYA HAJI</t>
  </si>
  <si>
    <t>diff</t>
  </si>
  <si>
    <t>CNY OIL</t>
  </si>
  <si>
    <t>AM MA + PM AL</t>
  </si>
  <si>
    <t>Bday</t>
  </si>
  <si>
    <t>CPL GOH DI XUAN</t>
  </si>
  <si>
    <t>OUTFIELD RESERVE</t>
  </si>
  <si>
    <t>R $PM RM (1530-1830)</t>
  </si>
  <si>
    <t>SKILLSFUTURE</t>
  </si>
  <si>
    <t>GP OFF</t>
  </si>
  <si>
    <t>K $AM IPPT (0500-1100</t>
  </si>
  <si>
    <t>E $AM 8KM RM (0500-1100)</t>
  </si>
  <si>
    <t>J $AM RE-IPPT (0500-1000)</t>
  </si>
  <si>
    <t>E $M RM (1400-2359)</t>
  </si>
  <si>
    <t>F $M HG (0600-2300)</t>
  </si>
  <si>
    <t>E $AM RE-IPPT (0500-1100)</t>
  </si>
  <si>
    <t>SCH 3 $PM PERMSTAFF SOC (1730-1930)</t>
  </si>
  <si>
    <t>E $AM SOC (0600-1100)</t>
  </si>
  <si>
    <t>F $BTP (0500-2300)</t>
  </si>
  <si>
    <t>R $M RM (1400-2359)</t>
  </si>
  <si>
    <t>T $BTP (0500-2359)</t>
  </si>
  <si>
    <t>T $FC</t>
  </si>
  <si>
    <t>S $PM RM (1530-1830)</t>
  </si>
  <si>
    <t>D $M RM (1400-2359)</t>
  </si>
  <si>
    <t>D $AM RE-IPPT (0500-1000)</t>
  </si>
  <si>
    <t>R $M BIC (1300-2359)</t>
  </si>
  <si>
    <t>D $PM 8KM RM (1400-2300)</t>
  </si>
  <si>
    <t>HQ $AM IPPT (0530-1100)</t>
  </si>
  <si>
    <t>F $M BIC (0500-2300)</t>
  </si>
  <si>
    <t>S $AM IPPT (1530-1830)</t>
  </si>
  <si>
    <t>HQ $PM TPP IPPT (1430-1830)</t>
  </si>
  <si>
    <t>FC WEEKEND OIL</t>
  </si>
  <si>
    <t>D $M BIC (0500-2300)</t>
  </si>
  <si>
    <t>mc</t>
  </si>
  <si>
    <t>S $AM RE-IPPT (0500-1000)</t>
  </si>
  <si>
    <t>D $M RE-IFC (0700-1300)</t>
  </si>
  <si>
    <t>J $PM PERMSTAFF SOC (1530-2000)</t>
  </si>
  <si>
    <t>E $M RE-RM 12KM (1400-2359)</t>
  </si>
  <si>
    <t>TAURUS $M RE-IFC (0500-1530)</t>
  </si>
  <si>
    <t>D $AM SOC (0600-1100)</t>
  </si>
  <si>
    <t>J $M RE-BTP (0515-2359)</t>
  </si>
  <si>
    <t>T $M HG (0500-2359)</t>
  </si>
  <si>
    <t>J $PM RE-IPPT (1530-1830)</t>
  </si>
  <si>
    <t>E $AM 4KM RM (0600-?)</t>
  </si>
  <si>
    <t>J $M BIC (0515 2000)</t>
  </si>
  <si>
    <t>SCH 3 $M RE-RM (1430-2359)</t>
  </si>
  <si>
    <t>J $M 12KM RM (1400-2359)</t>
  </si>
  <si>
    <t>E $AM 8KM RM</t>
  </si>
  <si>
    <t>S $M RM (1400-2359)</t>
  </si>
  <si>
    <t>GP REHEARSAL $M (0800-1800)</t>
  </si>
  <si>
    <t>J $PM 8KM RM (1530-2000)</t>
  </si>
  <si>
    <t>CPL TAN ZONG HONG JORDAN</t>
  </si>
  <si>
    <t>ORD</t>
  </si>
  <si>
    <t>LCP GOH SONG YEE, ETHAN</t>
  </si>
  <si>
    <t>VACCINE SUPERVISOR COURSE</t>
  </si>
  <si>
    <t>4TH $PM CC PM</t>
  </si>
  <si>
    <t>PTE KOH KAH SENG</t>
  </si>
  <si>
    <t>7TH $FC</t>
  </si>
  <si>
    <t>5TH $AM IPPT AM</t>
  </si>
  <si>
    <t>PTE LUTH HARITH AFIF BIN NORFIFI</t>
  </si>
  <si>
    <t>PTE MATTHEW WILLIAM TAN</t>
  </si>
  <si>
    <t>AM DA</t>
  </si>
  <si>
    <t>1ST + 5TH $PM WEAPON PRESENTATION</t>
  </si>
  <si>
    <t>1ST $AM IPPT</t>
  </si>
  <si>
    <t>3SG THOTA DEV ADITYA</t>
  </si>
  <si>
    <t>4TH $FC</t>
  </si>
  <si>
    <t>EX LANCER TRAINING @ SAFTI</t>
  </si>
  <si>
    <t>LANCER TRG</t>
  </si>
  <si>
    <t>2ND $FC RE-SIT TEST</t>
  </si>
  <si>
    <t>SAFTI</t>
  </si>
  <si>
    <t>EX LANCER</t>
  </si>
  <si>
    <t>CFC MUHAMMAD AMSYAR SUFI BIN SUNARDI</t>
  </si>
  <si>
    <t>STC LEAVE</t>
  </si>
  <si>
    <t>4TH $M BIC PM</t>
  </si>
  <si>
    <t>CFC BRENDON TOH YI CHEN</t>
  </si>
  <si>
    <t>CFC AINSLEY YAP SHENG JIE</t>
  </si>
  <si>
    <t>4TH $AM 8KM RM</t>
  </si>
  <si>
    <t>CFC KOH KAI JIE, ETHAN</t>
  </si>
  <si>
    <t>OUTFIELD/BTP RESERVE</t>
  </si>
  <si>
    <t>LCP LIM CHU FENG</t>
  </si>
  <si>
    <t>2ND $FC</t>
  </si>
  <si>
    <t>2ND $AM IPPT</t>
  </si>
  <si>
    <t>SCH WIDE $AM RE-RM</t>
  </si>
  <si>
    <t>CPL TAN TZE JUE JULIAN</t>
  </si>
  <si>
    <t>4TH $BTP (0500-2300)</t>
  </si>
  <si>
    <t>$FC RE-IFC SCH WIDE</t>
  </si>
  <si>
    <t>OFF (GOOD PERFORMANCE)</t>
  </si>
  <si>
    <t>3SG HO JI XUAN ISAAC</t>
  </si>
  <si>
    <t>2ND $AM 8KM RM</t>
  </si>
  <si>
    <t>$PM SOC PERMSTAFF</t>
  </si>
  <si>
    <t>LCP JOVAN CHUA RUI CHENG</t>
  </si>
  <si>
    <t>2ND + 4TH $PM 12KM RM</t>
  </si>
  <si>
    <t>LCP LAN ZHI XIANG</t>
  </si>
  <si>
    <t>4TH $BTP (0500 - 2300)</t>
  </si>
  <si>
    <t>PTE DAANYAAL ABDUL AZEEZ JANJUA</t>
  </si>
  <si>
    <t>2ND $BTP (0500 - 2300)</t>
  </si>
  <si>
    <t>PTE SUNDARARAJU DHANUSH</t>
  </si>
  <si>
    <t>2ND $M BIC AM</t>
  </si>
  <si>
    <t>T $PM 6KM RM</t>
  </si>
  <si>
    <t xml:space="preserve">4TH $AM IPPT </t>
  </si>
  <si>
    <t>NUMBER OF SB</t>
  </si>
  <si>
    <t>NUMBER OF CS</t>
  </si>
  <si>
    <t>NUMBER OF AE</t>
  </si>
  <si>
    <t>TOTAL DUTY TEAM STRENGTH</t>
  </si>
  <si>
    <t>f</t>
  </si>
  <si>
    <t xml:space="preserve">VESAK DAY </t>
  </si>
  <si>
    <t>GP RECCE</t>
  </si>
  <si>
    <t>OPERATION</t>
  </si>
  <si>
    <t>HL?</t>
  </si>
  <si>
    <t>AL-'APPROVED</t>
  </si>
  <si>
    <t>R $AM GX PHASE 1 (0400-1230)</t>
  </si>
  <si>
    <t>ALB RETURN STORES</t>
  </si>
  <si>
    <t>P $AM ER (0500-1030)</t>
  </si>
  <si>
    <t>R $AM PERMSTAFF SOC (0500-1030)</t>
  </si>
  <si>
    <t>WISDOM TOOTH EXTRACTION</t>
  </si>
  <si>
    <t>5TH $PM ER</t>
  </si>
  <si>
    <t>5TH $AM ER (0730-0920)</t>
  </si>
  <si>
    <t>S $AM GX PHASE 1 (0400-1230)</t>
  </si>
  <si>
    <t>C $M ISAD (0600-1800)</t>
  </si>
  <si>
    <t xml:space="preserve">4TH COY $PM PERMSTAFF SOC </t>
  </si>
  <si>
    <t>P $AM IPPT (0500-1030)</t>
  </si>
  <si>
    <t>T $AM GX PHASE 1 (0400-1230)</t>
  </si>
  <si>
    <t>HQ $AM IPPT (0720-1320)</t>
  </si>
  <si>
    <t>K $AM IPPT</t>
  </si>
  <si>
    <t>1ST $PM ER (1630-1820)</t>
  </si>
  <si>
    <t>GP REHEARSAL $M</t>
  </si>
  <si>
    <t>PENDING OIL</t>
  </si>
  <si>
    <t xml:space="preserve">  </t>
  </si>
  <si>
    <t>1ST $AM ER (0730-0920)</t>
  </si>
  <si>
    <t>F CS/ATP $BTP (0600-2359)</t>
  </si>
  <si>
    <t>1ST $AM ER (0720-0930)</t>
  </si>
  <si>
    <t>GX OFF</t>
  </si>
  <si>
    <t>OFF (WEEKEND FIELDCAMP COVER)</t>
  </si>
  <si>
    <t>FULL 5 DAY IFC COVER OFF</t>
  </si>
  <si>
    <t>LCP KOH KAH SENG</t>
  </si>
  <si>
    <t>SHADOW DM</t>
  </si>
  <si>
    <t>SCH 4 $AM GX PHASE 1 (0400-1230)</t>
  </si>
  <si>
    <t>AM MA + PM OFF (WEEKEND BIC COVER)</t>
  </si>
  <si>
    <t>SCH 4 PERMSTAFF ATP/CS $BTP</t>
  </si>
  <si>
    <t>PM DA</t>
  </si>
  <si>
    <t>STOCKTAKE OFF</t>
  </si>
  <si>
    <t>SB (EXTRA)</t>
  </si>
  <si>
    <t>VESAK DAY OIL</t>
  </si>
  <si>
    <t>AMPT FIRST TIME PASS OFF</t>
  </si>
  <si>
    <t>PHLEBO @ NSC</t>
  </si>
  <si>
    <t>1B MOBILEMET AM OFF</t>
  </si>
  <si>
    <t xml:space="preserve">5TH $PM ER (1630-1820) </t>
  </si>
  <si>
    <t>POST MARCH GX BOOK IN</t>
  </si>
  <si>
    <t>5TH $AM ER (0720-0930)</t>
  </si>
  <si>
    <t xml:space="preserve">GOOD PERFORMANCE OFF (CSFFI) </t>
  </si>
  <si>
    <t>1ST $AM IPPT (0730-0920)</t>
  </si>
  <si>
    <t>GOOD PERFORMANCE OFF (SAS STOCKTAKE)</t>
  </si>
  <si>
    <t>GP OFF (JUNE)</t>
  </si>
  <si>
    <t>CPL JOVAN CHUA RUI CHENG</t>
  </si>
  <si>
    <t>OFF - GOOD PERFORMANCE FOR CS FFI BY DR SAKTHI</t>
  </si>
  <si>
    <t>OFF - GP MARCH 2026</t>
  </si>
  <si>
    <t>CPL LAN ZHI XIANG</t>
  </si>
  <si>
    <t>5TH $PM ER (1630-1820)</t>
  </si>
  <si>
    <t>AM MA NEW YEAR OIL PM OFF</t>
  </si>
  <si>
    <t>GX OFF (MARCH)</t>
  </si>
  <si>
    <t>LCP DAANYAAL ABDUL AZEEZ JANJUA</t>
  </si>
  <si>
    <t>5TH $AM IPPT (0730-0920)</t>
  </si>
  <si>
    <t>OFF - GOOD PERFORMANCE FOR STOCK TAKE BY DR CALEB</t>
  </si>
  <si>
    <t>1ST + 5TH $M ISAD (0730-1120) (CONDUCTED BY 5TH, K COY JOINING)</t>
  </si>
  <si>
    <t>6TH COY VACC 1</t>
  </si>
  <si>
    <t>2ND COY VACC 1</t>
  </si>
  <si>
    <t xml:space="preserve">CFC GERALD TAN </t>
  </si>
  <si>
    <t>AM AL + PM MA</t>
  </si>
  <si>
    <t>S $PM PERMSTAFF SOC (1630-1930)</t>
  </si>
  <si>
    <t>CPL WONG JI FENG WILLARD</t>
  </si>
  <si>
    <t>S $AM IPPT (0500-1030)</t>
  </si>
  <si>
    <t xml:space="preserve">CS1 </t>
  </si>
  <si>
    <t>PTE KERK NATHAN</t>
  </si>
  <si>
    <t>RHMC</t>
  </si>
  <si>
    <t>PTE OWEN LEE</t>
  </si>
  <si>
    <t>LCP JARED JUAY (BCF)</t>
  </si>
  <si>
    <t>LCP AHMAD IMRAN (BCF)</t>
  </si>
  <si>
    <t>LCP LAU KAN SHEN (BCF)</t>
  </si>
  <si>
    <t xml:space="preserve">   </t>
  </si>
  <si>
    <t>PTE JEROME TEO (BCF)</t>
  </si>
  <si>
    <t>PTE EUGENE ANG (BCF)</t>
  </si>
  <si>
    <t>PTE JAR RUI (BCF)</t>
  </si>
  <si>
    <t>O $M HG (0515-2200)</t>
  </si>
  <si>
    <t>CPL QUEK ZI YI</t>
  </si>
  <si>
    <t>STARLIGHT OIL</t>
  </si>
  <si>
    <t>P $AM IPPT (0530-1030)</t>
  </si>
  <si>
    <t>bday</t>
  </si>
  <si>
    <t>P $PM CC (1530-1830)</t>
  </si>
  <si>
    <t>APS</t>
  </si>
  <si>
    <t>2nd $PM CC (1630-1820)</t>
  </si>
  <si>
    <t>CPL ZHANG ZHONGHAO</t>
  </si>
  <si>
    <t>HQ $AM IPPT</t>
  </si>
  <si>
    <t xml:space="preserve"> 5th $AM CC (0730-0920)</t>
  </si>
  <si>
    <t>CPL TAN JUN YANG KELVIN</t>
  </si>
  <si>
    <t>A $PM PERMSTAFF SOC (1500-2000)</t>
  </si>
  <si>
    <t xml:space="preserve">1st $AM CC (0730-0920)   </t>
  </si>
  <si>
    <t xml:space="preserve">1st $AM IPPT (0730-0920)    </t>
  </si>
  <si>
    <t>S $M HG (0500-2030)</t>
  </si>
  <si>
    <t>HQ $AM SAF DAY (0615-0930)</t>
  </si>
  <si>
    <t>A $AM IPPT (0530-11000</t>
  </si>
  <si>
    <t>P $AM ER</t>
  </si>
  <si>
    <t>K $AM IPPT (0500-1100)</t>
  </si>
  <si>
    <t>K $PM PERM SOC (1530-2000)</t>
  </si>
  <si>
    <t>B $M ISAD (0600-2000)</t>
  </si>
  <si>
    <t>LCP CHOA ZONGHAN ETIENNE</t>
  </si>
  <si>
    <t>S $M ISAD (0500-1730)</t>
  </si>
  <si>
    <t>C $BTP (0530-2359)</t>
  </si>
  <si>
    <t>5th $PM CC (1630-1820)</t>
  </si>
  <si>
    <t>C $AM IPPT (0530-1100)</t>
  </si>
  <si>
    <t>CPL HYDER ISKANDAR BIN ZULKILFILY</t>
  </si>
  <si>
    <t>1st $AM ER (0730-0920)</t>
  </si>
  <si>
    <t>S $AM CC (0530-1030)</t>
  </si>
  <si>
    <t>K $PM PERMSTAFF SOC (1530-2000)</t>
  </si>
  <si>
    <t>LCP MUHAMMAD SHAUKI BIN MOHD SHAM</t>
  </si>
  <si>
    <t>5th $AM IPPT (0730-0920)</t>
  </si>
  <si>
    <t xml:space="preserve">OUTFIELD RESERVE </t>
  </si>
  <si>
    <t>A $AM IPPT (0530-1100)</t>
  </si>
  <si>
    <t>LCP HUANG JIHUI</t>
  </si>
  <si>
    <t>K $AM CC (0600-1100)</t>
  </si>
  <si>
    <t>6th $PM CC (1630-1820)</t>
  </si>
  <si>
    <t>LCP MUHAMMAD HAMZA ZUBERI</t>
  </si>
  <si>
    <t>O $AM ER (0600-1100)</t>
  </si>
  <si>
    <t>2nd $AM IPPT (0730-0920)</t>
  </si>
  <si>
    <t>LCP RAGURAMAN ANIRUDH</t>
  </si>
  <si>
    <t>C $M HG (0600-2000)</t>
  </si>
  <si>
    <t>1st $M HG (0500-2000)</t>
  </si>
  <si>
    <t>PTE PATIL AMEYA MANOJ</t>
  </si>
  <si>
    <t>PTE ROYSTON SEOW</t>
  </si>
  <si>
    <t>B</t>
  </si>
  <si>
    <t>1st $FC</t>
  </si>
  <si>
    <t xml:space="preserve">1st $FC           </t>
  </si>
  <si>
    <t>AM MA          PM OFF</t>
  </si>
  <si>
    <t>6th $AM IPPT (0730-0920)</t>
  </si>
  <si>
    <t>6th $M HG (0500-2000)</t>
  </si>
  <si>
    <t>PTMC</t>
  </si>
  <si>
    <t>OFF - LANCER</t>
  </si>
  <si>
    <t>LANCER OFF</t>
  </si>
  <si>
    <t>NIL</t>
  </si>
  <si>
    <t>DA PM</t>
  </si>
  <si>
    <t>good preformance off</t>
  </si>
  <si>
    <t>MARCH GP COVER AM OFF</t>
  </si>
  <si>
    <t>NEW YEARS OIL</t>
  </si>
  <si>
    <t xml:space="preserve">MSP REHEARSAL </t>
  </si>
  <si>
    <t>6TH $PM CC (1630-1820)</t>
  </si>
  <si>
    <t>5TH $FC</t>
  </si>
  <si>
    <t>2ND $PM CC</t>
  </si>
  <si>
    <t>P $AM CC (0500-1030)</t>
  </si>
  <si>
    <t xml:space="preserve">2nd $M HG (0500-2000)    </t>
  </si>
  <si>
    <t xml:space="preserve">2ND + 6TH $AM ISAD (0730-0920)  </t>
  </si>
  <si>
    <t>OFF- FULL IFC OFF</t>
  </si>
  <si>
    <t>5TH $PM CC</t>
  </si>
  <si>
    <t>GP OFF (AM)</t>
  </si>
  <si>
    <t xml:space="preserve"> 1st $FC</t>
  </si>
  <si>
    <t>MA AM</t>
  </si>
  <si>
    <t>OIL CNY DUTY</t>
  </si>
  <si>
    <t>2ND + 6TH $PM WEAPON PRES (1930-2130)</t>
  </si>
  <si>
    <t>SB1 (EXTRA)</t>
  </si>
  <si>
    <t>PERMSTAFF $AM SOC</t>
  </si>
  <si>
    <t>6TH $AM IPPT</t>
  </si>
  <si>
    <t>5TH $M HG (0500-2000)</t>
  </si>
  <si>
    <t xml:space="preserve">5th $FC       </t>
  </si>
  <si>
    <t>temp cover row</t>
  </si>
  <si>
    <t xml:space="preserve">      </t>
  </si>
  <si>
    <t>2nd $FC</t>
  </si>
  <si>
    <t>PT PERSONNEL</t>
  </si>
  <si>
    <t>RH PERSONNEL</t>
  </si>
  <si>
    <t>NAME</t>
  </si>
  <si>
    <t>BATCH</t>
  </si>
  <si>
    <t>AMPT STATUS</t>
  </si>
  <si>
    <t>DEPARTMENT</t>
  </si>
  <si>
    <t>LEAVING  DATE</t>
  </si>
  <si>
    <t>LEAVING REASON</t>
  </si>
  <si>
    <t>DURATION</t>
  </si>
  <si>
    <t>P061</t>
  </si>
  <si>
    <t>PASS</t>
  </si>
  <si>
    <t>ADMIN</t>
  </si>
  <si>
    <t>DISPENSARY</t>
  </si>
  <si>
    <t>P066</t>
  </si>
  <si>
    <t>P067</t>
  </si>
  <si>
    <t>OJT</t>
  </si>
  <si>
    <t>P062</t>
  </si>
  <si>
    <t>FAIL</t>
  </si>
  <si>
    <t>P064</t>
  </si>
  <si>
    <t>P065</t>
  </si>
  <si>
    <t>OPS</t>
  </si>
  <si>
    <t>P063</t>
  </si>
  <si>
    <t>TREATMENT</t>
  </si>
  <si>
    <t>DISRUPTION</t>
  </si>
  <si>
    <t>SICKBAY</t>
  </si>
  <si>
    <t>STORES</t>
  </si>
  <si>
    <t>OVERSEAS EX.</t>
  </si>
  <si>
    <t>SETTINGS</t>
  </si>
  <si>
    <t>Setting</t>
  </si>
  <si>
    <t>Change the Setting key by updating the values below.</t>
  </si>
  <si>
    <t>Add worksheet by duplicating the 'Roster' sheet tab. 
New tabs will reference this same attendance key.</t>
  </si>
  <si>
    <t>Setting KEY Duty</t>
  </si>
  <si>
    <t>Points</t>
  </si>
  <si>
    <t>Point System</t>
  </si>
  <si>
    <t>REQUIREMENT</t>
  </si>
  <si>
    <t>Point awarded</t>
  </si>
  <si>
    <t>Before 0745</t>
  </si>
  <si>
    <t>After 1730</t>
  </si>
  <si>
    <t>Pass 0000</t>
  </si>
  <si>
    <t>Stay in due to ferry</t>
  </si>
  <si>
    <t>12 km/ long cover with likely stay in</t>
  </si>
  <si>
    <t>Each Consecutive days
To caculate manually</t>
  </si>
  <si>
    <t>0.09, 0.11, 0.13, 0.17</t>
  </si>
  <si>
    <t>Block</t>
  </si>
  <si>
    <t>Reserve</t>
  </si>
  <si>
    <t>S+</t>
  </si>
  <si>
    <t>Serve Plus</t>
  </si>
  <si>
    <t>EX-D</t>
  </si>
  <si>
    <t>Excused duties</t>
  </si>
  <si>
    <t>VACC</t>
  </si>
  <si>
    <t xml:space="preserve">Vaccination </t>
  </si>
  <si>
    <t>$AM BRT</t>
  </si>
  <si>
    <t>Bedok RT AM</t>
  </si>
  <si>
    <t>$AM IPPT</t>
  </si>
  <si>
    <t>IPPT AM</t>
  </si>
  <si>
    <t>$AM 3KM</t>
  </si>
  <si>
    <t>3KM AM</t>
  </si>
  <si>
    <t>$AM 4KM</t>
  </si>
  <si>
    <t>4KM AM</t>
  </si>
  <si>
    <t>$AM 6KM</t>
  </si>
  <si>
    <t>6KM AM</t>
  </si>
  <si>
    <t>$AM 8KM</t>
  </si>
  <si>
    <t>8KM AM</t>
  </si>
  <si>
    <t>$AM AGR</t>
  </si>
  <si>
    <t>AGR AM</t>
  </si>
  <si>
    <t>$AM CC</t>
  </si>
  <si>
    <t>CC AM</t>
  </si>
  <si>
    <t>$AM CATRUN</t>
  </si>
  <si>
    <t>CAT RUN AM</t>
  </si>
  <si>
    <t>$AM SOC</t>
  </si>
  <si>
    <t>SOC AM</t>
  </si>
  <si>
    <t>$PM BRT</t>
  </si>
  <si>
    <t>Bedok RT PM</t>
  </si>
  <si>
    <t>$PM IPPT</t>
  </si>
  <si>
    <t>IPPT PM</t>
  </si>
  <si>
    <t>$PM 3KM</t>
  </si>
  <si>
    <t>3KM PM</t>
  </si>
  <si>
    <t>$PM 4KM</t>
  </si>
  <si>
    <t>4KM PM</t>
  </si>
  <si>
    <t>$PM 6KM</t>
  </si>
  <si>
    <t>6KM PM</t>
  </si>
  <si>
    <t>$PM 8KM</t>
  </si>
  <si>
    <t>8KM PM</t>
  </si>
  <si>
    <t>$PM AGR</t>
  </si>
  <si>
    <t>AGR PM</t>
  </si>
  <si>
    <t>$PM CC</t>
  </si>
  <si>
    <t>CC PM</t>
  </si>
  <si>
    <t>$PM CATRUN</t>
  </si>
  <si>
    <t>CAT RUN PM</t>
  </si>
  <si>
    <t>$PM SOC</t>
  </si>
  <si>
    <t>SOC PM</t>
  </si>
  <si>
    <t>$M HG</t>
  </si>
  <si>
    <t>Hand granade long</t>
  </si>
  <si>
    <t>$M BIC</t>
  </si>
  <si>
    <t>BIC long</t>
  </si>
  <si>
    <t>$M 12KM</t>
  </si>
  <si>
    <t>12KM long</t>
  </si>
  <si>
    <t>$M DE</t>
  </si>
  <si>
    <t>DE Long</t>
  </si>
  <si>
    <t>$L 16KM</t>
  </si>
  <si>
    <t>16km l</t>
  </si>
  <si>
    <t>$L RE-SIT</t>
  </si>
  <si>
    <t xml:space="preserve">RE SIT-TEST </t>
  </si>
  <si>
    <t>$L CQB</t>
  </si>
  <si>
    <t>CQB</t>
  </si>
  <si>
    <t>$FC</t>
  </si>
  <si>
    <t>Field Camp</t>
  </si>
  <si>
    <t>TEKONG 8KM</t>
  </si>
  <si>
    <t>UNIT</t>
  </si>
  <si>
    <t>SCH 3</t>
  </si>
  <si>
    <t>LCP YASIR</t>
  </si>
  <si>
    <t>PTE RALPH</t>
  </si>
  <si>
    <t>LCP RAIYAN</t>
  </si>
  <si>
    <t>SCH 4</t>
  </si>
  <si>
    <t>OUTSIDE 16KM</t>
  </si>
  <si>
    <t>SFT</t>
  </si>
  <si>
    <t>LCP ETIENNE</t>
  </si>
  <si>
    <t>SP1 (SV)</t>
  </si>
  <si>
    <t>LCP SHAUKI</t>
  </si>
  <si>
    <t>RP1 (RP)</t>
  </si>
  <si>
    <t>LCP HAMZA</t>
  </si>
  <si>
    <t>RP1 (SV)</t>
  </si>
  <si>
    <t>PTE MATTHEW TAN</t>
  </si>
  <si>
    <t>RP2 (RP)</t>
  </si>
  <si>
    <t>LCP EDWARD GAN</t>
  </si>
  <si>
    <t>RP2 (SV)</t>
  </si>
  <si>
    <t>LCP ANIRUDH</t>
  </si>
  <si>
    <t>RP3 (RP)</t>
  </si>
  <si>
    <t>LCP ETHAN GOH</t>
  </si>
  <si>
    <t>CFC AINSLEY</t>
  </si>
  <si>
    <t>RP3 (SV)</t>
  </si>
  <si>
    <t>CFC AMSYAR</t>
  </si>
  <si>
    <t>EP (RP)</t>
  </si>
  <si>
    <t>EP (SV)</t>
  </si>
  <si>
    <t>LCP JIHUI</t>
  </si>
  <si>
    <t>MMU 1</t>
  </si>
  <si>
    <t>LCP HYDER</t>
  </si>
  <si>
    <t>MMU 2</t>
  </si>
  <si>
    <t>PTE DAANYAAL</t>
  </si>
  <si>
    <t>GP ROLES</t>
  </si>
  <si>
    <t xml:space="preserve">FAP 1 IC </t>
  </si>
  <si>
    <t>3SG SAMUEL TAN</t>
  </si>
  <si>
    <t>FAP 2 IC</t>
  </si>
  <si>
    <t>CPL JIANG RUI</t>
  </si>
  <si>
    <t>FAP 3 IC</t>
  </si>
  <si>
    <t>LCP RAPHAEL</t>
  </si>
  <si>
    <t xml:space="preserve">FAP 4 IC </t>
  </si>
  <si>
    <t>CPL WILLARD</t>
  </si>
  <si>
    <t>Spotter</t>
  </si>
  <si>
    <t>CFC ETHAN KOH</t>
  </si>
  <si>
    <t>CFC BRENDON TOH</t>
  </si>
  <si>
    <t>Stretcher Party</t>
  </si>
  <si>
    <t>LCP JOVAN CHUA</t>
  </si>
  <si>
    <t>3SG ISAAC HO</t>
  </si>
  <si>
    <t>CPL JULIAN TAN</t>
  </si>
  <si>
    <t>AMB IC</t>
  </si>
  <si>
    <t>LCP EKLAVYA</t>
  </si>
  <si>
    <t>CFC GERALD TAN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</si>
</sst>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;@"/>
    <numFmt numFmtId="179" formatCode="[$£-809]#,##0.00"/>
    <numFmt numFmtId="180" formatCode="m&quot;/&quot;d"/>
    <numFmt numFmtId="181" formatCode="d&quot;/&quot;m"/>
    <numFmt numFmtId="182" formatCode="ddd"/>
  </numFmts>
  <fonts count="66">
    <font>
      <sz val="10"/>
      <color rgb="FF000000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b/>
      <sz val="10"/>
      <color rgb="FF000000"/>
      <name val="Arial"/>
      <charset val="134"/>
    </font>
    <font>
      <sz val="10"/>
      <color rgb="FFFFFFFF"/>
      <name val="Arial"/>
      <charset val="134"/>
    </font>
    <font>
      <b/>
      <sz val="10"/>
      <color rgb="FFFFFFFF"/>
      <name val="Arial"/>
      <charset val="134"/>
    </font>
    <font>
      <sz val="10"/>
      <name val="Roboto"/>
      <charset val="134"/>
    </font>
    <font>
      <sz val="12"/>
      <color rgb="FFC5CAE9"/>
      <name val="Roboto"/>
      <charset val="134"/>
    </font>
    <font>
      <sz val="12"/>
      <color rgb="FFC5CAE9"/>
      <name val="Roboto Condensed"/>
      <charset val="134"/>
    </font>
    <font>
      <sz val="18"/>
      <color rgb="FFFFFFFF"/>
      <name val="Roboto"/>
      <charset val="134"/>
    </font>
    <font>
      <sz val="20"/>
      <color rgb="FFFFFFFF"/>
      <name val="Roboto"/>
      <charset val="134"/>
    </font>
    <font>
      <sz val="10"/>
      <color rgb="FF303F9F"/>
      <name val="Roboto"/>
      <charset val="134"/>
    </font>
    <font>
      <i/>
      <sz val="10"/>
      <color rgb="FF303F9F"/>
      <name val="Roboto Condensed"/>
      <charset val="134"/>
    </font>
    <font>
      <sz val="10"/>
      <color rgb="FF434343"/>
      <name val="Roboto"/>
      <charset val="134"/>
    </font>
    <font>
      <b/>
      <sz val="10"/>
      <color rgb="FF303F9F"/>
      <name val="Roboto"/>
      <charset val="134"/>
    </font>
    <font>
      <b/>
      <sz val="10"/>
      <color rgb="FF434343"/>
      <name val="Roboto"/>
      <charset val="134"/>
    </font>
    <font>
      <b/>
      <sz val="10"/>
      <color rgb="FF000000"/>
      <name val="Roboto"/>
      <charset val="134"/>
    </font>
    <font>
      <b/>
      <sz val="11"/>
      <color rgb="FF434343"/>
      <name val="Roboto"/>
      <charset val="134"/>
    </font>
    <font>
      <sz val="11"/>
      <color rgb="FF434343"/>
      <name val="Roboto"/>
      <charset val="134"/>
    </font>
    <font>
      <sz val="13"/>
      <color rgb="FFFFFFFF"/>
      <name val="Roboto"/>
      <charset val="134"/>
    </font>
    <font>
      <sz val="12"/>
      <color rgb="FFFFFFFF"/>
      <name val="Roboto"/>
      <charset val="134"/>
    </font>
    <font>
      <i/>
      <sz val="10"/>
      <color rgb="FFC5CAE9"/>
      <name val="Roboto Condensed"/>
      <charset val="134"/>
    </font>
    <font>
      <i/>
      <sz val="10"/>
      <color rgb="FFC5CAE9"/>
      <name val="Roboto"/>
      <charset val="134"/>
    </font>
    <font>
      <b/>
      <sz val="10"/>
      <color rgb="FF1C4587"/>
      <name val="Roboto"/>
      <charset val="134"/>
    </font>
    <font>
      <b/>
      <sz val="9"/>
      <color rgb="FF303F9F"/>
      <name val="Roboto"/>
      <charset val="134"/>
    </font>
    <font>
      <b/>
      <sz val="12"/>
      <color rgb="FF303F9F"/>
      <name val="Roboto"/>
      <charset val="134"/>
    </font>
    <font>
      <i/>
      <sz val="10"/>
      <color rgb="FF6772AD"/>
      <name val="Roboto"/>
      <charset val="134"/>
    </font>
    <font>
      <sz val="10"/>
      <color rgb="FF6772AD"/>
      <name val="Roboto"/>
      <charset val="134"/>
    </font>
    <font>
      <sz val="10"/>
      <color rgb="FF1C4587"/>
      <name val="Roboto"/>
      <charset val="134"/>
    </font>
    <font>
      <b/>
      <sz val="10"/>
      <color rgb="FF000000"/>
      <name val="Times New Roman"/>
      <charset val="134"/>
    </font>
    <font>
      <sz val="10"/>
      <color rgb="FF666666"/>
      <name val="Roboto"/>
      <charset val="134"/>
    </font>
    <font>
      <strike/>
      <sz val="10"/>
      <name val="Arial"/>
      <charset val="134"/>
    </font>
    <font>
      <b/>
      <sz val="10"/>
      <name val="Roboto"/>
      <charset val="134"/>
    </font>
    <font>
      <b/>
      <sz val="10"/>
      <name val="Times New Roman"/>
      <charset val="134"/>
    </font>
    <font>
      <b/>
      <sz val="9"/>
      <color rgb="FF000000"/>
      <name val="Times New Roman"/>
      <charset val="134"/>
    </font>
    <font>
      <b/>
      <sz val="9"/>
      <name val="Times New Roman"/>
      <charset val="134"/>
    </font>
    <font>
      <sz val="9"/>
      <color rgb="FF000000"/>
      <name val="Arial"/>
      <charset val="134"/>
    </font>
    <font>
      <sz val="24"/>
      <name val="Roboto"/>
      <charset val="134"/>
    </font>
    <font>
      <sz val="10"/>
      <name val="Times New Roman"/>
      <charset val="134"/>
    </font>
    <font>
      <sz val="9"/>
      <name val="Times New Roman"/>
      <charset val="134"/>
    </font>
    <font>
      <i/>
      <sz val="10"/>
      <name val="Roboto"/>
      <charset val="134"/>
    </font>
    <font>
      <b/>
      <sz val="11"/>
      <color rgb="FF303F9F"/>
      <name val="Roboto"/>
      <charset val="134"/>
    </font>
    <font>
      <b/>
      <i/>
      <sz val="9"/>
      <color rgb="FF000000"/>
      <name val="Times New Roman"/>
      <charset val="134"/>
    </font>
    <font>
      <b/>
      <sz val="6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"/>
      <color rgb="FF000000"/>
      <name val="Times New Roman"/>
      <charset val="134"/>
    </font>
  </fonts>
  <fills count="62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2A3990"/>
        <bgColor rgb="FF2A3990"/>
      </patternFill>
    </fill>
    <fill>
      <patternFill patternType="solid">
        <fgColor rgb="FFE8EAF6"/>
        <bgColor rgb="FFE8EAF6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3D85C6"/>
        <bgColor rgb="FF3D85C6"/>
      </patternFill>
    </fill>
    <fill>
      <patternFill patternType="solid">
        <fgColor rgb="FF1155CC"/>
        <bgColor rgb="FF1155CC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rgb="FF6FA8DC"/>
        <bgColor rgb="FF6FA8DC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76A5B0"/>
        <bgColor rgb="FF76A5B0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3C78D8"/>
        <bgColor rgb="FF3C78D8"/>
      </patternFill>
    </fill>
    <fill>
      <patternFill patternType="solid">
        <fgColor rgb="FFCCCCCC"/>
        <bgColor rgb="FFCCCCCC"/>
      </patternFill>
    </fill>
    <fill>
      <patternFill patternType="solid">
        <fgColor rgb="FF4C1130"/>
        <bgColor rgb="FF4C113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303F9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E8EAF6"/>
      </right>
      <top/>
      <bottom/>
      <diagonal/>
    </border>
    <border>
      <left style="thin">
        <color rgb="FFE8EAF6"/>
      </left>
      <right style="thin">
        <color rgb="FFE8EAF6"/>
      </right>
      <top/>
      <bottom/>
      <diagonal/>
    </border>
    <border>
      <left style="thin">
        <color rgb="FFE8EAF6"/>
      </left>
      <right/>
      <top/>
      <bottom/>
      <diagonal/>
    </border>
    <border>
      <left/>
      <right/>
      <top/>
      <bottom style="thin">
        <color rgb="FFC5CAE9"/>
      </bottom>
      <diagonal/>
    </border>
    <border>
      <left/>
      <right style="thin">
        <color rgb="FFE8EAF6"/>
      </right>
      <top/>
      <bottom style="thin">
        <color rgb="FFC5CAE9"/>
      </bottom>
      <diagonal/>
    </border>
    <border>
      <left style="thin">
        <color rgb="FFE8EAF6"/>
      </left>
      <right style="thin">
        <color rgb="FFE8EAF6"/>
      </right>
      <top/>
      <bottom style="thin">
        <color rgb="FFC5CAE9"/>
      </bottom>
      <diagonal/>
    </border>
    <border>
      <left style="thin">
        <color rgb="FFE8EAF6"/>
      </left>
      <right/>
      <top/>
      <bottom style="thin">
        <color rgb="FFC5CAE9"/>
      </bottom>
      <diagonal/>
    </border>
    <border>
      <left style="thin">
        <color rgb="FFC5CAE9"/>
      </left>
      <right/>
      <top/>
      <bottom/>
      <diagonal/>
    </border>
    <border>
      <left style="thin">
        <color rgb="FFC5CAE9"/>
      </left>
      <right style="thin">
        <color rgb="FFC5CAE9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5" fillId="0" borderId="0" applyFont="0" applyFill="0" applyBorder="0" applyAlignment="0" applyProtection="0">
      <alignment vertical="center"/>
    </xf>
    <xf numFmtId="44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31" borderId="28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32" borderId="31" applyNumberFormat="0" applyAlignment="0" applyProtection="0">
      <alignment vertical="center"/>
    </xf>
    <xf numFmtId="0" fontId="55" fillId="33" borderId="32" applyNumberFormat="0" applyAlignment="0" applyProtection="0">
      <alignment vertical="center"/>
    </xf>
    <xf numFmtId="0" fontId="56" fillId="33" borderId="31" applyNumberFormat="0" applyAlignment="0" applyProtection="0">
      <alignment vertical="center"/>
    </xf>
    <xf numFmtId="0" fontId="57" fillId="34" borderId="33" applyNumberFormat="0" applyAlignment="0" applyProtection="0">
      <alignment vertical="center"/>
    </xf>
    <xf numFmtId="0" fontId="58" fillId="0" borderId="34" applyNumberFormat="0" applyFill="0" applyAlignment="0" applyProtection="0">
      <alignment vertical="center"/>
    </xf>
    <xf numFmtId="0" fontId="59" fillId="0" borderId="35" applyNumberFormat="0" applyFill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4" fillId="39" borderId="0" applyNumberFormat="0" applyBorder="0" applyAlignment="0" applyProtection="0">
      <alignment vertical="center"/>
    </xf>
    <xf numFmtId="0" fontId="64" fillId="40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64" fillId="43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4" fillId="55" borderId="0" applyNumberFormat="0" applyBorder="0" applyAlignment="0" applyProtection="0">
      <alignment vertical="center"/>
    </xf>
    <xf numFmtId="0" fontId="64" fillId="56" borderId="0" applyNumberFormat="0" applyBorder="0" applyAlignment="0" applyProtection="0">
      <alignment vertical="center"/>
    </xf>
    <xf numFmtId="0" fontId="63" fillId="57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4" fillId="59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</cellStyleXfs>
  <cellXfs count="407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/>
    <xf numFmtId="0" fontId="1" fillId="0" borderId="0" xfId="0" applyFont="1" applyAlignment="1">
      <alignment horizontal="right"/>
    </xf>
    <xf numFmtId="0" fontId="1" fillId="0" borderId="1" xfId="0" applyFont="1" applyBorder="1" applyAlignment="1"/>
    <xf numFmtId="0" fontId="3" fillId="0" borderId="1" xfId="0" applyFont="1" applyBorder="1" applyAlignment="1"/>
    <xf numFmtId="0" fontId="0" fillId="0" borderId="1" xfId="0" applyFont="1" applyBorder="1" applyAlignment="1"/>
    <xf numFmtId="0" fontId="4" fillId="0" borderId="1" xfId="0" applyFont="1" applyBorder="1" applyAlignment="1"/>
    <xf numFmtId="0" fontId="1" fillId="2" borderId="1" xfId="0" applyFont="1" applyFill="1" applyBorder="1" applyAlignment="1"/>
    <xf numFmtId="0" fontId="5" fillId="3" borderId="1" xfId="0" applyFont="1" applyFill="1" applyBorder="1" applyAlignment="1"/>
    <xf numFmtId="0" fontId="6" fillId="3" borderId="1" xfId="0" applyFont="1" applyFill="1" applyBorder="1" applyAlignment="1"/>
    <xf numFmtId="0" fontId="7" fillId="4" borderId="2" xfId="0" applyFont="1" applyFill="1" applyBorder="1" applyAlignment="1">
      <alignment wrapText="1"/>
    </xf>
    <xf numFmtId="0" fontId="8" fillId="5" borderId="0" xfId="0" applyFont="1" applyFill="1"/>
    <xf numFmtId="0" fontId="9" fillId="5" borderId="0" xfId="0" applyFont="1" applyFill="1" applyAlignment="1">
      <alignment horizontal="left"/>
    </xf>
    <xf numFmtId="0" fontId="10" fillId="5" borderId="3" xfId="0" applyFont="1" applyFill="1" applyBorder="1" applyAlignment="1">
      <alignment vertical="top"/>
    </xf>
    <xf numFmtId="0" fontId="11" fillId="5" borderId="3" xfId="0" applyFont="1" applyFill="1" applyBorder="1" applyAlignment="1">
      <alignment horizontal="left" vertical="top"/>
    </xf>
    <xf numFmtId="0" fontId="1" fillId="0" borderId="3" xfId="0" applyFont="1" applyBorder="1"/>
    <xf numFmtId="0" fontId="10" fillId="5" borderId="0" xfId="0" applyFont="1" applyFill="1" applyAlignment="1">
      <alignment vertical="top"/>
    </xf>
    <xf numFmtId="0" fontId="12" fillId="6" borderId="0" xfId="0" applyFont="1" applyFill="1" applyAlignment="1"/>
    <xf numFmtId="0" fontId="13" fillId="6" borderId="0" xfId="0" applyFont="1" applyFill="1" applyAlignment="1">
      <alignment horizontal="left"/>
    </xf>
    <xf numFmtId="0" fontId="12" fillId="6" borderId="0" xfId="0" applyFont="1" applyFill="1" applyAlignment="1">
      <alignment vertical="top"/>
    </xf>
    <xf numFmtId="0" fontId="13" fillId="6" borderId="0" xfId="0" applyFont="1" applyFill="1" applyAlignment="1">
      <alignment horizontal="left" vertical="top"/>
    </xf>
    <xf numFmtId="0" fontId="14" fillId="0" borderId="0" xfId="0" applyFont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4" fillId="0" borderId="0" xfId="0" applyFont="1" applyAlignment="1"/>
    <xf numFmtId="0" fontId="16" fillId="0" borderId="1" xfId="0" applyFont="1" applyBorder="1" applyAlignment="1">
      <alignment horizontal="left"/>
    </xf>
    <xf numFmtId="0" fontId="14" fillId="0" borderId="1" xfId="0" applyFont="1" applyBorder="1" applyAlignment="1"/>
    <xf numFmtId="0" fontId="17" fillId="7" borderId="1" xfId="0" applyFont="1" applyFill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9" fillId="0" borderId="1" xfId="0" applyFont="1" applyBorder="1" applyAlignment="1"/>
    <xf numFmtId="0" fontId="16" fillId="0" borderId="0" xfId="0" applyFont="1" applyAlignment="1">
      <alignment horizontal="left"/>
    </xf>
    <xf numFmtId="178" fontId="0" fillId="0" borderId="0" xfId="0" applyNumberFormat="1" applyFont="1" applyAlignment="1"/>
    <xf numFmtId="0" fontId="0" fillId="0" borderId="0" xfId="0" applyFont="1" applyAlignment="1">
      <alignment horizontal="center"/>
    </xf>
    <xf numFmtId="178" fontId="0" fillId="0" borderId="0" xfId="0" applyNumberFormat="1" applyFont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9" borderId="4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179" fontId="20" fillId="5" borderId="1" xfId="0" applyNumberFormat="1" applyFont="1" applyFill="1" applyBorder="1" applyAlignment="1">
      <alignment horizontal="left" wrapText="1"/>
    </xf>
    <xf numFmtId="0" fontId="21" fillId="5" borderId="1" xfId="0" applyFont="1" applyFill="1" applyBorder="1" applyAlignment="1">
      <alignment horizontal="left" wrapText="1"/>
    </xf>
    <xf numFmtId="0" fontId="22" fillId="5" borderId="5" xfId="0" applyFont="1" applyFill="1" applyBorder="1" applyAlignment="1">
      <alignment horizontal="left" wrapText="1"/>
    </xf>
    <xf numFmtId="0" fontId="1" fillId="0" borderId="6" xfId="0" applyFont="1" applyBorder="1"/>
    <xf numFmtId="0" fontId="1" fillId="0" borderId="7" xfId="0" applyFont="1" applyBorder="1"/>
    <xf numFmtId="0" fontId="23" fillId="5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180" fontId="7" fillId="0" borderId="1" xfId="0" applyNumberFormat="1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10" borderId="1" xfId="0" applyFont="1" applyFill="1" applyBorder="1" applyAlignment="1">
      <alignment horizontal="left" wrapText="1"/>
    </xf>
    <xf numFmtId="0" fontId="15" fillId="4" borderId="1" xfId="0" applyFont="1" applyFill="1" applyBorder="1" applyAlignment="1">
      <alignment horizontal="left" wrapText="1"/>
    </xf>
    <xf numFmtId="0" fontId="15" fillId="10" borderId="1" xfId="0" applyFont="1" applyFill="1" applyBorder="1" applyAlignment="1">
      <alignment horizontal="left" wrapText="1"/>
    </xf>
    <xf numFmtId="0" fontId="15" fillId="7" borderId="1" xfId="0" applyFont="1" applyFill="1" applyBorder="1" applyAlignment="1">
      <alignment horizontal="left" wrapText="1"/>
    </xf>
    <xf numFmtId="0" fontId="24" fillId="0" borderId="1" xfId="0" applyFont="1" applyBorder="1" applyAlignment="1">
      <alignment horizontal="left" wrapText="1"/>
    </xf>
    <xf numFmtId="0" fontId="25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181" fontId="26" fillId="10" borderId="1" xfId="0" applyNumberFormat="1" applyFont="1" applyFill="1" applyBorder="1" applyAlignment="1">
      <alignment horizontal="left" wrapText="1"/>
    </xf>
    <xf numFmtId="181" fontId="15" fillId="0" borderId="1" xfId="0" applyNumberFormat="1" applyFont="1" applyBorder="1" applyAlignment="1">
      <alignment horizontal="left" wrapText="1"/>
    </xf>
    <xf numFmtId="181" fontId="15" fillId="10" borderId="1" xfId="0" applyNumberFormat="1" applyFont="1" applyFill="1" applyBorder="1" applyAlignment="1">
      <alignment horizontal="left" wrapText="1"/>
    </xf>
    <xf numFmtId="181" fontId="24" fillId="0" borderId="1" xfId="0" applyNumberFormat="1" applyFont="1" applyBorder="1" applyAlignment="1">
      <alignment horizontal="left" wrapText="1"/>
    </xf>
    <xf numFmtId="0" fontId="25" fillId="8" borderId="8" xfId="0" applyFont="1" applyFill="1" applyBorder="1" applyAlignment="1">
      <alignment horizontal="left" wrapText="1"/>
    </xf>
    <xf numFmtId="0" fontId="25" fillId="8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27" fillId="0" borderId="1" xfId="0" applyFont="1" applyBorder="1" applyAlignment="1">
      <alignment horizontal="left" wrapText="1"/>
    </xf>
    <xf numFmtId="182" fontId="28" fillId="10" borderId="1" xfId="0" applyNumberFormat="1" applyFont="1" applyFill="1" applyBorder="1" applyAlignment="1">
      <alignment horizontal="left" wrapText="1"/>
    </xf>
    <xf numFmtId="182" fontId="28" fillId="0" borderId="1" xfId="0" applyNumberFormat="1" applyFont="1" applyBorder="1" applyAlignment="1">
      <alignment horizontal="left" wrapText="1"/>
    </xf>
    <xf numFmtId="182" fontId="29" fillId="0" borderId="1" xfId="0" applyNumberFormat="1" applyFont="1" applyBorder="1" applyAlignment="1">
      <alignment horizontal="left" wrapText="1"/>
    </xf>
    <xf numFmtId="0" fontId="1" fillId="0" borderId="4" xfId="0" applyFont="1" applyBorder="1"/>
    <xf numFmtId="0" fontId="27" fillId="8" borderId="1" xfId="0" applyFont="1" applyFill="1" applyBorder="1" applyAlignment="1">
      <alignment horizontal="left" wrapText="1"/>
    </xf>
    <xf numFmtId="0" fontId="7" fillId="4" borderId="1" xfId="0" applyFont="1" applyFill="1" applyBorder="1" applyAlignment="1">
      <alignment horizontal="left" wrapText="1"/>
    </xf>
    <xf numFmtId="0" fontId="1" fillId="9" borderId="1" xfId="0" applyFont="1" applyFill="1" applyBorder="1" applyAlignment="1">
      <alignment wrapText="1"/>
    </xf>
    <xf numFmtId="0" fontId="7" fillId="8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left" wrapText="1"/>
    </xf>
    <xf numFmtId="0" fontId="1" fillId="4" borderId="4" xfId="0" applyFont="1" applyFill="1" applyBorder="1" applyAlignment="1">
      <alignment wrapText="1"/>
    </xf>
    <xf numFmtId="0" fontId="1" fillId="9" borderId="4" xfId="0" applyFont="1" applyFill="1" applyBorder="1" applyAlignment="1"/>
    <xf numFmtId="0" fontId="1" fillId="7" borderId="9" xfId="0" applyFont="1" applyFill="1" applyBorder="1" applyAlignment="1"/>
    <xf numFmtId="0" fontId="1" fillId="11" borderId="4" xfId="0" applyFont="1" applyFill="1" applyBorder="1" applyAlignment="1">
      <alignment wrapText="1"/>
    </xf>
    <xf numFmtId="0" fontId="1" fillId="12" borderId="4" xfId="0" applyFont="1" applyFill="1" applyBorder="1" applyAlignment="1">
      <alignment wrapText="1"/>
    </xf>
    <xf numFmtId="0" fontId="1" fillId="9" borderId="4" xfId="0" applyFont="1" applyFill="1" applyBorder="1" applyAlignment="1">
      <alignment wrapText="1"/>
    </xf>
    <xf numFmtId="0" fontId="1" fillId="4" borderId="4" xfId="0" applyFont="1" applyFill="1" applyBorder="1" applyAlignment="1"/>
    <xf numFmtId="0" fontId="30" fillId="0" borderId="1" xfId="0" applyFont="1" applyBorder="1" applyAlignment="1">
      <alignment horizontal="left" wrapText="1"/>
    </xf>
    <xf numFmtId="0" fontId="1" fillId="9" borderId="0" xfId="0" applyFont="1" applyFill="1" applyAlignment="1"/>
    <xf numFmtId="0" fontId="1" fillId="13" borderId="1" xfId="0" applyFont="1" applyFill="1" applyBorder="1" applyAlignment="1">
      <alignment wrapText="1"/>
    </xf>
    <xf numFmtId="0" fontId="1" fillId="14" borderId="4" xfId="0" applyFont="1" applyFill="1" applyBorder="1" applyAlignment="1">
      <alignment wrapText="1"/>
    </xf>
    <xf numFmtId="0" fontId="1" fillId="4" borderId="1" xfId="0" applyFont="1" applyFill="1" applyBorder="1" applyAlignment="1"/>
    <xf numFmtId="0" fontId="1" fillId="9" borderId="1" xfId="0" applyFont="1" applyFill="1" applyBorder="1" applyAlignment="1"/>
    <xf numFmtId="0" fontId="1" fillId="15" borderId="1" xfId="0" applyFont="1" applyFill="1" applyBorder="1" applyAlignment="1">
      <alignment wrapText="1"/>
    </xf>
    <xf numFmtId="0" fontId="1" fillId="16" borderId="1" xfId="0" applyFont="1" applyFill="1" applyBorder="1" applyAlignment="1">
      <alignment wrapText="1"/>
    </xf>
    <xf numFmtId="0" fontId="1" fillId="17" borderId="4" xfId="0" applyFont="1" applyFill="1" applyBorder="1" applyAlignment="1"/>
    <xf numFmtId="0" fontId="1" fillId="18" borderId="1" xfId="0" applyFont="1" applyFill="1" applyBorder="1" applyAlignment="1">
      <alignment wrapText="1"/>
    </xf>
    <xf numFmtId="0" fontId="1" fillId="18" borderId="4" xfId="0" applyFont="1" applyFill="1" applyBorder="1" applyAlignment="1">
      <alignment wrapText="1"/>
    </xf>
    <xf numFmtId="0" fontId="1" fillId="17" borderId="1" xfId="0" applyFont="1" applyFill="1" applyBorder="1" applyAlignment="1">
      <alignment wrapText="1"/>
    </xf>
    <xf numFmtId="0" fontId="1" fillId="14" borderId="1" xfId="0" applyFont="1" applyFill="1" applyBorder="1" applyAlignment="1">
      <alignment wrapText="1"/>
    </xf>
    <xf numFmtId="0" fontId="1" fillId="13" borderId="4" xfId="0" applyFont="1" applyFill="1" applyBorder="1" applyAlignment="1">
      <alignment wrapText="1"/>
    </xf>
    <xf numFmtId="0" fontId="1" fillId="11" borderId="1" xfId="0" applyFont="1" applyFill="1" applyBorder="1" applyAlignment="1">
      <alignment wrapText="1"/>
    </xf>
    <xf numFmtId="0" fontId="1" fillId="9" borderId="2" xfId="0" applyFont="1" applyFill="1" applyBorder="1" applyAlignment="1"/>
    <xf numFmtId="0" fontId="1" fillId="19" borderId="4" xfId="0" applyFont="1" applyFill="1" applyBorder="1" applyAlignment="1">
      <alignment wrapText="1"/>
    </xf>
    <xf numFmtId="0" fontId="1" fillId="20" borderId="1" xfId="0" applyFont="1" applyFill="1" applyBorder="1" applyAlignment="1">
      <alignment horizontal="left" wrapText="1"/>
    </xf>
    <xf numFmtId="0" fontId="31" fillId="9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7" fillId="20" borderId="1" xfId="0" applyFont="1" applyFill="1" applyBorder="1" applyAlignment="1">
      <alignment horizontal="left" wrapText="1"/>
    </xf>
    <xf numFmtId="0" fontId="1" fillId="0" borderId="1" xfId="0" applyFont="1" applyBorder="1"/>
    <xf numFmtId="0" fontId="1" fillId="9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0" fontId="0" fillId="10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1" fillId="21" borderId="1" xfId="0" applyFont="1" applyFill="1" applyBorder="1" applyAlignment="1">
      <alignment horizontal="left" wrapText="1"/>
    </xf>
    <xf numFmtId="0" fontId="32" fillId="0" borderId="1" xfId="0" applyFont="1" applyBorder="1" applyAlignment="1">
      <alignment horizontal="left" wrapText="1"/>
    </xf>
    <xf numFmtId="0" fontId="1" fillId="22" borderId="1" xfId="0" applyFont="1" applyFill="1" applyBorder="1" applyAlignment="1">
      <alignment wrapText="1"/>
    </xf>
    <xf numFmtId="0" fontId="0" fillId="4" borderId="1" xfId="0" applyFont="1" applyFill="1" applyBorder="1" applyAlignment="1">
      <alignment horizontal="left" wrapText="1"/>
    </xf>
    <xf numFmtId="0" fontId="33" fillId="23" borderId="1" xfId="0" applyFont="1" applyFill="1" applyBorder="1" applyAlignment="1">
      <alignment horizontal="left" wrapText="1"/>
    </xf>
    <xf numFmtId="0" fontId="30" fillId="10" borderId="1" xfId="0" applyFont="1" applyFill="1" applyBorder="1" applyAlignment="1">
      <alignment horizontal="left" wrapText="1"/>
    </xf>
    <xf numFmtId="0" fontId="30" fillId="4" borderId="1" xfId="0" applyFont="1" applyFill="1" applyBorder="1" applyAlignment="1">
      <alignment horizontal="left" wrapText="1"/>
    </xf>
    <xf numFmtId="0" fontId="34" fillId="0" borderId="1" xfId="0" applyFont="1" applyBorder="1" applyAlignment="1">
      <alignment horizontal="left" wrapText="1"/>
    </xf>
    <xf numFmtId="0" fontId="35" fillId="10" borderId="1" xfId="0" applyFont="1" applyFill="1" applyBorder="1" applyAlignment="1">
      <alignment horizontal="left" wrapText="1"/>
    </xf>
    <xf numFmtId="0" fontId="35" fillId="0" borderId="1" xfId="0" applyFont="1" applyBorder="1" applyAlignment="1">
      <alignment horizontal="left" wrapText="1"/>
    </xf>
    <xf numFmtId="0" fontId="35" fillId="4" borderId="1" xfId="0" applyFont="1" applyFill="1" applyBorder="1" applyAlignment="1">
      <alignment horizontal="left" wrapText="1"/>
    </xf>
    <xf numFmtId="0" fontId="36" fillId="0" borderId="1" xfId="0" applyFont="1" applyBorder="1" applyAlignment="1">
      <alignment horizontal="left" wrapText="1"/>
    </xf>
    <xf numFmtId="0" fontId="31" fillId="20" borderId="1" xfId="0" applyFont="1" applyFill="1" applyBorder="1" applyAlignment="1">
      <alignment horizontal="left" wrapText="1"/>
    </xf>
    <xf numFmtId="0" fontId="7" fillId="24" borderId="1" xfId="0" applyFont="1" applyFill="1" applyBorder="1" applyAlignment="1">
      <alignment horizontal="left" wrapText="1"/>
    </xf>
    <xf numFmtId="0" fontId="31" fillId="0" borderId="1" xfId="0" applyFont="1" applyBorder="1" applyAlignment="1">
      <alignment horizontal="left" wrapText="1"/>
    </xf>
    <xf numFmtId="0" fontId="7" fillId="12" borderId="1" xfId="0" applyFont="1" applyFill="1" applyBorder="1" applyAlignment="1">
      <alignment horizontal="left" wrapText="1"/>
    </xf>
    <xf numFmtId="0" fontId="7" fillId="25" borderId="1" xfId="0" applyFont="1" applyFill="1" applyBorder="1" applyAlignment="1">
      <alignment horizontal="left" wrapText="1"/>
    </xf>
    <xf numFmtId="0" fontId="7" fillId="26" borderId="1" xfId="0" applyFont="1" applyFill="1" applyBorder="1" applyAlignment="1">
      <alignment horizontal="left" wrapText="1"/>
    </xf>
    <xf numFmtId="0" fontId="7" fillId="19" borderId="1" xfId="0" applyFont="1" applyFill="1" applyBorder="1" applyAlignment="1">
      <alignment horizontal="left" wrapText="1"/>
    </xf>
    <xf numFmtId="0" fontId="1" fillId="27" borderId="9" xfId="0" applyFont="1" applyFill="1" applyBorder="1" applyAlignment="1"/>
    <xf numFmtId="0" fontId="1" fillId="4" borderId="9" xfId="0" applyFont="1" applyFill="1" applyBorder="1" applyAlignment="1"/>
    <xf numFmtId="0" fontId="1" fillId="7" borderId="4" xfId="0" applyFont="1" applyFill="1" applyBorder="1" applyAlignment="1">
      <alignment wrapText="1"/>
    </xf>
    <xf numFmtId="0" fontId="1" fillId="10" borderId="9" xfId="0" applyFont="1" applyFill="1" applyBorder="1" applyAlignment="1"/>
    <xf numFmtId="0" fontId="1" fillId="27" borderId="9" xfId="0" applyFont="1" applyFill="1" applyBorder="1" applyAlignment="1">
      <alignment wrapText="1"/>
    </xf>
    <xf numFmtId="0" fontId="1" fillId="27" borderId="1" xfId="0" applyFont="1" applyFill="1" applyBorder="1" applyAlignment="1"/>
    <xf numFmtId="0" fontId="1" fillId="0" borderId="0" xfId="0" applyFont="1" applyAlignment="1">
      <alignment wrapText="1"/>
    </xf>
    <xf numFmtId="0" fontId="1" fillId="4" borderId="1" xfId="0" applyFont="1" applyFill="1" applyBorder="1" applyAlignment="1">
      <alignment wrapText="1"/>
    </xf>
    <xf numFmtId="0" fontId="1" fillId="19" borderId="1" xfId="0" applyFont="1" applyFill="1" applyBorder="1" applyAlignment="1">
      <alignment wrapText="1"/>
    </xf>
    <xf numFmtId="0" fontId="37" fillId="10" borderId="1" xfId="0" applyFont="1" applyFill="1" applyBorder="1" applyAlignment="1">
      <alignment horizontal="left" wrapText="1"/>
    </xf>
    <xf numFmtId="0" fontId="1" fillId="9" borderId="7" xfId="0" applyFont="1" applyFill="1" applyBorder="1" applyAlignment="1">
      <alignment horizontal="left" wrapText="1"/>
    </xf>
    <xf numFmtId="0" fontId="1" fillId="9" borderId="0" xfId="0" applyFont="1" applyFill="1"/>
    <xf numFmtId="0" fontId="1" fillId="4" borderId="0" xfId="0" applyFont="1" applyFill="1" applyAlignment="1">
      <alignment horizontal="left" wrapText="1"/>
    </xf>
    <xf numFmtId="0" fontId="1" fillId="4" borderId="0" xfId="0" applyFont="1" applyFill="1" applyAlignment="1">
      <alignment wrapText="1"/>
    </xf>
    <xf numFmtId="0" fontId="1" fillId="4" borderId="0" xfId="0" applyFont="1" applyFill="1" applyAlignment="1"/>
    <xf numFmtId="0" fontId="1" fillId="9" borderId="0" xfId="0" applyFont="1" applyFill="1" applyAlignment="1">
      <alignment wrapText="1"/>
    </xf>
    <xf numFmtId="0" fontId="38" fillId="8" borderId="1" xfId="0" applyFont="1" applyFill="1" applyBorder="1" applyAlignment="1">
      <alignment horizontal="left" wrapText="1"/>
    </xf>
    <xf numFmtId="0" fontId="1" fillId="4" borderId="0" xfId="0" applyFont="1" applyFill="1"/>
    <xf numFmtId="0" fontId="1" fillId="9" borderId="0" xfId="0" applyFont="1" applyFill="1" applyAlignment="1">
      <alignment horizontal="left" wrapText="1"/>
    </xf>
    <xf numFmtId="0" fontId="1" fillId="4" borderId="9" xfId="0" applyFont="1" applyFill="1" applyBorder="1" applyAlignment="1">
      <alignment wrapText="1"/>
    </xf>
    <xf numFmtId="0" fontId="31" fillId="4" borderId="1" xfId="0" applyFont="1" applyFill="1" applyBorder="1" applyAlignment="1">
      <alignment horizontal="left" wrapText="1"/>
    </xf>
    <xf numFmtId="0" fontId="33" fillId="4" borderId="1" xfId="0" applyFont="1" applyFill="1" applyBorder="1" applyAlignment="1">
      <alignment horizontal="left" wrapText="1"/>
    </xf>
    <xf numFmtId="0" fontId="37" fillId="4" borderId="1" xfId="0" applyFont="1" applyFill="1" applyBorder="1" applyAlignment="1">
      <alignment horizontal="left" wrapText="1"/>
    </xf>
    <xf numFmtId="0" fontId="1" fillId="4" borderId="5" xfId="0" applyFont="1" applyFill="1" applyBorder="1" applyAlignment="1">
      <alignment horizontal="left" wrapText="1"/>
    </xf>
    <xf numFmtId="0" fontId="1" fillId="4" borderId="7" xfId="0" applyFont="1" applyFill="1" applyBorder="1"/>
    <xf numFmtId="0" fontId="1" fillId="4" borderId="1" xfId="0" applyFont="1" applyFill="1" applyBorder="1"/>
    <xf numFmtId="0" fontId="36" fillId="4" borderId="1" xfId="0" applyFont="1" applyFill="1" applyBorder="1" applyAlignment="1">
      <alignment horizontal="left" wrapText="1"/>
    </xf>
    <xf numFmtId="0" fontId="35" fillId="9" borderId="1" xfId="0" applyFont="1" applyFill="1" applyBorder="1" applyAlignment="1">
      <alignment horizontal="left" wrapText="1"/>
    </xf>
    <xf numFmtId="0" fontId="36" fillId="9" borderId="1" xfId="0" applyFont="1" applyFill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9" borderId="0" xfId="0" applyFont="1" applyFill="1" applyAlignment="1">
      <alignment horizontal="left" wrapText="1"/>
    </xf>
    <xf numFmtId="0" fontId="1" fillId="0" borderId="0" xfId="0" applyFont="1" applyAlignment="1">
      <alignment horizontal="left" wrapText="1"/>
    </xf>
    <xf numFmtId="179" fontId="20" fillId="5" borderId="1" xfId="0" applyNumberFormat="1" applyFont="1" applyFill="1" applyBorder="1" applyAlignment="1">
      <alignment wrapText="1"/>
    </xf>
    <xf numFmtId="0" fontId="21" fillId="5" borderId="1" xfId="0" applyFont="1" applyFill="1" applyBorder="1" applyAlignment="1">
      <alignment wrapText="1"/>
    </xf>
    <xf numFmtId="0" fontId="22" fillId="5" borderId="5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5" fillId="1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wrapText="1"/>
    </xf>
    <xf numFmtId="0" fontId="25" fillId="0" borderId="1" xfId="0" applyFont="1" applyBorder="1" applyAlignment="1">
      <alignment horizontal="center" wrapText="1"/>
    </xf>
    <xf numFmtId="181" fontId="26" fillId="10" borderId="1" xfId="0" applyNumberFormat="1" applyFont="1" applyFill="1" applyBorder="1" applyAlignment="1">
      <alignment horizontal="center" wrapText="1"/>
    </xf>
    <xf numFmtId="181" fontId="15" fillId="0" borderId="1" xfId="0" applyNumberFormat="1" applyFont="1" applyBorder="1" applyAlignment="1">
      <alignment horizontal="center" wrapText="1"/>
    </xf>
    <xf numFmtId="181" fontId="15" fillId="10" borderId="1" xfId="0" applyNumberFormat="1" applyFont="1" applyFill="1" applyBorder="1" applyAlignment="1">
      <alignment horizontal="center" wrapText="1"/>
    </xf>
    <xf numFmtId="181" fontId="24" fillId="0" borderId="1" xfId="0" applyNumberFormat="1" applyFont="1" applyBorder="1" applyAlignment="1">
      <alignment horizontal="center" wrapText="1"/>
    </xf>
    <xf numFmtId="0" fontId="25" fillId="8" borderId="8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182" fontId="28" fillId="10" borderId="1" xfId="0" applyNumberFormat="1" applyFont="1" applyFill="1" applyBorder="1" applyAlignment="1">
      <alignment horizontal="center" vertical="top" wrapText="1"/>
    </xf>
    <xf numFmtId="182" fontId="28" fillId="0" borderId="1" xfId="0" applyNumberFormat="1" applyFont="1" applyBorder="1" applyAlignment="1">
      <alignment horizontal="center" vertical="top" wrapText="1"/>
    </xf>
    <xf numFmtId="182" fontId="29" fillId="0" borderId="1" xfId="0" applyNumberFormat="1" applyFont="1" applyBorder="1" applyAlignment="1">
      <alignment horizontal="center" vertical="top" wrapText="1"/>
    </xf>
    <xf numFmtId="0" fontId="27" fillId="0" borderId="1" xfId="0" applyFont="1" applyBorder="1" applyAlignment="1">
      <alignment horizontal="center" vertical="top" wrapText="1"/>
    </xf>
    <xf numFmtId="0" fontId="27" fillId="8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center" wrapText="1"/>
    </xf>
    <xf numFmtId="0" fontId="7" fillId="9" borderId="1" xfId="0" applyFont="1" applyFill="1" applyBorder="1" applyAlignment="1">
      <alignment wrapText="1"/>
    </xf>
    <xf numFmtId="0" fontId="7" fillId="8" borderId="1" xfId="0" applyFont="1" applyFill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wrapText="1"/>
    </xf>
    <xf numFmtId="0" fontId="7" fillId="9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38" fillId="8" borderId="1" xfId="0" applyFont="1" applyFill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33" fillId="0" borderId="1" xfId="0" applyFont="1" applyBorder="1" applyAlignment="1">
      <alignment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33" fillId="23" borderId="1" xfId="0" applyFont="1" applyFill="1" applyBorder="1" applyAlignment="1">
      <alignment vertical="center" wrapText="1"/>
    </xf>
    <xf numFmtId="0" fontId="36" fillId="0" borderId="1" xfId="0" applyFont="1" applyBorder="1" applyAlignment="1">
      <alignment horizontal="center" vertical="center" wrapText="1"/>
    </xf>
    <xf numFmtId="0" fontId="7" fillId="20" borderId="1" xfId="0" applyFont="1" applyFill="1" applyBorder="1" applyAlignment="1">
      <alignment vertical="center" wrapText="1"/>
    </xf>
    <xf numFmtId="0" fontId="31" fillId="20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wrapText="1"/>
    </xf>
    <xf numFmtId="0" fontId="7" fillId="24" borderId="1" xfId="0" applyFont="1" applyFill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0" fontId="7" fillId="12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0" fontId="7" fillId="16" borderId="1" xfId="0" applyFont="1" applyFill="1" applyBorder="1" applyAlignment="1">
      <alignment vertical="center" wrapText="1"/>
    </xf>
    <xf numFmtId="0" fontId="7" fillId="25" borderId="1" xfId="0" applyFont="1" applyFill="1" applyBorder="1" applyAlignment="1">
      <alignment vertical="center" wrapText="1"/>
    </xf>
    <xf numFmtId="0" fontId="7" fillId="26" borderId="1" xfId="0" applyFont="1" applyFill="1" applyBorder="1" applyAlignment="1">
      <alignment vertical="center" wrapText="1"/>
    </xf>
    <xf numFmtId="0" fontId="7" fillId="19" borderId="1" xfId="0" applyFont="1" applyFill="1" applyBorder="1" applyAlignment="1">
      <alignment vertical="center" wrapText="1"/>
    </xf>
    <xf numFmtId="179" fontId="20" fillId="5" borderId="0" xfId="0" applyNumberFormat="1" applyFont="1" applyFill="1" applyAlignment="1">
      <alignment wrapText="1"/>
    </xf>
    <xf numFmtId="0" fontId="23" fillId="5" borderId="0" xfId="0" applyFont="1" applyFill="1" applyAlignment="1">
      <alignment horizontal="left" vertical="center" wrapText="1"/>
    </xf>
    <xf numFmtId="0" fontId="1" fillId="5" borderId="3" xfId="0" applyFont="1" applyFill="1" applyBorder="1" applyAlignment="1">
      <alignment wrapText="1"/>
    </xf>
    <xf numFmtId="0" fontId="1" fillId="5" borderId="0" xfId="0" applyFont="1" applyFill="1" applyAlignment="1">
      <alignment wrapText="1"/>
    </xf>
    <xf numFmtId="180" fontId="7" fillId="0" borderId="0" xfId="0" applyNumberFormat="1" applyFont="1" applyAlignment="1">
      <alignment horizontal="left" wrapText="1"/>
    </xf>
    <xf numFmtId="0" fontId="25" fillId="0" borderId="10" xfId="0" applyFont="1" applyBorder="1" applyAlignment="1">
      <alignment horizontal="center" wrapText="1"/>
    </xf>
    <xf numFmtId="0" fontId="25" fillId="0" borderId="10" xfId="0" applyFont="1" applyBorder="1" applyAlignment="1">
      <alignment horizontal="left" wrapText="1"/>
    </xf>
    <xf numFmtId="0" fontId="25" fillId="0" borderId="0" xfId="0" applyFont="1" applyAlignment="1">
      <alignment horizontal="center" wrapText="1"/>
    </xf>
    <xf numFmtId="0" fontId="25" fillId="0" borderId="11" xfId="0" applyFont="1" applyBorder="1" applyAlignment="1">
      <alignment horizontal="center" wrapText="1"/>
    </xf>
    <xf numFmtId="0" fontId="25" fillId="0" borderId="12" xfId="0" applyFont="1" applyBorder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25" fillId="8" borderId="13" xfId="0" applyFont="1" applyFill="1" applyBorder="1" applyAlignment="1">
      <alignment horizontal="center" vertical="center" wrapText="1"/>
    </xf>
    <xf numFmtId="0" fontId="25" fillId="8" borderId="13" xfId="0" applyFont="1" applyFill="1" applyBorder="1" applyAlignment="1">
      <alignment horizontal="center" wrapText="1"/>
    </xf>
    <xf numFmtId="0" fontId="7" fillId="0" borderId="14" xfId="0" applyFont="1" applyBorder="1" applyAlignment="1">
      <alignment horizontal="left" vertical="top" wrapText="1"/>
    </xf>
    <xf numFmtId="0" fontId="27" fillId="0" borderId="15" xfId="0" applyFont="1" applyBorder="1" applyAlignment="1">
      <alignment horizontal="center" vertical="top" wrapText="1"/>
    </xf>
    <xf numFmtId="0" fontId="27" fillId="0" borderId="16" xfId="0" applyFont="1" applyBorder="1" applyAlignment="1">
      <alignment horizontal="center" vertical="top" wrapText="1"/>
    </xf>
    <xf numFmtId="0" fontId="27" fillId="0" borderId="17" xfId="0" applyFont="1" applyBorder="1" applyAlignment="1">
      <alignment horizontal="center" vertical="top" wrapText="1"/>
    </xf>
    <xf numFmtId="0" fontId="1" fillId="0" borderId="17" xfId="0" applyFont="1" applyBorder="1"/>
    <xf numFmtId="0" fontId="27" fillId="8" borderId="17" xfId="0" applyFont="1" applyFill="1" applyBorder="1" applyAlignment="1">
      <alignment horizontal="center" vertical="top" wrapText="1"/>
    </xf>
    <xf numFmtId="0" fontId="27" fillId="0" borderId="0" xfId="0" applyFont="1" applyAlignment="1">
      <alignment horizontal="center" vertical="top" wrapText="1"/>
    </xf>
    <xf numFmtId="0" fontId="7" fillId="0" borderId="0" xfId="0" applyFont="1" applyAlignment="1">
      <alignment vertical="center" wrapText="1"/>
    </xf>
    <xf numFmtId="0" fontId="39" fillId="0" borderId="1" xfId="0" applyFont="1" applyBorder="1" applyAlignment="1">
      <alignment horizontal="center" vertical="top" wrapText="1"/>
    </xf>
    <xf numFmtId="0" fontId="39" fillId="27" borderId="1" xfId="0" applyFont="1" applyFill="1" applyBorder="1" applyAlignment="1">
      <alignment horizontal="center" vertical="top" wrapText="1"/>
    </xf>
    <xf numFmtId="182" fontId="1" fillId="0" borderId="1" xfId="0" applyNumberFormat="1" applyFont="1" applyBorder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7" fillId="9" borderId="18" xfId="0" applyFont="1" applyFill="1" applyBorder="1" applyAlignment="1">
      <alignment horizontal="center" wrapText="1"/>
    </xf>
    <xf numFmtId="0" fontId="7" fillId="8" borderId="18" xfId="0" applyFont="1" applyFill="1" applyBorder="1" applyAlignment="1">
      <alignment horizontal="center" wrapText="1"/>
    </xf>
    <xf numFmtId="0" fontId="7" fillId="9" borderId="0" xfId="0" applyFont="1" applyFill="1" applyAlignment="1">
      <alignment horizontal="center" wrapText="1"/>
    </xf>
    <xf numFmtId="0" fontId="39" fillId="9" borderId="1" xfId="0" applyFont="1" applyFill="1" applyBorder="1" applyAlignment="1">
      <alignment wrapText="1"/>
    </xf>
    <xf numFmtId="0" fontId="39" fillId="27" borderId="1" xfId="0" applyFont="1" applyFill="1" applyBorder="1" applyAlignment="1">
      <alignment wrapText="1"/>
    </xf>
    <xf numFmtId="182" fontId="1" fillId="4" borderId="1" xfId="0" applyNumberFormat="1" applyFont="1" applyFill="1" applyBorder="1" applyAlignment="1">
      <alignment wrapText="1"/>
    </xf>
    <xf numFmtId="0" fontId="39" fillId="4" borderId="1" xfId="0" applyFont="1" applyFill="1" applyBorder="1" applyAlignment="1">
      <alignment wrapText="1"/>
    </xf>
    <xf numFmtId="0" fontId="1" fillId="28" borderId="1" xfId="0" applyFont="1" applyFill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19" xfId="0" applyFont="1" applyBorder="1" applyAlignment="1">
      <alignment horizontal="center" vertical="center" wrapText="1"/>
    </xf>
    <xf numFmtId="0" fontId="31" fillId="20" borderId="4" xfId="0" applyFont="1" applyFill="1" applyBorder="1" applyAlignment="1">
      <alignment horizontal="center" vertical="center" wrapText="1"/>
    </xf>
    <xf numFmtId="0" fontId="31" fillId="20" borderId="0" xfId="0" applyFont="1" applyFill="1" applyAlignment="1">
      <alignment horizontal="center" vertical="center" wrapText="1"/>
    </xf>
    <xf numFmtId="0" fontId="7" fillId="20" borderId="0" xfId="0" applyFont="1" applyFill="1" applyAlignment="1">
      <alignment horizontal="center" vertical="center" wrapText="1"/>
    </xf>
    <xf numFmtId="0" fontId="7" fillId="20" borderId="19" xfId="0" applyFont="1" applyFill="1" applyBorder="1" applyAlignment="1">
      <alignment horizontal="center" vertical="center" wrapText="1"/>
    </xf>
    <xf numFmtId="0" fontId="7" fillId="20" borderId="18" xfId="0" applyFont="1" applyFill="1" applyBorder="1" applyAlignment="1">
      <alignment horizontal="center" wrapText="1"/>
    </xf>
    <xf numFmtId="0" fontId="7" fillId="20" borderId="0" xfId="0" applyFont="1" applyFill="1" applyAlignment="1">
      <alignment horizontal="center" wrapText="1"/>
    </xf>
    <xf numFmtId="0" fontId="21" fillId="5" borderId="0" xfId="0" applyFont="1" applyFill="1" applyAlignment="1">
      <alignment wrapText="1"/>
    </xf>
    <xf numFmtId="0" fontId="5" fillId="5" borderId="3" xfId="0" applyFont="1" applyFill="1" applyBorder="1" applyAlignment="1">
      <alignment wrapText="1"/>
    </xf>
    <xf numFmtId="0" fontId="15" fillId="0" borderId="0" xfId="0" applyFont="1" applyAlignment="1">
      <alignment horizontal="left" wrapText="1"/>
    </xf>
    <xf numFmtId="0" fontId="15" fillId="0" borderId="10" xfId="0" applyFont="1" applyBorder="1" applyAlignment="1">
      <alignment horizontal="center" wrapText="1"/>
    </xf>
    <xf numFmtId="0" fontId="25" fillId="4" borderId="10" xfId="0" applyFont="1" applyFill="1" applyBorder="1" applyAlignment="1">
      <alignment horizontal="center" wrapText="1"/>
    </xf>
    <xf numFmtId="0" fontId="27" fillId="0" borderId="0" xfId="0" applyFont="1" applyAlignment="1">
      <alignment horizontal="left" vertical="top" wrapText="1"/>
    </xf>
    <xf numFmtId="0" fontId="7" fillId="9" borderId="20" xfId="0" applyFont="1" applyFill="1" applyBorder="1" applyAlignment="1">
      <alignment wrapText="1"/>
    </xf>
    <xf numFmtId="0" fontId="7" fillId="4" borderId="21" xfId="0" applyFont="1" applyFill="1" applyBorder="1" applyAlignment="1">
      <alignment wrapText="1"/>
    </xf>
    <xf numFmtId="0" fontId="7" fillId="9" borderId="22" xfId="0" applyFont="1" applyFill="1" applyBorder="1" applyAlignment="1">
      <alignment wrapText="1"/>
    </xf>
    <xf numFmtId="0" fontId="7" fillId="4" borderId="23" xfId="0" applyFont="1" applyFill="1" applyBorder="1" applyAlignment="1">
      <alignment wrapText="1"/>
    </xf>
    <xf numFmtId="0" fontId="1" fillId="9" borderId="1" xfId="0" applyFont="1" applyFill="1" applyBorder="1" applyAlignment="1">
      <alignment vertical="top" wrapText="1"/>
    </xf>
    <xf numFmtId="0" fontId="36" fillId="9" borderId="1" xfId="0" applyFont="1" applyFill="1" applyBorder="1" applyAlignment="1">
      <alignment horizontal="center" wrapText="1"/>
    </xf>
    <xf numFmtId="0" fontId="7" fillId="9" borderId="24" xfId="0" applyFont="1" applyFill="1" applyBorder="1" applyAlignment="1">
      <alignment wrapText="1"/>
    </xf>
    <xf numFmtId="0" fontId="7" fillId="9" borderId="4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  <xf numFmtId="0" fontId="7" fillId="8" borderId="4" xfId="0" applyFont="1" applyFill="1" applyBorder="1" applyAlignment="1">
      <alignment wrapText="1"/>
    </xf>
    <xf numFmtId="0" fontId="7" fillId="8" borderId="24" xfId="0" applyFont="1" applyFill="1" applyBorder="1" applyAlignment="1">
      <alignment wrapText="1"/>
    </xf>
    <xf numFmtId="0" fontId="7" fillId="8" borderId="25" xfId="0" applyFont="1" applyFill="1" applyBorder="1" applyAlignment="1">
      <alignment wrapText="1"/>
    </xf>
    <xf numFmtId="0" fontId="7" fillId="8" borderId="2" xfId="0" applyFont="1" applyFill="1" applyBorder="1" applyAlignment="1">
      <alignment wrapText="1"/>
    </xf>
    <xf numFmtId="0" fontId="7" fillId="8" borderId="22" xfId="0" applyFont="1" applyFill="1" applyBorder="1" applyAlignment="1">
      <alignment wrapText="1"/>
    </xf>
    <xf numFmtId="0" fontId="40" fillId="9" borderId="1" xfId="0" applyFont="1" applyFill="1" applyBorder="1" applyAlignment="1">
      <alignment wrapText="1"/>
    </xf>
    <xf numFmtId="0" fontId="7" fillId="8" borderId="23" xfId="0" applyFont="1" applyFill="1" applyBorder="1" applyAlignment="1">
      <alignment wrapText="1"/>
    </xf>
    <xf numFmtId="0" fontId="7" fillId="8" borderId="5" xfId="0" applyFont="1" applyFill="1" applyBorder="1" applyAlignment="1">
      <alignment wrapText="1"/>
    </xf>
    <xf numFmtId="0" fontId="7" fillId="8" borderId="8" xfId="0" applyFont="1" applyFill="1" applyBorder="1" applyAlignment="1">
      <alignment wrapText="1"/>
    </xf>
    <xf numFmtId="0" fontId="7" fillId="8" borderId="26" xfId="0" applyFont="1" applyFill="1" applyBorder="1" applyAlignment="1">
      <alignment wrapText="1"/>
    </xf>
    <xf numFmtId="0" fontId="40" fillId="4" borderId="1" xfId="0" applyFont="1" applyFill="1" applyBorder="1" applyAlignment="1">
      <alignment wrapText="1"/>
    </xf>
    <xf numFmtId="0" fontId="35" fillId="10" borderId="5" xfId="0" applyFont="1" applyFill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179" fontId="20" fillId="5" borderId="0" xfId="0" applyNumberFormat="1" applyFont="1" applyFill="1" applyAlignment="1"/>
    <xf numFmtId="0" fontId="21" fillId="5" borderId="0" xfId="0" applyFont="1" applyFill="1" applyAlignment="1"/>
    <xf numFmtId="0" fontId="22" fillId="5" borderId="5" xfId="0" applyFont="1" applyFill="1" applyBorder="1" applyAlignment="1">
      <alignment horizontal="left" vertical="center"/>
    </xf>
    <xf numFmtId="0" fontId="23" fillId="5" borderId="0" xfId="0" applyFont="1" applyFill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" fillId="5" borderId="3" xfId="0" applyFont="1" applyFill="1" applyBorder="1"/>
    <xf numFmtId="0" fontId="1" fillId="5" borderId="0" xfId="0" applyFont="1" applyFill="1"/>
    <xf numFmtId="180" fontId="7" fillId="0" borderId="0" xfId="0" applyNumberFormat="1" applyFont="1" applyAlignment="1">
      <alignment horizontal="left"/>
    </xf>
    <xf numFmtId="0" fontId="33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0" xfId="0" applyFont="1" applyAlignment="1">
      <alignment horizontal="center"/>
    </xf>
    <xf numFmtId="181" fontId="26" fillId="10" borderId="1" xfId="0" applyNumberFormat="1" applyFont="1" applyFill="1" applyBorder="1" applyAlignment="1">
      <alignment horizontal="center"/>
    </xf>
    <xf numFmtId="181" fontId="15" fillId="0" borderId="1" xfId="0" applyNumberFormat="1" applyFont="1" applyBorder="1" applyAlignment="1">
      <alignment horizontal="center"/>
    </xf>
    <xf numFmtId="181" fontId="15" fillId="10" borderId="1" xfId="0" applyNumberFormat="1" applyFont="1" applyFill="1" applyBorder="1" applyAlignment="1">
      <alignment horizontal="center"/>
    </xf>
    <xf numFmtId="181" fontId="33" fillId="0" borderId="1" xfId="0" applyNumberFormat="1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left" vertical="top"/>
    </xf>
    <xf numFmtId="182" fontId="28" fillId="10" borderId="1" xfId="0" applyNumberFormat="1" applyFont="1" applyFill="1" applyBorder="1" applyAlignment="1">
      <alignment horizontal="center" vertical="top"/>
    </xf>
    <xf numFmtId="182" fontId="28" fillId="0" borderId="1" xfId="0" applyNumberFormat="1" applyFont="1" applyBorder="1" applyAlignment="1">
      <alignment horizontal="center" vertical="top"/>
    </xf>
    <xf numFmtId="182" fontId="7" fillId="0" borderId="1" xfId="0" applyNumberFormat="1" applyFont="1" applyBorder="1" applyAlignment="1">
      <alignment horizontal="center" vertical="top"/>
    </xf>
    <xf numFmtId="0" fontId="27" fillId="0" borderId="17" xfId="0" applyFont="1" applyBorder="1" applyAlignment="1">
      <alignment horizontal="center" vertical="top"/>
    </xf>
    <xf numFmtId="0" fontId="27" fillId="0" borderId="0" xfId="0" applyFont="1" applyAlignment="1">
      <alignment horizontal="center" vertical="top"/>
    </xf>
    <xf numFmtId="0" fontId="7" fillId="0" borderId="0" xfId="0" applyFont="1" applyAlignment="1">
      <alignment vertical="center"/>
    </xf>
    <xf numFmtId="0" fontId="7" fillId="4" borderId="20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9" borderId="1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7" fillId="10" borderId="1" xfId="0" applyFont="1" applyFill="1" applyBorder="1" applyAlignment="1">
      <alignment vertical="center"/>
    </xf>
    <xf numFmtId="0" fontId="35" fillId="0" borderId="7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35" fillId="10" borderId="1" xfId="0" applyFont="1" applyFill="1" applyBorder="1" applyAlignment="1">
      <alignment horizontal="center" wrapText="1"/>
    </xf>
    <xf numFmtId="0" fontId="7" fillId="0" borderId="21" xfId="0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 vertical="center" wrapText="1"/>
    </xf>
    <xf numFmtId="0" fontId="7" fillId="10" borderId="23" xfId="0" applyFont="1" applyFill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35" fillId="4" borderId="1" xfId="0" applyFont="1" applyFill="1" applyBorder="1" applyAlignment="1">
      <alignment horizontal="center" vertical="center"/>
    </xf>
    <xf numFmtId="0" fontId="35" fillId="11" borderId="1" xfId="0" applyFont="1" applyFill="1" applyBorder="1" applyAlignment="1">
      <alignment horizontal="center" vertical="center"/>
    </xf>
    <xf numFmtId="0" fontId="36" fillId="0" borderId="5" xfId="0" applyFont="1" applyBorder="1" applyAlignment="1">
      <alignment horizontal="center" vertical="center" wrapText="1"/>
    </xf>
    <xf numFmtId="0" fontId="7" fillId="10" borderId="4" xfId="0" applyFont="1" applyFill="1" applyBorder="1" applyAlignment="1">
      <alignment vertical="center"/>
    </xf>
    <xf numFmtId="0" fontId="7" fillId="10" borderId="24" xfId="0" applyFont="1" applyFill="1" applyBorder="1" applyAlignment="1">
      <alignment vertical="center"/>
    </xf>
    <xf numFmtId="0" fontId="7" fillId="10" borderId="5" xfId="0" applyFont="1" applyFill="1" applyBorder="1" applyAlignment="1">
      <alignment vertical="center"/>
    </xf>
    <xf numFmtId="0" fontId="35" fillId="7" borderId="1" xfId="0" applyFont="1" applyFill="1" applyBorder="1" applyAlignment="1">
      <alignment horizontal="center" wrapText="1"/>
    </xf>
    <xf numFmtId="0" fontId="30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/>
    </xf>
    <xf numFmtId="0" fontId="7" fillId="4" borderId="22" xfId="0" applyFont="1" applyFill="1" applyBorder="1" applyAlignment="1">
      <alignment vertical="center"/>
    </xf>
    <xf numFmtId="0" fontId="7" fillId="4" borderId="23" xfId="0" applyFont="1" applyFill="1" applyBorder="1" applyAlignment="1">
      <alignment vertical="center"/>
    </xf>
    <xf numFmtId="0" fontId="7" fillId="4" borderId="24" xfId="0" applyFont="1" applyFill="1" applyBorder="1" applyAlignment="1">
      <alignment vertical="center"/>
    </xf>
    <xf numFmtId="0" fontId="7" fillId="10" borderId="8" xfId="0" applyFont="1" applyFill="1" applyBorder="1" applyAlignment="1">
      <alignment vertical="center"/>
    </xf>
    <xf numFmtId="0" fontId="7" fillId="10" borderId="26" xfId="0" applyFont="1" applyFill="1" applyBorder="1" applyAlignment="1">
      <alignment vertical="center"/>
    </xf>
    <xf numFmtId="0" fontId="35" fillId="10" borderId="0" xfId="0" applyFont="1" applyFill="1" applyAlignment="1">
      <alignment horizontal="center" wrapText="1"/>
    </xf>
    <xf numFmtId="0" fontId="7" fillId="10" borderId="2" xfId="0" applyFont="1" applyFill="1" applyBorder="1" applyAlignment="1">
      <alignment vertical="center"/>
    </xf>
    <xf numFmtId="0" fontId="35" fillId="4" borderId="1" xfId="0" applyFont="1" applyFill="1" applyBorder="1" applyAlignment="1">
      <alignment horizontal="center" wrapText="1"/>
    </xf>
    <xf numFmtId="0" fontId="7" fillId="10" borderId="22" xfId="0" applyFont="1" applyFill="1" applyBorder="1" applyAlignment="1">
      <alignment vertical="center"/>
    </xf>
    <xf numFmtId="0" fontId="35" fillId="4" borderId="0" xfId="0" applyFont="1" applyFill="1" applyAlignment="1">
      <alignment horizontal="center" wrapText="1"/>
    </xf>
    <xf numFmtId="0" fontId="7" fillId="0" borderId="4" xfId="0" applyFont="1" applyBorder="1" applyAlignment="1">
      <alignment vertical="center"/>
    </xf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10" borderId="25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29" borderId="1" xfId="0" applyFont="1" applyFill="1" applyBorder="1" applyAlignment="1">
      <alignment vertical="center"/>
    </xf>
    <xf numFmtId="0" fontId="35" fillId="0" borderId="5" xfId="0" applyFont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7" fillId="0" borderId="22" xfId="0" applyFont="1" applyBorder="1" applyAlignment="1">
      <alignment vertical="center"/>
    </xf>
    <xf numFmtId="0" fontId="35" fillId="4" borderId="0" xfId="0" applyFont="1" applyFill="1" applyAlignment="1">
      <alignment horizontal="center" vertical="center"/>
    </xf>
    <xf numFmtId="0" fontId="33" fillId="0" borderId="1" xfId="0" applyFont="1" applyBorder="1" applyAlignment="1">
      <alignment vertical="center"/>
    </xf>
    <xf numFmtId="0" fontId="35" fillId="10" borderId="5" xfId="0" applyFont="1" applyFill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7" fillId="20" borderId="1" xfId="0" applyFont="1" applyFill="1" applyBorder="1" applyAlignment="1">
      <alignment vertical="center"/>
    </xf>
    <xf numFmtId="0" fontId="31" fillId="20" borderId="1" xfId="0" applyFont="1" applyFill="1" applyBorder="1" applyAlignment="1">
      <alignment horizontal="center" vertical="center"/>
    </xf>
    <xf numFmtId="0" fontId="31" fillId="20" borderId="4" xfId="0" applyFont="1" applyFill="1" applyBorder="1" applyAlignment="1">
      <alignment horizontal="center" vertical="center"/>
    </xf>
    <xf numFmtId="0" fontId="31" fillId="20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20" borderId="19" xfId="0" applyFont="1" applyFill="1" applyBorder="1" applyAlignment="1">
      <alignment horizontal="center" vertical="center"/>
    </xf>
    <xf numFmtId="0" fontId="7" fillId="20" borderId="18" xfId="0" applyFont="1" applyFill="1" applyBorder="1" applyAlignment="1">
      <alignment horizontal="center"/>
    </xf>
    <xf numFmtId="0" fontId="7" fillId="20" borderId="0" xfId="0" applyFont="1" applyFill="1" applyAlignment="1">
      <alignment horizontal="center"/>
    </xf>
    <xf numFmtId="0" fontId="7" fillId="24" borderId="1" xfId="0" applyFont="1" applyFill="1" applyBorder="1" applyAlignment="1">
      <alignment vertical="center"/>
    </xf>
    <xf numFmtId="0" fontId="3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12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7" fillId="25" borderId="1" xfId="0" applyFont="1" applyFill="1" applyBorder="1" applyAlignment="1">
      <alignment vertical="center"/>
    </xf>
    <xf numFmtId="0" fontId="7" fillId="26" borderId="1" xfId="0" applyFont="1" applyFill="1" applyBorder="1" applyAlignment="1">
      <alignment vertical="center"/>
    </xf>
    <xf numFmtId="0" fontId="7" fillId="19" borderId="1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10" borderId="21" xfId="0" applyFont="1" applyFill="1" applyBorder="1" applyAlignment="1">
      <alignment vertical="center"/>
    </xf>
    <xf numFmtId="0" fontId="7" fillId="4" borderId="21" xfId="0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" fillId="10" borderId="0" xfId="0" applyFont="1" applyFill="1"/>
    <xf numFmtId="0" fontId="30" fillId="10" borderId="1" xfId="0" applyFont="1" applyFill="1" applyBorder="1" applyAlignment="1">
      <alignment horizontal="center" vertical="center" wrapText="1"/>
    </xf>
    <xf numFmtId="181" fontId="26" fillId="4" borderId="1" xfId="0" applyNumberFormat="1" applyFont="1" applyFill="1" applyBorder="1" applyAlignment="1">
      <alignment horizontal="center"/>
    </xf>
    <xf numFmtId="0" fontId="1" fillId="10" borderId="1" xfId="0" applyFont="1" applyFill="1" applyBorder="1"/>
    <xf numFmtId="0" fontId="35" fillId="7" borderId="1" xfId="0" applyFont="1" applyFill="1" applyBorder="1" applyAlignment="1">
      <alignment horizontal="center" vertical="center"/>
    </xf>
    <xf numFmtId="0" fontId="35" fillId="4" borderId="5" xfId="0" applyFont="1" applyFill="1" applyBorder="1" applyAlignment="1">
      <alignment horizontal="center" vertical="center"/>
    </xf>
    <xf numFmtId="0" fontId="35" fillId="0" borderId="8" xfId="0" applyFont="1" applyBorder="1" applyAlignment="1">
      <alignment horizontal="center" vertical="center" wrapText="1"/>
    </xf>
    <xf numFmtId="0" fontId="35" fillId="30" borderId="1" xfId="0" applyFont="1" applyFill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81" fontId="42" fillId="4" borderId="1" xfId="0" applyNumberFormat="1" applyFont="1" applyFill="1" applyBorder="1" applyAlignment="1">
      <alignment horizontal="center"/>
    </xf>
    <xf numFmtId="0" fontId="1" fillId="0" borderId="8" xfId="0" applyFont="1" applyBorder="1"/>
    <xf numFmtId="0" fontId="7" fillId="4" borderId="2" xfId="0" applyFont="1" applyFill="1" applyBorder="1" applyAlignment="1">
      <alignment vertical="center"/>
    </xf>
    <xf numFmtId="0" fontId="35" fillId="15" borderId="1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vertical="center"/>
    </xf>
    <xf numFmtId="0" fontId="35" fillId="0" borderId="7" xfId="0" applyFont="1" applyBorder="1" applyAlignment="1">
      <alignment horizontal="center" vertical="center"/>
    </xf>
    <xf numFmtId="0" fontId="7" fillId="4" borderId="4" xfId="0" applyFont="1" applyFill="1" applyBorder="1" applyAlignment="1">
      <alignment vertical="center"/>
    </xf>
    <xf numFmtId="0" fontId="35" fillId="15" borderId="1" xfId="0" applyFont="1" applyFill="1" applyBorder="1" applyAlignment="1">
      <alignment horizontal="center" wrapText="1"/>
    </xf>
    <xf numFmtId="0" fontId="35" fillId="29" borderId="1" xfId="0" applyFont="1" applyFill="1" applyBorder="1" applyAlignment="1">
      <alignment horizontal="center" vertical="center" wrapText="1"/>
    </xf>
    <xf numFmtId="0" fontId="1" fillId="29" borderId="0" xfId="0" applyFont="1" applyFill="1"/>
    <xf numFmtId="0" fontId="35" fillId="27" borderId="1" xfId="0" applyFont="1" applyFill="1" applyBorder="1" applyAlignment="1">
      <alignment horizontal="center" vertical="center"/>
    </xf>
    <xf numFmtId="0" fontId="35" fillId="29" borderId="1" xfId="0" applyFont="1" applyFill="1" applyBorder="1" applyAlignment="1">
      <alignment horizontal="center" vertical="center"/>
    </xf>
    <xf numFmtId="0" fontId="1" fillId="29" borderId="1" xfId="0" applyFont="1" applyFill="1" applyBorder="1"/>
    <xf numFmtId="0" fontId="1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wrapText="1"/>
    </xf>
    <xf numFmtId="0" fontId="35" fillId="4" borderId="1" xfId="0" applyFont="1" applyFill="1" applyBorder="1" applyAlignment="1">
      <alignment horizontal="center" vertical="top" wrapText="1"/>
    </xf>
    <xf numFmtId="0" fontId="35" fillId="4" borderId="23" xfId="0" applyFont="1" applyFill="1" applyBorder="1" applyAlignment="1">
      <alignment horizontal="center" vertical="center"/>
    </xf>
    <xf numFmtId="0" fontId="35" fillId="4" borderId="4" xfId="0" applyFont="1" applyFill="1" applyBorder="1" applyAlignment="1">
      <alignment horizontal="center" vertical="center"/>
    </xf>
    <xf numFmtId="0" fontId="7" fillId="4" borderId="2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74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color rgb="FFFFFFFF"/>
      </font>
      <fill>
        <patternFill patternType="solid">
          <fgColor rgb="FF434343"/>
          <bgColor rgb="FF43434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38761D"/>
          <bgColor rgb="FF38761D"/>
        </patternFill>
      </fill>
    </dxf>
    <dxf>
      <font>
        <b val="1"/>
        <color rgb="FFFFFF00"/>
      </font>
      <fill>
        <patternFill patternType="solid">
          <fgColor rgb="FFFF0000"/>
          <bgColor rgb="FFFF0000"/>
        </patternFill>
      </fill>
    </dxf>
    <dxf>
      <font>
        <b val="1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875EAC"/>
          <bgColor rgb="FF875EAC"/>
        </patternFill>
      </fill>
    </dxf>
    <dxf>
      <fill>
        <patternFill patternType="solid">
          <fgColor rgb="FFFF0000"/>
          <bgColor rgb="FFFF0000"/>
        </patternFill>
      </fill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B7E1CD"/>
          <bgColor rgb="FFB7E1CD"/>
        </patternFill>
      </fill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B4A7D6"/>
          <bgColor rgb="FFB4A7D6"/>
        </patternFill>
      </fill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0000FF"/>
          <bgColor rgb="FF0000FF"/>
        </patternFill>
      </fill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00FFFF"/>
          <bgColor rgb="FF00FFFF"/>
        </patternFill>
      </fill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14">
    <tableStyle name="Dec-2022-Roster-style" pivot="0" count="2" xr9:uid="{B6E4B742-002E-4E96-AE50-FC69149900FA}">
      <tableStyleElement type="firstRowStripe" dxfId="2144"/>
      <tableStyleElement type="secondRowStripe" dxfId="2143"/>
    </tableStyle>
    <tableStyle name="Dec-2022-Roster-style 2" pivot="0" count="2" xr9:uid="{F3A7EBE9-BA80-43C2-AD13-871C912B6D88}">
      <tableStyleElement type="firstRowStripe" dxfId="2146"/>
      <tableStyleElement type="secondRowStripe" dxfId="2145"/>
    </tableStyle>
    <tableStyle name="OFFs calculation 0123-style" pivot="0" count="2" xr9:uid="{10F0F439-C9BB-46F3-BAFF-E7C07158F65F}">
      <tableStyleElement type="firstRowStripe" dxfId="2148"/>
      <tableStyleElement type="secondRowStripe" dxfId="2147"/>
    </tableStyle>
    <tableStyle name="OFFs calculation 0123-style 2" pivot="0" count="2" xr9:uid="{360C35A4-3A7D-432F-9ED0-B3FEA3088DA7}">
      <tableStyleElement type="firstRowStripe" dxfId="2150"/>
      <tableStyleElement type="secondRowStripe" dxfId="2149"/>
    </tableStyle>
    <tableStyle name="Jan-2023-Roster-style" pivot="0" count="2" xr9:uid="{4001EB3D-E777-4248-B174-D39992DDF9D6}">
      <tableStyleElement type="firstRowStripe" dxfId="2152"/>
      <tableStyleElement type="secondRowStripe" dxfId="2151"/>
    </tableStyle>
    <tableStyle name="Jan-2023-Roster-style 2" pivot="0" count="2" xr9:uid="{6CAC1987-2B2E-482D-BD7D-C64C2141E90E}">
      <tableStyleElement type="firstRowStripe" dxfId="2154"/>
      <tableStyleElement type="secondRowStripe" dxfId="2153"/>
    </tableStyle>
    <tableStyle name="Copy of Jan-2023-Roster-style" pivot="0" count="2" xr9:uid="{A711138A-7689-4935-8FAB-25272E1044CF}">
      <tableStyleElement type="firstRowStripe" dxfId="2156"/>
      <tableStyleElement type="secondRowStripe" dxfId="2155"/>
    </tableStyle>
    <tableStyle name="Feb-2023-Roster-style" pivot="0" count="2" xr9:uid="{51603E2F-4E5F-4A58-B6E3-EF2D3C9BFCA3}">
      <tableStyleElement type="firstRowStripe" dxfId="2158"/>
      <tableStyleElement type="secondRowStripe" dxfId="2157"/>
    </tableStyle>
    <tableStyle name="Feb-2023-Roster-style 2" pivot="0" count="2" xr9:uid="{046714DD-BA6A-4868-B348-5FD193FBD9BA}">
      <tableStyleElement type="firstRowStripe" dxfId="2160"/>
      <tableStyleElement type="secondRowStripe" dxfId="2159"/>
    </tableStyle>
    <tableStyle name="Copy of Feb-2023-Roster-style" pivot="0" count="2" xr9:uid="{15BA22E9-CA4F-4488-B0BE-1EEA6569A1C8}">
      <tableStyleElement type="firstRowStripe" dxfId="2162"/>
      <tableStyleElement type="secondRowStripe" dxfId="2161"/>
    </tableStyle>
    <tableStyle name="Copy of Feb-2023-Roster-style 2" pivot="0" count="2" xr9:uid="{A8746A30-4F4E-4C11-AE87-3E8B096AD482}">
      <tableStyleElement type="firstRowStripe" dxfId="2164"/>
      <tableStyleElement type="secondRowStripe" dxfId="2163"/>
    </tableStyle>
    <tableStyle name="Mar-2023-Roster-style" pivot="0" count="2" xr9:uid="{95ED6B25-F68A-4358-8E35-B287F1D71472}">
      <tableStyleElement type="firstRowStripe" dxfId="2166"/>
      <tableStyleElement type="secondRowStripe" dxfId="2165"/>
    </tableStyle>
    <tableStyle name="Mar-2023-Roster-style 2" pivot="0" count="2" xr9:uid="{11378580-5CB9-4450-B7CD-CEAE6FE6A8C2}">
      <tableStyleElement type="firstRowStripe" dxfId="2168"/>
      <tableStyleElement type="secondRowStripe" dxfId="2167"/>
    </tableStyle>
    <tableStyle name="Apr-2023-Roster-style" pivot="0" count="2" xr9:uid="{F4E5FFB5-845E-45AF-B136-3C00ED5FDF7D}">
      <tableStyleElement type="firstRowStripe" dxfId="2170"/>
      <tableStyleElement type="secondRowStripe" dxfId="2169"/>
    </tableStyle>
    <tableStyle name="Apr-2023-Roster-style 2" pivot="0" count="2" xr9:uid="{A15654B1-FD92-4BC1-B00E-B7374D5C4CEF}">
      <tableStyleElement type="firstRowStripe" dxfId="2172"/>
      <tableStyleElement type="secondRowStripe" dxfId="2171"/>
    </tableStyle>
    <tableStyle name="May-2023-Roster-style" pivot="0" count="2" xr9:uid="{C27E7283-2409-42B0-83FB-F5049033E799}">
      <tableStyleElement type="firstRowStripe" dxfId="2174"/>
      <tableStyleElement type="secondRowStripe" dxfId="2173"/>
    </tableStyle>
    <tableStyle name="May-2023-Roster-style 2" pivot="0" count="2" xr9:uid="{DA6C8680-F3C4-4FAE-8727-212A1FE6C327}">
      <tableStyleElement type="firstRowStripe" dxfId="2176"/>
      <tableStyleElement type="secondRowStripe" dxfId="2175"/>
    </tableStyle>
    <tableStyle name="Jun-2023-Roster-style" pivot="0" count="2" xr9:uid="{89F70578-794A-4A0F-96C4-3D440BD42B3C}">
      <tableStyleElement type="firstRowStripe" dxfId="2178"/>
      <tableStyleElement type="secondRowStripe" dxfId="2177"/>
    </tableStyle>
    <tableStyle name="Jun-2023-Roster-style 2" pivot="0" count="2" xr9:uid="{B42EBBC6-78D9-44E4-A7B7-86B6ED82C9AA}">
      <tableStyleElement type="firstRowStripe" dxfId="2180"/>
      <tableStyleElement type="secondRowStripe" dxfId="2179"/>
    </tableStyle>
    <tableStyle name="Jul-2023-Roster-style" pivot="0" count="2" xr9:uid="{1B15DBBD-B918-4568-8C3B-74C9AA9FD355}">
      <tableStyleElement type="firstRowStripe" dxfId="2182"/>
      <tableStyleElement type="secondRowStripe" dxfId="2181"/>
    </tableStyle>
    <tableStyle name="Jul-2023-Roster-style 2" pivot="0" count="2" xr9:uid="{50680DDC-F3E5-4704-A513-F368065ECB67}">
      <tableStyleElement type="firstRowStripe" dxfId="2184"/>
      <tableStyleElement type="secondRowStripe" dxfId="2183"/>
    </tableStyle>
    <tableStyle name="Aug-2023-Roster-style" pivot="0" count="2" xr9:uid="{384AF9AC-893C-4673-BE31-7D424CE99349}">
      <tableStyleElement type="firstRowStripe" dxfId="2186"/>
      <tableStyleElement type="secondRowStripe" dxfId="2185"/>
    </tableStyle>
    <tableStyle name="Aug-2023-Roster-style 2" pivot="0" count="2" xr9:uid="{A1DF5D2E-3BD9-484E-88FF-A25AD9BC89DA}">
      <tableStyleElement type="firstRowStripe" dxfId="2188"/>
      <tableStyleElement type="secondRowStripe" dxfId="2187"/>
    </tableStyle>
    <tableStyle name="Copy of Oct-2023-Roster-style" pivot="0" count="2" xr9:uid="{4DBFA597-BB46-415D-A0D7-7C4F4D5C739C}">
      <tableStyleElement type="firstRowStripe" dxfId="2190"/>
      <tableStyleElement type="secondRowStripe" dxfId="2189"/>
    </tableStyle>
    <tableStyle name="Copy of Oct-2023-Roster-style 2" pivot="0" count="2" xr9:uid="{6984D7EF-ED83-4570-9F4B-C370BD5EFAC8}">
      <tableStyleElement type="firstRowStripe" dxfId="2192"/>
      <tableStyleElement type="secondRowStripe" dxfId="2191"/>
    </tableStyle>
    <tableStyle name="Sep-2023-Roster-style" pivot="0" count="2" xr9:uid="{2FC98583-EBB9-453A-A9FB-B370F7BC2AF8}">
      <tableStyleElement type="firstRowStripe" dxfId="2194"/>
      <tableStyleElement type="secondRowStripe" dxfId="2193"/>
    </tableStyle>
    <tableStyle name="Sep-2023-Roster-style 2" pivot="0" count="2" xr9:uid="{1EB4B14B-8064-43B1-A029-16021C68AE3D}">
      <tableStyleElement type="firstRowStripe" dxfId="2196"/>
      <tableStyleElement type="secondRowStripe" dxfId="2195"/>
    </tableStyle>
    <tableStyle name="Oct-2023-Roster-style" pivot="0" count="2" xr9:uid="{C7126DC4-57C6-47A6-BD2B-DA5646537ED6}">
      <tableStyleElement type="firstRowStripe" dxfId="2198"/>
      <tableStyleElement type="secondRowStripe" dxfId="2197"/>
    </tableStyle>
    <tableStyle name="Oct-2023-Roster-style 2" pivot="0" count="2" xr9:uid="{62BBEF3E-F82C-4693-BD55-958A5E6212BA}">
      <tableStyleElement type="firstRowStripe" dxfId="2200"/>
      <tableStyleElement type="secondRowStripe" dxfId="2199"/>
    </tableStyle>
    <tableStyle name="Nov-2023-Roster-style" pivot="0" count="2" xr9:uid="{7CC384B7-FD1F-4EDA-98B7-9B4B32B8EAC7}">
      <tableStyleElement type="firstRowStripe" dxfId="2202"/>
      <tableStyleElement type="secondRowStripe" dxfId="2201"/>
    </tableStyle>
    <tableStyle name="Nov-2023-Roster-style 2" pivot="0" count="2" xr9:uid="{45B11C80-513A-4342-90AD-A0AD41E83CB4}">
      <tableStyleElement type="firstRowStripe" dxfId="2204"/>
      <tableStyleElement type="secondRowStripe" dxfId="2203"/>
    </tableStyle>
    <tableStyle name="Oct-2022-Roster-style" pivot="0" count="2" xr9:uid="{A36103EF-5BCA-4D17-8063-9B8DB828F34B}">
      <tableStyleElement type="firstRowStripe" dxfId="2206"/>
      <tableStyleElement type="secondRowStripe" dxfId="2205"/>
    </tableStyle>
    <tableStyle name="Oct-2022-Roster-style 2" pivot="0" count="2" xr9:uid="{0000F80E-E6F9-495E-8871-BB8A5264FF59}">
      <tableStyleElement type="firstRowStripe" dxfId="2208"/>
      <tableStyleElement type="secondRowStripe" dxfId="2207"/>
    </tableStyle>
    <tableStyle name="Nov-2022-Roster-style" pivot="0" count="2" xr9:uid="{C1DA764E-DD28-468E-BF26-AB1CD79E6F40}">
      <tableStyleElement type="firstRowStripe" dxfId="2210"/>
      <tableStyleElement type="secondRowStripe" dxfId="2209"/>
    </tableStyle>
    <tableStyle name="Nov-2022-Roster-style 2" pivot="0" count="2" xr9:uid="{D03F9CBA-2A79-4762-A1DA-0B64180C6300}">
      <tableStyleElement type="firstRowStripe" dxfId="2212"/>
      <tableStyleElement type="secondRowStripe" dxfId="2211"/>
    </tableStyle>
    <tableStyle name="Dec-2023-Roster-style" pivot="0" count="2" xr9:uid="{507B7F4C-B2C4-4B0C-856F-A49E99BA772C}">
      <tableStyleElement type="firstRowStripe" dxfId="2214"/>
      <tableStyleElement type="secondRowStripe" dxfId="2213"/>
    </tableStyle>
    <tableStyle name="Dec-2023-Roster-style 2" pivot="0" count="2" xr9:uid="{23823C08-7765-493B-95D6-FBF091D3FF37}">
      <tableStyleElement type="firstRowStripe" dxfId="2216"/>
      <tableStyleElement type="secondRowStripe" dxfId="2215"/>
    </tableStyle>
    <tableStyle name="Jan-2024-Roster-style" pivot="0" count="2" xr9:uid="{BFA302C5-28B5-4CF0-BADE-5FCC1BB840F2}">
      <tableStyleElement type="firstRowStripe" dxfId="2218"/>
      <tableStyleElement type="secondRowStripe" dxfId="2217"/>
    </tableStyle>
    <tableStyle name="Jan-2024-Roster-style 2" pivot="0" count="2" xr9:uid="{015B010C-C19B-400C-9739-D892880F1C74}">
      <tableStyleElement type="firstRowStripe" dxfId="2220"/>
      <tableStyleElement type="secondRowStripe" dxfId="2219"/>
    </tableStyle>
    <tableStyle name="Feb-2024-Roster-style" pivot="0" count="2" xr9:uid="{BD27A5BE-31B2-4746-AEA8-DF5462C77BCB}">
      <tableStyleElement type="firstRowStripe" dxfId="2222"/>
      <tableStyleElement type="secondRowStripe" dxfId="2221"/>
    </tableStyle>
    <tableStyle name="Feb-2024-Roster-style 2" pivot="0" count="2" xr9:uid="{FC39AD77-4EFA-4158-9334-8062694D0F09}">
      <tableStyleElement type="firstRowStripe" dxfId="2224"/>
      <tableStyleElement type="secondRowStripe" dxfId="2223"/>
    </tableStyle>
    <tableStyle name="Mar-2024-Roster-style" pivot="0" count="2" xr9:uid="{F13C1AD9-A9EE-46A3-BEB5-80A8C3D6B8D7}">
      <tableStyleElement type="firstRowStripe" dxfId="2226"/>
      <tableStyleElement type="secondRowStripe" dxfId="2225"/>
    </tableStyle>
    <tableStyle name="Mar-2024-Roster-style 2" pivot="0" count="2" xr9:uid="{22AFE24E-A79C-4990-BD68-8DAE37F89542}">
      <tableStyleElement type="firstRowStripe" dxfId="2228"/>
      <tableStyleElement type="secondRowStripe" dxfId="2227"/>
    </tableStyle>
    <tableStyle name="Apr-2024-Roster-style" pivot="0" count="2" xr9:uid="{64C2CE2D-6961-4D56-A719-2EFD2459A050}">
      <tableStyleElement type="firstRowStripe" dxfId="2230"/>
      <tableStyleElement type="secondRowStripe" dxfId="2229"/>
    </tableStyle>
    <tableStyle name="Apr-2024-Roster-style 2" pivot="0" count="2" xr9:uid="{D4104E16-676C-458F-8574-CCCCE40A921F}">
      <tableStyleElement type="firstRowStripe" dxfId="2232"/>
      <tableStyleElement type="secondRowStripe" dxfId="2231"/>
    </tableStyle>
    <tableStyle name="May-2024-Roster-style" pivot="0" count="2" xr9:uid="{56F0A849-FAB2-4231-AE0D-707593224967}">
      <tableStyleElement type="firstRowStripe" dxfId="2234"/>
      <tableStyleElement type="secondRowStripe" dxfId="2233"/>
    </tableStyle>
    <tableStyle name="May-2024-Roster-style 2" pivot="0" count="2" xr9:uid="{450A25CC-D0F1-470C-834F-81C56508ED35}">
      <tableStyleElement type="firstRowStripe" dxfId="2236"/>
      <tableStyleElement type="secondRowStripe" dxfId="2235"/>
    </tableStyle>
    <tableStyle name="Jun-2024-Roster-style" pivot="0" count="2" xr9:uid="{AF8C81A6-B023-4CE8-BDEA-C9B9F8060EAA}">
      <tableStyleElement type="firstRowStripe" dxfId="2238"/>
      <tableStyleElement type="secondRowStripe" dxfId="2237"/>
    </tableStyle>
    <tableStyle name="Jun-2024-Roster-style 2" pivot="0" count="2" xr9:uid="{FAD4EE6A-3B07-4407-AE25-D882EAD3C7D2}">
      <tableStyleElement type="firstRowStripe" dxfId="2240"/>
      <tableStyleElement type="secondRowStripe" dxfId="2239"/>
    </tableStyle>
    <tableStyle name="Jul-2024-Roster-style" pivot="0" count="2" xr9:uid="{BE7C6E46-2041-424D-A968-6E79A74E30E9}">
      <tableStyleElement type="firstRowStripe" dxfId="2242"/>
      <tableStyleElement type="secondRowStripe" dxfId="2241"/>
    </tableStyle>
    <tableStyle name="Jul-2024-Roster-style 2" pivot="0" count="2" xr9:uid="{3785C7E1-72C9-4350-8833-22098F8DF440}">
      <tableStyleElement type="firstRowStripe" dxfId="2244"/>
      <tableStyleElement type="secondRowStripe" dxfId="2243"/>
    </tableStyle>
    <tableStyle name="Aug-2024-Roster-style" pivot="0" count="2" xr9:uid="{0203DC8C-8BAF-4B8B-A2A5-D5CF7436394F}">
      <tableStyleElement type="firstRowStripe" dxfId="2246"/>
      <tableStyleElement type="secondRowStripe" dxfId="2245"/>
    </tableStyle>
    <tableStyle name="Aug-2024-Roster-style 2" pivot="0" count="2" xr9:uid="{C7253B07-6F2E-4ECA-A8BE-06B804351BC8}">
      <tableStyleElement type="firstRowStripe" dxfId="2248"/>
      <tableStyleElement type="secondRowStripe" dxfId="2247"/>
    </tableStyle>
    <tableStyle name="Sep-2024-Roster-style" pivot="0" count="2" xr9:uid="{1B195627-7565-4398-99FD-E8073D90F7C6}">
      <tableStyleElement type="firstRowStripe" dxfId="2250"/>
      <tableStyleElement type="secondRowStripe" dxfId="2249"/>
    </tableStyle>
    <tableStyle name="Sep-2024-Roster-style 2" pivot="0" count="2" xr9:uid="{82CDAF8D-4E38-4E69-9054-1504ADF28212}">
      <tableStyleElement type="firstRowStripe" dxfId="2252"/>
      <tableStyleElement type="secondRowStripe" dxfId="2251"/>
    </tableStyle>
    <tableStyle name="Oct-2024-Roster-style" pivot="0" count="2" xr9:uid="{DC964209-3FAB-4030-AC8D-91D968128C2B}">
      <tableStyleElement type="firstRowStripe" dxfId="2254"/>
      <tableStyleElement type="secondRowStripe" dxfId="2253"/>
    </tableStyle>
    <tableStyle name="Oct-2024-Roster-style 2" pivot="0" count="2" xr9:uid="{7E12497A-D68E-44AD-96B6-83D02FD830D3}">
      <tableStyleElement type="firstRowStripe" dxfId="2256"/>
      <tableStyleElement type="secondRowStripe" dxfId="2255"/>
    </tableStyle>
    <tableStyle name="Nov-2024-Roster-style" pivot="0" count="2" xr9:uid="{7C305EEC-CB7C-4DB8-BE01-E13BE916A536}">
      <tableStyleElement type="firstRowStripe" dxfId="2258"/>
      <tableStyleElement type="secondRowStripe" dxfId="2257"/>
    </tableStyle>
    <tableStyle name="Nov-2024-Roster-style 2" pivot="0" count="2" xr9:uid="{A505AF5D-2CBE-4801-B1BD-063227E864AD}">
      <tableStyleElement type="firstRowStripe" dxfId="2260"/>
      <tableStyleElement type="secondRowStripe" dxfId="2259"/>
    </tableStyle>
    <tableStyle name="Dec-2024-Roster-style" pivot="0" count="2" xr9:uid="{9F988264-8F3F-446F-B08E-BA9BD66A70A4}">
      <tableStyleElement type="firstRowStripe" dxfId="2262"/>
      <tableStyleElement type="secondRowStripe" dxfId="2261"/>
    </tableStyle>
    <tableStyle name="Dec-2024-Roster-style 2" pivot="0" count="2" xr9:uid="{6DC021FB-00A5-44EE-959C-81B3E4382E04}">
      <tableStyleElement type="firstRowStripe" dxfId="2264"/>
      <tableStyleElement type="secondRowStripe" dxfId="2263"/>
    </tableStyle>
    <tableStyle name="Jan-2025-Roster-style" pivot="0" count="2" xr9:uid="{72D90452-DAF4-4DB1-BD8D-26CAFE2DE30E}">
      <tableStyleElement type="firstRowStripe" dxfId="2266"/>
      <tableStyleElement type="secondRowStripe" dxfId="2265"/>
    </tableStyle>
    <tableStyle name="Jan-2025-Roster-style 2" pivot="0" count="2" xr9:uid="{71D223B6-753A-4C83-95D1-3BADEB537199}">
      <tableStyleElement type="firstRowStripe" dxfId="2268"/>
      <tableStyleElement type="secondRowStripe" dxfId="2267"/>
    </tableStyle>
    <tableStyle name="Feb-2025-Roster-style" pivot="0" count="2" xr9:uid="{16506C3A-EE2F-4ACF-A25F-41EBF60A0270}">
      <tableStyleElement type="firstRowStripe" dxfId="2270"/>
      <tableStyleElement type="secondRowStripe" dxfId="2269"/>
    </tableStyle>
    <tableStyle name="Feb-2025-Roster-style 2" pivot="0" count="2" xr9:uid="{784227F0-E8F9-4466-BD47-BDCA03E5E9B3}">
      <tableStyleElement type="firstRowStripe" dxfId="2272"/>
      <tableStyleElement type="secondRowStripe" dxfId="2271"/>
    </tableStyle>
    <tableStyle name="Mar-2025-Roster-style" pivot="0" count="2" xr9:uid="{2C2BF3CB-C660-49D4-BD68-A2C04B4E92A2}">
      <tableStyleElement type="firstRowStripe" dxfId="2274"/>
      <tableStyleElement type="secondRowStripe" dxfId="2273"/>
    </tableStyle>
    <tableStyle name="Mar-2025-Roster-style 2" pivot="0" count="2" xr9:uid="{B33C8CD7-D314-44C2-B271-E5671B4B8145}">
      <tableStyleElement type="firstRowStripe" dxfId="2276"/>
      <tableStyleElement type="secondRowStripe" dxfId="2275"/>
    </tableStyle>
    <tableStyle name="April 2025 Cover Roster-style" pivot="0" count="2" xr9:uid="{D65E05E0-DD14-46C5-BA62-62B21AB0706D}">
      <tableStyleElement type="firstRowStripe" dxfId="2278"/>
      <tableStyleElement type="secondRowStripe" dxfId="2277"/>
    </tableStyle>
    <tableStyle name="April 2025 Cover Roster-style 2" pivot="0" count="2" xr9:uid="{08511F40-F5B6-4BFE-A2C7-794054694A32}">
      <tableStyleElement type="firstRowStripe" dxfId="2280"/>
      <tableStyleElement type="secondRowStripe" dxfId="2279"/>
    </tableStyle>
    <tableStyle name="Apr-2025-Roster-style" pivot="0" count="2" xr9:uid="{DAC85161-BD1D-4C45-B3BC-190325E4C649}">
      <tableStyleElement type="firstRowStripe" dxfId="2282"/>
      <tableStyleElement type="secondRowStripe" dxfId="2281"/>
    </tableStyle>
    <tableStyle name="Apr-2025-Roster-style 2" pivot="0" count="2" xr9:uid="{29585233-FCB3-4560-90FE-32AE05B0B0AA}">
      <tableStyleElement type="firstRowStripe" dxfId="2284"/>
      <tableStyleElement type="secondRowStripe" dxfId="2283"/>
    </tableStyle>
    <tableStyle name="May-2025-Roster-style" pivot="0" count="2" xr9:uid="{2253D646-9705-4FD9-B7EE-0A1BEDCC7269}">
      <tableStyleElement type="firstRowStripe" dxfId="2286"/>
      <tableStyleElement type="secondRowStripe" dxfId="2285"/>
    </tableStyle>
    <tableStyle name="May-2025-Roster-style 2" pivot="0" count="2" xr9:uid="{AF81A6D8-8EFD-4747-8800-2C3BF1AFE838}">
      <tableStyleElement type="firstRowStripe" dxfId="2288"/>
      <tableStyleElement type="secondRowStripe" dxfId="2287"/>
    </tableStyle>
    <tableStyle name="Jun-2025-Roster-style" pivot="0" count="2" xr9:uid="{670BCEAB-328C-48C8-AF69-2798B53CF44E}">
      <tableStyleElement type="firstRowStripe" dxfId="2290"/>
      <tableStyleElement type="secondRowStripe" dxfId="2289"/>
    </tableStyle>
    <tableStyle name="Jun-2025-Roster-style 2" pivot="0" count="2" xr9:uid="{0A61F6D0-8019-4836-BFBC-02686FBC6373}">
      <tableStyleElement type="firstRowStripe" dxfId="2292"/>
      <tableStyleElement type="secondRowStripe" dxfId="2291"/>
    </tableStyle>
    <tableStyle name="Copy of Jun-2025-Roster 1-style" pivot="0" count="2" xr9:uid="{DAE336D6-88C1-4142-9DAE-D756026F2668}">
      <tableStyleElement type="firstRowStripe" dxfId="2294"/>
      <tableStyleElement type="secondRowStripe" dxfId="2293"/>
    </tableStyle>
    <tableStyle name="Copy of Jun-2025-Roster 1-style 2" pivot="0" count="2" xr9:uid="{9F169A7F-9DF7-4565-8D2C-F68F1B842108}">
      <tableStyleElement type="firstRowStripe" dxfId="2296"/>
      <tableStyleElement type="secondRowStripe" dxfId="2295"/>
    </tableStyle>
    <tableStyle name="Copy of Jun-2025-Roster-style" pivot="0" count="2" xr9:uid="{DE43525B-3744-4471-BC15-DFC2BCBFE222}">
      <tableStyleElement type="firstRowStripe" dxfId="2298"/>
      <tableStyleElement type="secondRowStripe" dxfId="2297"/>
    </tableStyle>
    <tableStyle name="Copy of Jun-2025-Roster-style 2" pivot="0" count="2" xr9:uid="{8C951ED1-750D-4161-B8E4-56E1A6968138}">
      <tableStyleElement type="firstRowStripe" dxfId="2300"/>
      <tableStyleElement type="secondRowStripe" dxfId="2299"/>
    </tableStyle>
    <tableStyle name="Jul-2025-Roster-style" pivot="0" count="2" xr9:uid="{7EAFF1EA-AE00-4E3D-A2CD-1BA0EF6DB6F0}">
      <tableStyleElement type="firstRowStripe" dxfId="2302"/>
      <tableStyleElement type="secondRowStripe" dxfId="2301"/>
    </tableStyle>
    <tableStyle name="Jul-2025-Roster-style 2" pivot="0" count="2" xr9:uid="{650CE836-16A4-4A7E-985C-F59534A4B3A4}">
      <tableStyleElement type="firstRowStripe" dxfId="2304"/>
      <tableStyleElement type="secondRowStripe" dxfId="2303"/>
    </tableStyle>
    <tableStyle name="Feb-2026-Roster-style" pivot="0" count="2" xr9:uid="{75DB698C-B9CD-4CAB-9365-5CB279E98431}">
      <tableStyleElement type="firstRowStripe" dxfId="2306"/>
      <tableStyleElement type="secondRowStripe" dxfId="2305"/>
    </tableStyle>
    <tableStyle name="Feb-2026-Roster-style 2" pivot="0" count="2" xr9:uid="{7A39E6B9-2D41-4132-8A48-B4AF7D278CE7}">
      <tableStyleElement type="firstRowStripe" dxfId="2308"/>
      <tableStyleElement type="secondRowStripe" dxfId="2307"/>
    </tableStyle>
    <tableStyle name="Mar-2026-Roster-style" pivot="0" count="2" xr9:uid="{B97C84D8-4089-4A52-A2DB-F1ACFB30940E}">
      <tableStyleElement type="firstRowStripe" dxfId="2310"/>
      <tableStyleElement type="secondRowStripe" dxfId="2309"/>
    </tableStyle>
    <tableStyle name="Mar-2026-Roster-style 2" pivot="0" count="2" xr9:uid="{BF155884-118F-489E-8679-37599FB0D0FC}">
      <tableStyleElement type="firstRowStripe" dxfId="2312"/>
      <tableStyleElement type="secondRowStripe" dxfId="2311"/>
    </tableStyle>
    <tableStyle name="Apr-2026-Roster-style" pivot="0" count="2" xr9:uid="{3CAC43A2-7778-42DE-99A7-8B1FB556D027}">
      <tableStyleElement type="firstRowStripe" dxfId="2314"/>
      <tableStyleElement type="secondRowStripe" dxfId="2313"/>
    </tableStyle>
    <tableStyle name="Apr-2026-Roster-style 2" pivot="0" count="2" xr9:uid="{55970CCD-305D-4180-AB8A-020AF0D33346}">
      <tableStyleElement type="firstRowStripe" dxfId="2316"/>
      <tableStyleElement type="secondRowStripe" dxfId="2315"/>
    </tableStyle>
    <tableStyle name="May-2026-Roster-style" pivot="0" count="2" xr9:uid="{E1C1C5D2-0F00-4E2D-9254-7B0E73F00B05}">
      <tableStyleElement type="firstRowStripe" dxfId="2318"/>
      <tableStyleElement type="secondRowStripe" dxfId="2317"/>
    </tableStyle>
    <tableStyle name="June 2026 Roster New-style" pivot="0" count="2" xr9:uid="{1B8D90BA-B13B-4ACF-8FBB-DD297326555F}">
      <tableStyleElement type="firstRowStripe" dxfId="2320"/>
      <tableStyleElement type="secondRowStripe" dxfId="2319"/>
    </tableStyle>
    <tableStyle name="June 2026 Roster New-style 2" pivot="0" count="2" xr9:uid="{7B19A3B6-7527-418B-8E0D-97C72673358C}">
      <tableStyleElement type="firstRowStripe" dxfId="2322"/>
      <tableStyleElement type="secondRowStripe" dxfId="2321"/>
    </tableStyle>
    <tableStyle name="July 2026 Roster-style" pivot="0" count="2" xr9:uid="{025DC6C3-5D12-4C40-8FE6-8E444C9C691A}">
      <tableStyleElement type="firstRowStripe" dxfId="2324"/>
      <tableStyleElement type="secondRowStripe" dxfId="2323"/>
    </tableStyle>
    <tableStyle name="July 2026 Roster-style 2" pivot="0" count="2" xr9:uid="{488BC784-A0DA-4D46-84B1-118675978156}">
      <tableStyleElement type="firstRowStripe" dxfId="2326"/>
      <tableStyleElement type="secondRowStripe" dxfId="2325"/>
    </tableStyle>
    <tableStyle name="August 2026 Roster-style" pivot="0" count="2" xr9:uid="{8A8E44EA-2F96-4E64-8B82-F127C45995B9}">
      <tableStyleElement type="firstRowStripe" dxfId="2328"/>
      <tableStyleElement type="secondRowStripe" dxfId="2327"/>
    </tableStyle>
    <tableStyle name="August 2026 Roster-style 2" pivot="0" count="2" xr9:uid="{06B3614C-2265-456E-828D-8F092812C930}">
      <tableStyleElement type="firstRowStripe" dxfId="2330"/>
      <tableStyleElement type="secondRowStripe" dxfId="2329"/>
    </tableStyle>
    <tableStyle name="Copy of Apr-2026-Roster-style" pivot="0" count="2" xr9:uid="{3DB730FE-8E4B-406B-AEFC-FEA302641C57}">
      <tableStyleElement type="firstRowStripe" dxfId="2332"/>
      <tableStyleElement type="secondRowStripe" dxfId="2331"/>
    </tableStyle>
    <tableStyle name="Copy of Apr-2026-Roster-style 2" pivot="0" count="2" xr9:uid="{9FF887E1-684F-40ED-8235-860E1475B36F}">
      <tableStyleElement type="firstRowStripe" dxfId="2334"/>
      <tableStyleElement type="secondRowStripe" dxfId="2333"/>
    </tableStyle>
    <tableStyle name="Jan-2025-Cover-Roster-style" pivot="0" count="2" xr9:uid="{66C72C95-543E-4C07-947F-842B6D60076E}">
      <tableStyleElement type="firstRowStripe" dxfId="2336"/>
      <tableStyleElement type="secondRowStripe" dxfId="2335"/>
    </tableStyle>
    <tableStyle name="Jan-2025-Cover-Roster-style 2" pivot="0" count="2" xr9:uid="{7F539F52-D7BC-4CA1-A78F-862653B2A16F}">
      <tableStyleElement type="firstRowStripe" dxfId="2338"/>
      <tableStyleElement type="secondRowStripe" dxfId="2337"/>
    </tableStyle>
    <tableStyle name="Nov-2024- AMPT FAIL-style" pivot="0" count="2" xr9:uid="{7016EF8E-3400-431A-B68B-829C22F2F9B7}">
      <tableStyleElement type="firstRowStripe" dxfId="2340"/>
      <tableStyleElement type="secondRowStripe" dxfId="2339"/>
    </tableStyle>
    <tableStyle name="Nov-2024- AMPT FAIL-style 2" pivot="0" count="2" xr9:uid="{1FC598B4-3DF4-4C6F-8AC7-124ACF6832C2}">
      <tableStyleElement type="firstRowStripe" dxfId="2342"/>
      <tableStyleElement type="secondRowStripe" dxfId="2341"/>
    </tableStyle>
    <tableStyle name="Copy of Oct-2024-Roster-style" pivot="0" count="2" xr9:uid="{BE1832B9-3224-42F4-A8C7-55C486659C43}">
      <tableStyleElement type="firstRowStripe" dxfId="2344"/>
      <tableStyleElement type="secondRowStripe" dxfId="2343"/>
    </tableStyle>
    <tableStyle name="Copy of Oct-2024-Roster-style 2" pivot="0" count="2" xr9:uid="{419B58E2-22FE-49FC-A422-CB8761A53A53}">
      <tableStyleElement type="firstRowStripe" dxfId="2346"/>
      <tableStyleElement type="secondRowStripe" dxfId="2345"/>
    </tableStyle>
    <tableStyle name="Copy of Sep-2024 IF AMPT GUYS F-style" pivot="0" count="2" xr9:uid="{8CE4FDBC-8E38-4750-9577-AD2CF1A26263}">
      <tableStyleElement type="firstRowStripe" dxfId="2348"/>
      <tableStyleElement type="secondRowStripe" dxfId="2347"/>
    </tableStyle>
    <tableStyle name="Copy of Sep-2024 IF AMPT GUYS F-style 2" pivot="0" count="2" xr9:uid="{3A18D612-6538-4B7E-9837-56DCC1E20C50}">
      <tableStyleElement type="firstRowStripe" dxfId="2350"/>
      <tableStyleElement type="secondRowStripe" dxfId="2349"/>
    </tableStyle>
    <tableStyle name="RMGP 0323-style" pivot="0" count="2" xr9:uid="{5AB57B6A-94DC-45AC-950D-FD0DF1B0B96F}">
      <tableStyleElement type="firstRowStripe" dxfId="2352"/>
      <tableStyleElement type="secondRowStripe" dxfId="2351"/>
    </tableStyle>
    <tableStyle name="0423 OFFs calculation-style" pivot="0" count="2" xr9:uid="{276C503F-E8E8-4B21-93B2-38DEA9F39116}">
      <tableStyleElement type="firstRowStripe" dxfId="2354"/>
      <tableStyleElement type="secondRowStripe" dxfId="2353"/>
    </tableStyle>
    <tableStyle name="0423 OFFs calculation-style 2" pivot="0" count="2" xr9:uid="{F56AE3F8-4989-404F-AD47-186D9C4F9341}">
      <tableStyleElement type="firstRowStripe" dxfId="2356"/>
      <tableStyleElement type="secondRowStripe" dxfId="2355"/>
    </tableStyle>
    <tableStyle name="0423 OFFs calculation-style 3" pivot="0" count="3" xr9:uid="{9A3F1D06-6EB1-4A99-9D75-FDA51A9DC159}">
      <tableStyleElement type="headerRow" dxfId="2359"/>
      <tableStyleElement type="firstRowStripe" dxfId="2358"/>
      <tableStyleElement type="secondRowStripe" dxfId="2357"/>
    </tableStyle>
    <tableStyle name="0323 OFFs calculation-style" pivot="0" count="2" xr9:uid="{588A7D35-42D2-4286-8901-8125FA7FB535}">
      <tableStyleElement type="firstRowStripe" dxfId="2361"/>
      <tableStyleElement type="secondRowStripe" dxfId="2360"/>
    </tableStyle>
    <tableStyle name="0323 OFFs calculation-style 2" pivot="0" count="2" xr9:uid="{8674B2E0-E298-46FF-A442-28BD459C673A}">
      <tableStyleElement type="firstRowStripe" dxfId="2363"/>
      <tableStyleElement type="secondRowStripe" dxfId="2362"/>
    </tableStyle>
    <tableStyle name="0323 OFFs calculation-style 3" pivot="0" count="3" xr9:uid="{30B185D0-7359-474B-8966-6A26ACFC38E8}">
      <tableStyleElement type="headerRow" dxfId="2366"/>
      <tableStyleElement type="firstRowStripe" dxfId="2365"/>
      <tableStyleElement type="secondRowStripe" dxfId="2364"/>
    </tableStyle>
    <tableStyle name="0223 OFFs calculation-style" pivot="0" count="2" xr9:uid="{829CF4C9-AD51-4BE1-9659-9F7393C7C7BB}">
      <tableStyleElement type="firstRowStripe" dxfId="2368"/>
      <tableStyleElement type="secondRowStripe" dxfId="2367"/>
    </tableStyle>
    <tableStyle name="0223 OFFs calculation-style 2" pivot="0" count="2" xr9:uid="{A3F15437-394C-43AA-9309-97DFA930BC99}">
      <tableStyleElement type="firstRowStripe" dxfId="2370"/>
      <tableStyleElement type="secondRowStripe" dxfId="2369"/>
    </tableStyle>
    <tableStyle name="0223 OFFs calculation-style 3" pivot="0" count="3" xr9:uid="{62BC3BC8-9A59-41E8-83B8-F4E9EF61DE5B}">
      <tableStyleElement type="headerRow" dxfId="2373"/>
      <tableStyleElement type="firstRowStripe" dxfId="2372"/>
      <tableStyleElement type="secondRowStripe" dxfId="237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58" name="Table_58" displayName="Table_58" ref="A5:BP33" headerRowCount="0">
  <tableColumns count="68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  <tableColumn id="8" name="Column8" dataDxfId="7"/>
    <tableColumn id="9" name="Column9" dataDxfId="8"/>
    <tableColumn id="10" name="Column10" dataDxfId="9"/>
    <tableColumn id="11" name="Column11" dataDxfId="10"/>
    <tableColumn id="12" name="Column12" dataDxfId="11"/>
    <tableColumn id="13" name="Column13" dataDxfId="12"/>
    <tableColumn id="14" name="Column14" dataDxfId="13"/>
    <tableColumn id="15" name="Column15" dataDxfId="14"/>
    <tableColumn id="16" name="Column16" dataDxfId="15"/>
    <tableColumn id="17" name="Column17" dataDxfId="16"/>
    <tableColumn id="18" name="Column18" dataDxfId="17"/>
    <tableColumn id="19" name="Column19" dataDxfId="18"/>
    <tableColumn id="20" name="Column20" dataDxfId="19"/>
    <tableColumn id="21" name="Column21" dataDxfId="20"/>
    <tableColumn id="22" name="Column22" dataDxfId="21"/>
    <tableColumn id="23" name="Column23" dataDxfId="22"/>
    <tableColumn id="24" name="Column24" dataDxfId="23"/>
    <tableColumn id="25" name="Column25" dataDxfId="24"/>
    <tableColumn id="26" name="Column26" dataDxfId="25"/>
    <tableColumn id="27" name="Column27" dataDxfId="26"/>
    <tableColumn id="28" name="Column28" dataDxfId="27"/>
    <tableColumn id="29" name="Column29" dataDxfId="28"/>
    <tableColumn id="30" name="Column30" dataDxfId="29"/>
    <tableColumn id="31" name="Column31" dataDxfId="30"/>
    <tableColumn id="32" name="Column32" dataDxfId="31"/>
    <tableColumn id="33" name="Column33" dataDxfId="32"/>
    <tableColumn id="34" name="Column34" dataDxfId="33"/>
    <tableColumn id="35" name="Column35" dataDxfId="34"/>
    <tableColumn id="36" name="Column36" dataDxfId="35"/>
    <tableColumn id="37" name="Column37" dataDxfId="36"/>
    <tableColumn id="38" name="Column38" dataDxfId="37"/>
    <tableColumn id="39" name="Column39" dataDxfId="38"/>
    <tableColumn id="40" name="Column40" dataDxfId="39"/>
    <tableColumn id="41" name="Column41" dataDxfId="40"/>
    <tableColumn id="42" name="Column42" dataDxfId="41"/>
    <tableColumn id="43" name="Column43" dataDxfId="42"/>
    <tableColumn id="44" name="Column44" dataDxfId="43"/>
    <tableColumn id="45" name="Column45" dataDxfId="44"/>
    <tableColumn id="46" name="Column46" dataDxfId="45"/>
    <tableColumn id="47" name="Column47" dataDxfId="46"/>
    <tableColumn id="48" name="Column48" dataDxfId="47"/>
    <tableColumn id="49" name="Column49" dataDxfId="48"/>
    <tableColumn id="50" name="Column50" dataDxfId="49"/>
    <tableColumn id="51" name="Column51" dataDxfId="50"/>
    <tableColumn id="52" name="Column52" dataDxfId="51"/>
    <tableColumn id="53" name="Column53" dataDxfId="52"/>
    <tableColumn id="54" name="Column54" dataDxfId="53"/>
    <tableColumn id="55" name="Column55" dataDxfId="54"/>
    <tableColumn id="56" name="Column56" dataDxfId="55"/>
    <tableColumn id="57" name="Column57" dataDxfId="56"/>
    <tableColumn id="58" name="Column58" dataDxfId="57"/>
    <tableColumn id="59" name="Column59" dataDxfId="58"/>
    <tableColumn id="60" name="Column60" dataDxfId="59"/>
    <tableColumn id="61" name="Column61" dataDxfId="60"/>
    <tableColumn id="62" name="Column62" dataDxfId="61"/>
    <tableColumn id="63" name="Column63" dataDxfId="62"/>
    <tableColumn id="64" name="Column64" dataDxfId="63"/>
    <tableColumn id="65" name="Column65" dataDxfId="64"/>
    <tableColumn id="66" name="Column66" dataDxfId="65"/>
    <tableColumn id="67" name="Column67" dataDxfId="66"/>
    <tableColumn id="68" name="Column68" dataDxfId="67"/>
  </tableColumns>
  <tableStyleInfo name="Nov-2024-Roster-style" showFirstColumn="1" showLastColumn="1" showRowStripes="1" showColumnStripes="0"/>
</table>
</file>

<file path=xl/tables/table2.xml><?xml version="1.0" encoding="utf-8"?>
<table xmlns="http://schemas.openxmlformats.org/spreadsheetml/2006/main" id="59" name="Table_59" displayName="Table_59" ref="B34:BP40" headerRowCount="0">
  <tableColumns count="67">
    <tableColumn id="1" name="Column1" dataDxfId="68"/>
    <tableColumn id="2" name="Column2" dataDxfId="69"/>
    <tableColumn id="3" name="Column3" dataDxfId="70"/>
    <tableColumn id="4" name="Column4" dataDxfId="71"/>
    <tableColumn id="5" name="Column5" dataDxfId="72"/>
    <tableColumn id="6" name="Column6" dataDxfId="73"/>
    <tableColumn id="7" name="Column7" dataDxfId="74"/>
    <tableColumn id="8" name="Column8" dataDxfId="75"/>
    <tableColumn id="9" name="Column9" dataDxfId="76"/>
    <tableColumn id="10" name="Column10" dataDxfId="77"/>
    <tableColumn id="11" name="Column11" dataDxfId="78"/>
    <tableColumn id="12" name="Column12" dataDxfId="79"/>
    <tableColumn id="13" name="Column13" dataDxfId="80"/>
    <tableColumn id="14" name="Column14" dataDxfId="81"/>
    <tableColumn id="15" name="Column15" dataDxfId="82"/>
    <tableColumn id="16" name="Column16" dataDxfId="83"/>
    <tableColumn id="17" name="Column17" dataDxfId="84"/>
    <tableColumn id="18" name="Column18" dataDxfId="85"/>
    <tableColumn id="19" name="Column19" dataDxfId="86"/>
    <tableColumn id="20" name="Column20" dataDxfId="87"/>
    <tableColumn id="21" name="Column21" dataDxfId="88"/>
    <tableColumn id="22" name="Column22" dataDxfId="89"/>
    <tableColumn id="23" name="Column23" dataDxfId="90"/>
    <tableColumn id="24" name="Column24" dataDxfId="91"/>
    <tableColumn id="25" name="Column25" dataDxfId="92"/>
    <tableColumn id="26" name="Column26" dataDxfId="93"/>
    <tableColumn id="27" name="Column27" dataDxfId="94"/>
    <tableColumn id="28" name="Column28" dataDxfId="95"/>
    <tableColumn id="29" name="Column29" dataDxfId="96"/>
    <tableColumn id="30" name="Column30" dataDxfId="97"/>
    <tableColumn id="31" name="Column31" dataDxfId="98"/>
    <tableColumn id="32" name="Column32" dataDxfId="99"/>
    <tableColumn id="33" name="Column33" dataDxfId="100"/>
    <tableColumn id="34" name="Column34" dataDxfId="101"/>
    <tableColumn id="35" name="Column35" dataDxfId="102"/>
    <tableColumn id="36" name="Column36" dataDxfId="103"/>
    <tableColumn id="37" name="Column37" dataDxfId="104"/>
    <tableColumn id="38" name="Column38" dataDxfId="105"/>
    <tableColumn id="39" name="Column39" dataDxfId="106"/>
    <tableColumn id="40" name="Column40" dataDxfId="107"/>
    <tableColumn id="41" name="Column41" dataDxfId="108"/>
    <tableColumn id="42" name="Column42" dataDxfId="109"/>
    <tableColumn id="43" name="Column43" dataDxfId="110"/>
    <tableColumn id="44" name="Column44" dataDxfId="111"/>
    <tableColumn id="45" name="Column45" dataDxfId="112"/>
    <tableColumn id="46" name="Column46" dataDxfId="113"/>
    <tableColumn id="47" name="Column47" dataDxfId="114"/>
    <tableColumn id="48" name="Column48" dataDxfId="115"/>
    <tableColumn id="49" name="Column49" dataDxfId="116"/>
    <tableColumn id="50" name="Column50" dataDxfId="117"/>
    <tableColumn id="51" name="Column51" dataDxfId="118"/>
    <tableColumn id="52" name="Column52" dataDxfId="119"/>
    <tableColumn id="53" name="Column53" dataDxfId="120"/>
    <tableColumn id="54" name="Column54" dataDxfId="121"/>
    <tableColumn id="55" name="Column55" dataDxfId="122"/>
    <tableColumn id="56" name="Column56" dataDxfId="123"/>
    <tableColumn id="57" name="Column57" dataDxfId="124"/>
    <tableColumn id="58" name="Column58" dataDxfId="125"/>
    <tableColumn id="59" name="Column59" dataDxfId="126"/>
    <tableColumn id="60" name="Column60" dataDxfId="127"/>
    <tableColumn id="61" name="Column61" dataDxfId="128"/>
    <tableColumn id="62" name="Column62" dataDxfId="129"/>
    <tableColumn id="63" name="Column63" dataDxfId="130"/>
    <tableColumn id="64" name="Column64" dataDxfId="131"/>
    <tableColumn id="65" name="Column65" dataDxfId="132"/>
    <tableColumn id="66" name="Column66" dataDxfId="133"/>
    <tableColumn id="67" name="Column67" dataDxfId="134"/>
  </tableColumns>
  <tableStyleInfo name="Nov-2024-Roster-style 2" showFirstColumn="1" showLastColumn="1" showRowStripes="1" showColumnStripes="0"/>
</table>
</file>

<file path=xl/tables/table3.xml><?xml version="1.0" encoding="utf-8"?>
<table xmlns="http://schemas.openxmlformats.org/spreadsheetml/2006/main" id="60" name="Table_60" displayName="Table_60" ref="A5:BP39" headerRowCount="0">
  <tableColumns count="68">
    <tableColumn id="1" name="Column1" dataDxfId="156"/>
    <tableColumn id="2" name="Column2" dataDxfId="157"/>
    <tableColumn id="3" name="Column3" dataDxfId="158"/>
    <tableColumn id="4" name="Column4" dataDxfId="159"/>
    <tableColumn id="5" name="Column5" dataDxfId="160"/>
    <tableColumn id="6" name="Column6" dataDxfId="161"/>
    <tableColumn id="7" name="Column7" dataDxfId="162"/>
    <tableColumn id="8" name="Column8" dataDxfId="163"/>
    <tableColumn id="9" name="Column9" dataDxfId="164"/>
    <tableColumn id="10" name="Column10" dataDxfId="165"/>
    <tableColumn id="11" name="Column11" dataDxfId="166"/>
    <tableColumn id="12" name="Column12" dataDxfId="167"/>
    <tableColumn id="13" name="Column13" dataDxfId="168"/>
    <tableColumn id="14" name="Column14" dataDxfId="169"/>
    <tableColumn id="15" name="Column15" dataDxfId="170"/>
    <tableColumn id="16" name="Column16" dataDxfId="171"/>
    <tableColumn id="17" name="Column17" dataDxfId="172"/>
    <tableColumn id="18" name="Column18" dataDxfId="173"/>
    <tableColumn id="19" name="Column19" dataDxfId="174"/>
    <tableColumn id="20" name="Column20" dataDxfId="175"/>
    <tableColumn id="21" name="Column21" dataDxfId="176"/>
    <tableColumn id="22" name="Column22" dataDxfId="177"/>
    <tableColumn id="23" name="Column23" dataDxfId="178"/>
    <tableColumn id="24" name="Column24" dataDxfId="179"/>
    <tableColumn id="25" name="Column25" dataDxfId="180"/>
    <tableColumn id="26" name="Column26" dataDxfId="181"/>
    <tableColumn id="27" name="Column27" dataDxfId="182"/>
    <tableColumn id="28" name="Column28" dataDxfId="183"/>
    <tableColumn id="29" name="Column29" dataDxfId="184"/>
    <tableColumn id="30" name="Column30" dataDxfId="185"/>
    <tableColumn id="31" name="Column31" dataDxfId="186"/>
    <tableColumn id="32" name="Column32" dataDxfId="187"/>
    <tableColumn id="33" name="Column33" dataDxfId="188"/>
    <tableColumn id="34" name="Column34" dataDxfId="189"/>
    <tableColumn id="35" name="Column35" dataDxfId="190"/>
    <tableColumn id="36" name="Column36" dataDxfId="191"/>
    <tableColumn id="37" name="Column37" dataDxfId="192"/>
    <tableColumn id="38" name="Column38" dataDxfId="193"/>
    <tableColumn id="39" name="Column39" dataDxfId="194"/>
    <tableColumn id="40" name="Column40" dataDxfId="195"/>
    <tableColumn id="41" name="Column41" dataDxfId="196"/>
    <tableColumn id="42" name="Column42" dataDxfId="197"/>
    <tableColumn id="43" name="Column43" dataDxfId="198"/>
    <tableColumn id="44" name="Column44" dataDxfId="199"/>
    <tableColumn id="45" name="Column45" dataDxfId="200"/>
    <tableColumn id="46" name="Column46" dataDxfId="201"/>
    <tableColumn id="47" name="Column47" dataDxfId="202"/>
    <tableColumn id="48" name="Column48" dataDxfId="203"/>
    <tableColumn id="49" name="Column49" dataDxfId="204"/>
    <tableColumn id="50" name="Column50" dataDxfId="205"/>
    <tableColumn id="51" name="Column51" dataDxfId="206"/>
    <tableColumn id="52" name="Column52" dataDxfId="207"/>
    <tableColumn id="53" name="Column53" dataDxfId="208"/>
    <tableColumn id="54" name="Column54" dataDxfId="209"/>
    <tableColumn id="55" name="Column55" dataDxfId="210"/>
    <tableColumn id="56" name="Column56" dataDxfId="211"/>
    <tableColumn id="57" name="Column57" dataDxfId="212"/>
    <tableColumn id="58" name="Column58" dataDxfId="213"/>
    <tableColumn id="59" name="Column59" dataDxfId="214"/>
    <tableColumn id="60" name="Column60" dataDxfId="215"/>
    <tableColumn id="61" name="Column61" dataDxfId="216"/>
    <tableColumn id="62" name="Column62" dataDxfId="217"/>
    <tableColumn id="63" name="Column63" dataDxfId="218"/>
    <tableColumn id="64" name="Column64" dataDxfId="219"/>
    <tableColumn id="65" name="Column65" dataDxfId="220"/>
    <tableColumn id="66" name="Column66" dataDxfId="221"/>
    <tableColumn id="67" name="Column67" dataDxfId="222"/>
    <tableColumn id="68" name="Column68" dataDxfId="223"/>
  </tableColumns>
  <tableStyleInfo name="Dec-2024-Roster-style" showFirstColumn="1" showLastColumn="1" showRowStripes="1" showColumnStripes="0"/>
</table>
</file>

<file path=xl/tables/table4.xml><?xml version="1.0" encoding="utf-8"?>
<table xmlns="http://schemas.openxmlformats.org/spreadsheetml/2006/main" id="61" name="Table_61" displayName="Table_61" ref="B40:BP46" headerRowCount="0">
  <tableColumns count="67">
    <tableColumn id="1" name="Column1" dataDxfId="224"/>
    <tableColumn id="2" name="Column2" dataDxfId="225"/>
    <tableColumn id="3" name="Column3" dataDxfId="226"/>
    <tableColumn id="4" name="Column4" dataDxfId="227"/>
    <tableColumn id="5" name="Column5" dataDxfId="228"/>
    <tableColumn id="6" name="Column6" dataDxfId="229"/>
    <tableColumn id="7" name="Column7" dataDxfId="230"/>
    <tableColumn id="8" name="Column8" dataDxfId="231"/>
    <tableColumn id="9" name="Column9" dataDxfId="232"/>
    <tableColumn id="10" name="Column10" dataDxfId="233"/>
    <tableColumn id="11" name="Column11" dataDxfId="234"/>
    <tableColumn id="12" name="Column12" dataDxfId="235"/>
    <tableColumn id="13" name="Column13" dataDxfId="236"/>
    <tableColumn id="14" name="Column14" dataDxfId="237"/>
    <tableColumn id="15" name="Column15" dataDxfId="238"/>
    <tableColumn id="16" name="Column16" dataDxfId="239"/>
    <tableColumn id="17" name="Column17" dataDxfId="240"/>
    <tableColumn id="18" name="Column18" dataDxfId="241"/>
    <tableColumn id="19" name="Column19" dataDxfId="242"/>
    <tableColumn id="20" name="Column20" dataDxfId="243"/>
    <tableColumn id="21" name="Column21" dataDxfId="244"/>
    <tableColumn id="22" name="Column22" dataDxfId="245"/>
    <tableColumn id="23" name="Column23" dataDxfId="246"/>
    <tableColumn id="24" name="Column24" dataDxfId="247"/>
    <tableColumn id="25" name="Column25" dataDxfId="248"/>
    <tableColumn id="26" name="Column26" dataDxfId="249"/>
    <tableColumn id="27" name="Column27" dataDxfId="250"/>
    <tableColumn id="28" name="Column28" dataDxfId="251"/>
    <tableColumn id="29" name="Column29" dataDxfId="252"/>
    <tableColumn id="30" name="Column30" dataDxfId="253"/>
    <tableColumn id="31" name="Column31" dataDxfId="254"/>
    <tableColumn id="32" name="Column32" dataDxfId="255"/>
    <tableColumn id="33" name="Column33" dataDxfId="256"/>
    <tableColumn id="34" name="Column34" dataDxfId="257"/>
    <tableColumn id="35" name="Column35" dataDxfId="258"/>
    <tableColumn id="36" name="Column36" dataDxfId="259"/>
    <tableColumn id="37" name="Column37" dataDxfId="260"/>
    <tableColumn id="38" name="Column38" dataDxfId="261"/>
    <tableColumn id="39" name="Column39" dataDxfId="262"/>
    <tableColumn id="40" name="Column40" dataDxfId="263"/>
    <tableColumn id="41" name="Column41" dataDxfId="264"/>
    <tableColumn id="42" name="Column42" dataDxfId="265"/>
    <tableColumn id="43" name="Column43" dataDxfId="266"/>
    <tableColumn id="44" name="Column44" dataDxfId="267"/>
    <tableColumn id="45" name="Column45" dataDxfId="268"/>
    <tableColumn id="46" name="Column46" dataDxfId="269"/>
    <tableColumn id="47" name="Column47" dataDxfId="270"/>
    <tableColumn id="48" name="Column48" dataDxfId="271"/>
    <tableColumn id="49" name="Column49" dataDxfId="272"/>
    <tableColumn id="50" name="Column50" dataDxfId="273"/>
    <tableColumn id="51" name="Column51" dataDxfId="274"/>
    <tableColumn id="52" name="Column52" dataDxfId="275"/>
    <tableColumn id="53" name="Column53" dataDxfId="276"/>
    <tableColumn id="54" name="Column54" dataDxfId="277"/>
    <tableColumn id="55" name="Column55" dataDxfId="278"/>
    <tableColumn id="56" name="Column56" dataDxfId="279"/>
    <tableColumn id="57" name="Column57" dataDxfId="280"/>
    <tableColumn id="58" name="Column58" dataDxfId="281"/>
    <tableColumn id="59" name="Column59" dataDxfId="282"/>
    <tableColumn id="60" name="Column60" dataDxfId="283"/>
    <tableColumn id="61" name="Column61" dataDxfId="284"/>
    <tableColumn id="62" name="Column62" dataDxfId="285"/>
    <tableColumn id="63" name="Column63" dataDxfId="286"/>
    <tableColumn id="64" name="Column64" dataDxfId="287"/>
    <tableColumn id="65" name="Column65" dataDxfId="288"/>
    <tableColumn id="66" name="Column66" dataDxfId="289"/>
    <tableColumn id="67" name="Column67" dataDxfId="290"/>
  </tableColumns>
  <tableStyleInfo name="Dec-2024-Roster-style 2" showFirstColumn="1" showLastColumn="1" showRowStripes="1" showColumnStripes="0"/>
</table>
</file>

<file path=xl/tables/table5.xml><?xml version="1.0" encoding="utf-8"?>
<table xmlns="http://schemas.openxmlformats.org/spreadsheetml/2006/main" id="62" name="Table_62" displayName="Table_62" ref="A5:BP39" headerRowCount="0">
  <tableColumns count="68">
    <tableColumn id="1" name="Column1" dataDxfId="291"/>
    <tableColumn id="2" name="Column2" dataDxfId="292"/>
    <tableColumn id="3" name="Column3" dataDxfId="293"/>
    <tableColumn id="4" name="Column4" dataDxfId="294"/>
    <tableColumn id="5" name="Column5" dataDxfId="295"/>
    <tableColumn id="6" name="Column6" dataDxfId="296"/>
    <tableColumn id="7" name="Column7" dataDxfId="297"/>
    <tableColumn id="8" name="Column8" dataDxfId="298"/>
    <tableColumn id="9" name="Column9" dataDxfId="299"/>
    <tableColumn id="10" name="Column10" dataDxfId="300"/>
    <tableColumn id="11" name="Column11" dataDxfId="301"/>
    <tableColumn id="12" name="Column12" dataDxfId="302"/>
    <tableColumn id="13" name="Column13" dataDxfId="303"/>
    <tableColumn id="14" name="Column14" dataDxfId="304"/>
    <tableColumn id="15" name="Column15" dataDxfId="305"/>
    <tableColumn id="16" name="Column16" dataDxfId="306"/>
    <tableColumn id="17" name="Column17" dataDxfId="307"/>
    <tableColumn id="18" name="Column18" dataDxfId="308"/>
    <tableColumn id="19" name="Column19" dataDxfId="309"/>
    <tableColumn id="20" name="Column20" dataDxfId="310"/>
    <tableColumn id="21" name="Column21" dataDxfId="311"/>
    <tableColumn id="22" name="Column22" dataDxfId="312"/>
    <tableColumn id="23" name="Column23" dataDxfId="313"/>
    <tableColumn id="24" name="Column24" dataDxfId="314"/>
    <tableColumn id="25" name="Column25" dataDxfId="315"/>
    <tableColumn id="26" name="Column26" dataDxfId="316"/>
    <tableColumn id="27" name="Column27" dataDxfId="317"/>
    <tableColumn id="28" name="Column28" dataDxfId="318"/>
    <tableColumn id="29" name="Column29" dataDxfId="319"/>
    <tableColumn id="30" name="Column30" dataDxfId="320"/>
    <tableColumn id="31" name="Column31" dataDxfId="321"/>
    <tableColumn id="32" name="Column32" dataDxfId="322"/>
    <tableColumn id="33" name="Column33" dataDxfId="323"/>
    <tableColumn id="34" name="Column34" dataDxfId="324"/>
    <tableColumn id="35" name="Column35" dataDxfId="325"/>
    <tableColumn id="36" name="Column36" dataDxfId="326"/>
    <tableColumn id="37" name="Column37" dataDxfId="327"/>
    <tableColumn id="38" name="Column38" dataDxfId="328"/>
    <tableColumn id="39" name="Column39" dataDxfId="329"/>
    <tableColumn id="40" name="Column40" dataDxfId="330"/>
    <tableColumn id="41" name="Column41" dataDxfId="331"/>
    <tableColumn id="42" name="Column42" dataDxfId="332"/>
    <tableColumn id="43" name="Column43" dataDxfId="333"/>
    <tableColumn id="44" name="Column44" dataDxfId="334"/>
    <tableColumn id="45" name="Column45" dataDxfId="335"/>
    <tableColumn id="46" name="Column46" dataDxfId="336"/>
    <tableColumn id="47" name="Column47" dataDxfId="337"/>
    <tableColumn id="48" name="Column48" dataDxfId="338"/>
    <tableColumn id="49" name="Column49" dataDxfId="339"/>
    <tableColumn id="50" name="Column50" dataDxfId="340"/>
    <tableColumn id="51" name="Column51" dataDxfId="341"/>
    <tableColumn id="52" name="Column52" dataDxfId="342"/>
    <tableColumn id="53" name="Column53" dataDxfId="343"/>
    <tableColumn id="54" name="Column54" dataDxfId="344"/>
    <tableColumn id="55" name="Column55" dataDxfId="345"/>
    <tableColumn id="56" name="Column56" dataDxfId="346"/>
    <tableColumn id="57" name="Column57" dataDxfId="347"/>
    <tableColumn id="58" name="Column58" dataDxfId="348"/>
    <tableColumn id="59" name="Column59" dataDxfId="349"/>
    <tableColumn id="60" name="Column60" dataDxfId="350"/>
    <tableColumn id="61" name="Column61" dataDxfId="351"/>
    <tableColumn id="62" name="Column62" dataDxfId="352"/>
    <tableColumn id="63" name="Column63" dataDxfId="353"/>
    <tableColumn id="64" name="Column64" dataDxfId="354"/>
    <tableColumn id="65" name="Column65" dataDxfId="355"/>
    <tableColumn id="66" name="Column66" dataDxfId="356"/>
    <tableColumn id="67" name="Column67" dataDxfId="357"/>
    <tableColumn id="68" name="Column68" dataDxfId="358"/>
  </tableColumns>
  <tableStyleInfo name="Jan-2025-Roster-style" showFirstColumn="1" showLastColumn="1" showRowStripes="1" showColumnStripes="0"/>
</table>
</file>

<file path=xl/tables/table6.xml><?xml version="1.0" encoding="utf-8"?>
<table xmlns="http://schemas.openxmlformats.org/spreadsheetml/2006/main" id="63" name="Table_63" displayName="Table_63" ref="B40:BP46" headerRowCount="0">
  <tableColumns count="67">
    <tableColumn id="1" name="Column1" dataDxfId="359"/>
    <tableColumn id="2" name="Column2" dataDxfId="360"/>
    <tableColumn id="3" name="Column3" dataDxfId="361"/>
    <tableColumn id="4" name="Column4" dataDxfId="362"/>
    <tableColumn id="5" name="Column5" dataDxfId="363"/>
    <tableColumn id="6" name="Column6" dataDxfId="364"/>
    <tableColumn id="7" name="Column7" dataDxfId="365"/>
    <tableColumn id="8" name="Column8" dataDxfId="366"/>
    <tableColumn id="9" name="Column9" dataDxfId="367"/>
    <tableColumn id="10" name="Column10" dataDxfId="368"/>
    <tableColumn id="11" name="Column11" dataDxfId="369"/>
    <tableColumn id="12" name="Column12" dataDxfId="370"/>
    <tableColumn id="13" name="Column13" dataDxfId="371"/>
    <tableColumn id="14" name="Column14" dataDxfId="372"/>
    <tableColumn id="15" name="Column15" dataDxfId="373"/>
    <tableColumn id="16" name="Column16" dataDxfId="374"/>
    <tableColumn id="17" name="Column17" dataDxfId="375"/>
    <tableColumn id="18" name="Column18" dataDxfId="376"/>
    <tableColumn id="19" name="Column19" dataDxfId="377"/>
    <tableColumn id="20" name="Column20" dataDxfId="378"/>
    <tableColumn id="21" name="Column21" dataDxfId="379"/>
    <tableColumn id="22" name="Column22" dataDxfId="380"/>
    <tableColumn id="23" name="Column23" dataDxfId="381"/>
    <tableColumn id="24" name="Column24" dataDxfId="382"/>
    <tableColumn id="25" name="Column25" dataDxfId="383"/>
    <tableColumn id="26" name="Column26" dataDxfId="384"/>
    <tableColumn id="27" name="Column27" dataDxfId="385"/>
    <tableColumn id="28" name="Column28" dataDxfId="386"/>
    <tableColumn id="29" name="Column29" dataDxfId="387"/>
    <tableColumn id="30" name="Column30" dataDxfId="388"/>
    <tableColumn id="31" name="Column31" dataDxfId="389"/>
    <tableColumn id="32" name="Column32" dataDxfId="390"/>
    <tableColumn id="33" name="Column33" dataDxfId="391"/>
    <tableColumn id="34" name="Column34" dataDxfId="392"/>
    <tableColumn id="35" name="Column35" dataDxfId="393"/>
    <tableColumn id="36" name="Column36" dataDxfId="394"/>
    <tableColumn id="37" name="Column37" dataDxfId="395"/>
    <tableColumn id="38" name="Column38" dataDxfId="396"/>
    <tableColumn id="39" name="Column39" dataDxfId="397"/>
    <tableColumn id="40" name="Column40" dataDxfId="398"/>
    <tableColumn id="41" name="Column41" dataDxfId="399"/>
    <tableColumn id="42" name="Column42" dataDxfId="400"/>
    <tableColumn id="43" name="Column43" dataDxfId="401"/>
    <tableColumn id="44" name="Column44" dataDxfId="402"/>
    <tableColumn id="45" name="Column45" dataDxfId="403"/>
    <tableColumn id="46" name="Column46" dataDxfId="404"/>
    <tableColumn id="47" name="Column47" dataDxfId="405"/>
    <tableColumn id="48" name="Column48" dataDxfId="406"/>
    <tableColumn id="49" name="Column49" dataDxfId="407"/>
    <tableColumn id="50" name="Column50" dataDxfId="408"/>
    <tableColumn id="51" name="Column51" dataDxfId="409"/>
    <tableColumn id="52" name="Column52" dataDxfId="410"/>
    <tableColumn id="53" name="Column53" dataDxfId="411"/>
    <tableColumn id="54" name="Column54" dataDxfId="412"/>
    <tableColumn id="55" name="Column55" dataDxfId="413"/>
    <tableColumn id="56" name="Column56" dataDxfId="414"/>
    <tableColumn id="57" name="Column57" dataDxfId="415"/>
    <tableColumn id="58" name="Column58" dataDxfId="416"/>
    <tableColumn id="59" name="Column59" dataDxfId="417"/>
    <tableColumn id="60" name="Column60" dataDxfId="418"/>
    <tableColumn id="61" name="Column61" dataDxfId="419"/>
    <tableColumn id="62" name="Column62" dataDxfId="420"/>
    <tableColumn id="63" name="Column63" dataDxfId="421"/>
    <tableColumn id="64" name="Column64" dataDxfId="422"/>
    <tableColumn id="65" name="Column65" dataDxfId="423"/>
    <tableColumn id="66" name="Column66" dataDxfId="424"/>
    <tableColumn id="67" name="Column67" dataDxfId="425"/>
  </tableColumns>
  <tableStyleInfo name="Jan-2025-Roster-style 2" showFirstColumn="1" showLastColumn="1" showRowStripes="1" showColumnStripes="0"/>
</table>
</file>

<file path=xl/tables/table7.xml><?xml version="1.0" encoding="utf-8"?>
<table xmlns="http://schemas.openxmlformats.org/spreadsheetml/2006/main" id="64" name="Table_64" displayName="Table_64" ref="A5:BQ35" headerRowCount="0">
  <tableColumns count="69">
    <tableColumn id="1" name="Column1" dataDxfId="426"/>
    <tableColumn id="2" name="Column2" dataDxfId="427"/>
    <tableColumn id="3" name="Column3" dataDxfId="428"/>
    <tableColumn id="4" name="Column4" dataDxfId="429"/>
    <tableColumn id="5" name="Column5" dataDxfId="430"/>
    <tableColumn id="6" name="Column6" dataDxfId="431"/>
    <tableColumn id="7" name="Column7" dataDxfId="432"/>
    <tableColumn id="8" name="Column8" dataDxfId="433"/>
    <tableColumn id="9" name="Column9" dataDxfId="434"/>
    <tableColumn id="10" name="Column10" dataDxfId="435"/>
    <tableColumn id="11" name="Column11" dataDxfId="436"/>
    <tableColumn id="12" name="Column12" dataDxfId="437"/>
    <tableColumn id="13" name="Column13" dataDxfId="438"/>
    <tableColumn id="14" name="Column14" dataDxfId="439"/>
    <tableColumn id="15" name="Column15" dataDxfId="440"/>
    <tableColumn id="16" name="Column16" dataDxfId="441"/>
    <tableColumn id="17" name="Column17" dataDxfId="442"/>
    <tableColumn id="18" name="Column18" dataDxfId="443"/>
    <tableColumn id="19" name="Column19" dataDxfId="444"/>
    <tableColumn id="20" name="Column20" dataDxfId="445"/>
    <tableColumn id="21" name="Column21" dataDxfId="446"/>
    <tableColumn id="22" name="Column22" dataDxfId="447"/>
    <tableColumn id="23" name="Column23" dataDxfId="448"/>
    <tableColumn id="24" name="Column24" dataDxfId="449"/>
    <tableColumn id="25" name="Column25" dataDxfId="450"/>
    <tableColumn id="26" name="Column26" dataDxfId="451"/>
    <tableColumn id="27" name="Column27" dataDxfId="452"/>
    <tableColumn id="28" name="Column28" dataDxfId="453"/>
    <tableColumn id="29" name="Column29" dataDxfId="454"/>
    <tableColumn id="30" name="Column30" dataDxfId="455"/>
    <tableColumn id="31" name="Column31" dataDxfId="456"/>
    <tableColumn id="32" name="Column32" dataDxfId="457"/>
    <tableColumn id="33" name="Column33" dataDxfId="458"/>
    <tableColumn id="34" name="Column34" dataDxfId="459"/>
    <tableColumn id="35" name="Column35" dataDxfId="460"/>
    <tableColumn id="36" name="Column36" dataDxfId="461"/>
    <tableColumn id="37" name="Column37" dataDxfId="462"/>
    <tableColumn id="38" name="Column38" dataDxfId="463"/>
    <tableColumn id="39" name="Column39" dataDxfId="464"/>
    <tableColumn id="40" name="Column40" dataDxfId="465"/>
    <tableColumn id="41" name="Column41" dataDxfId="466"/>
    <tableColumn id="42" name="Column42" dataDxfId="467"/>
    <tableColumn id="43" name="Column43" dataDxfId="468"/>
    <tableColumn id="44" name="Column44" dataDxfId="469"/>
    <tableColumn id="45" name="Column45" dataDxfId="470"/>
    <tableColumn id="46" name="Column46" dataDxfId="471"/>
    <tableColumn id="47" name="Column47" dataDxfId="472"/>
    <tableColumn id="48" name="Column48" dataDxfId="473"/>
    <tableColumn id="49" name="Column49" dataDxfId="474"/>
    <tableColumn id="50" name="Column50" dataDxfId="475"/>
    <tableColumn id="51" name="Column51" dataDxfId="476"/>
    <tableColumn id="52" name="Column52" dataDxfId="477"/>
    <tableColumn id="53" name="Column53" dataDxfId="478"/>
    <tableColumn id="54" name="Column54" dataDxfId="479"/>
    <tableColumn id="55" name="Column55" dataDxfId="480"/>
    <tableColumn id="56" name="Column56" dataDxfId="481"/>
    <tableColumn id="57" name="Column57" dataDxfId="482"/>
    <tableColumn id="58" name="Column58" dataDxfId="483"/>
    <tableColumn id="59" name="Column59" dataDxfId="484"/>
    <tableColumn id="60" name="Column60" dataDxfId="485"/>
    <tableColumn id="61" name="Column61" dataDxfId="486"/>
    <tableColumn id="62" name="Column62" dataDxfId="487"/>
    <tableColumn id="63" name="Column63" dataDxfId="488"/>
    <tableColumn id="64" name="Column64" dataDxfId="489"/>
    <tableColumn id="65" name="Column65" dataDxfId="490"/>
    <tableColumn id="66" name="Column66" dataDxfId="491"/>
    <tableColumn id="67" name="Column67" dataDxfId="492"/>
    <tableColumn id="68" name="Column68" dataDxfId="493"/>
    <tableColumn id="69" name="Column69" dataDxfId="494"/>
  </tableColumns>
  <tableStyleInfo name="Feb-2025-Roster-style" showFirstColumn="1" showLastColumn="1" showRowStripes="1" showColumnStripes="0"/>
</table>
</file>

<file path=xl/tables/table8.xml><?xml version="1.0" encoding="utf-8"?>
<table xmlns="http://schemas.openxmlformats.org/spreadsheetml/2006/main" id="65" name="Table_65" displayName="Table_65" ref="B36:BQ42" headerRowCount="0">
  <tableColumns count="68">
    <tableColumn id="1" name="Column1" dataDxfId="495"/>
    <tableColumn id="2" name="Column2" dataDxfId="496"/>
    <tableColumn id="3" name="Column3" dataDxfId="497"/>
    <tableColumn id="4" name="Column4" dataDxfId="498"/>
    <tableColumn id="5" name="Column5" dataDxfId="499"/>
    <tableColumn id="6" name="Column6" dataDxfId="500"/>
    <tableColumn id="7" name="Column7" dataDxfId="501"/>
    <tableColumn id="8" name="Column8" dataDxfId="502"/>
    <tableColumn id="9" name="Column9" dataDxfId="503"/>
    <tableColumn id="10" name="Column10" dataDxfId="504"/>
    <tableColumn id="11" name="Column11" dataDxfId="505"/>
    <tableColumn id="12" name="Column12" dataDxfId="506"/>
    <tableColumn id="13" name="Column13" dataDxfId="507"/>
    <tableColumn id="14" name="Column14" dataDxfId="508"/>
    <tableColumn id="15" name="Column15" dataDxfId="509"/>
    <tableColumn id="16" name="Column16" dataDxfId="510"/>
    <tableColumn id="17" name="Column17" dataDxfId="511"/>
    <tableColumn id="18" name="Column18" dataDxfId="512"/>
    <tableColumn id="19" name="Column19" dataDxfId="513"/>
    <tableColumn id="20" name="Column20" dataDxfId="514"/>
    <tableColumn id="21" name="Column21" dataDxfId="515"/>
    <tableColumn id="22" name="Column22" dataDxfId="516"/>
    <tableColumn id="23" name="Column23" dataDxfId="517"/>
    <tableColumn id="24" name="Column24" dataDxfId="518"/>
    <tableColumn id="25" name="Column25" dataDxfId="519"/>
    <tableColumn id="26" name="Column26" dataDxfId="520"/>
    <tableColumn id="27" name="Column27" dataDxfId="521"/>
    <tableColumn id="28" name="Column28" dataDxfId="522"/>
    <tableColumn id="29" name="Column29" dataDxfId="523"/>
    <tableColumn id="30" name="Column30" dataDxfId="524"/>
    <tableColumn id="31" name="Column31" dataDxfId="525"/>
    <tableColumn id="32" name="Column32" dataDxfId="526"/>
    <tableColumn id="33" name="Column33" dataDxfId="527"/>
    <tableColumn id="34" name="Column34" dataDxfId="528"/>
    <tableColumn id="35" name="Column35" dataDxfId="529"/>
    <tableColumn id="36" name="Column36" dataDxfId="530"/>
    <tableColumn id="37" name="Column37" dataDxfId="531"/>
    <tableColumn id="38" name="Column38" dataDxfId="532"/>
    <tableColumn id="39" name="Column39" dataDxfId="533"/>
    <tableColumn id="40" name="Column40" dataDxfId="534"/>
    <tableColumn id="41" name="Column41" dataDxfId="535"/>
    <tableColumn id="42" name="Column42" dataDxfId="536"/>
    <tableColumn id="43" name="Column43" dataDxfId="537"/>
    <tableColumn id="44" name="Column44" dataDxfId="538"/>
    <tableColumn id="45" name="Column45" dataDxfId="539"/>
    <tableColumn id="46" name="Column46" dataDxfId="540"/>
    <tableColumn id="47" name="Column47" dataDxfId="541"/>
    <tableColumn id="48" name="Column48" dataDxfId="542"/>
    <tableColumn id="49" name="Column49" dataDxfId="543"/>
    <tableColumn id="50" name="Column50" dataDxfId="544"/>
    <tableColumn id="51" name="Column51" dataDxfId="545"/>
    <tableColumn id="52" name="Column52" dataDxfId="546"/>
    <tableColumn id="53" name="Column53" dataDxfId="547"/>
    <tableColumn id="54" name="Column54" dataDxfId="548"/>
    <tableColumn id="55" name="Column55" dataDxfId="549"/>
    <tableColumn id="56" name="Column56" dataDxfId="550"/>
    <tableColumn id="57" name="Column57" dataDxfId="551"/>
    <tableColumn id="58" name="Column58" dataDxfId="552"/>
    <tableColumn id="59" name="Column59" dataDxfId="553"/>
    <tableColumn id="60" name="Column60" dataDxfId="554"/>
    <tableColumn id="61" name="Column61" dataDxfId="555"/>
    <tableColumn id="62" name="Column62" dataDxfId="556"/>
    <tableColumn id="63" name="Column63" dataDxfId="557"/>
    <tableColumn id="64" name="Column64" dataDxfId="558"/>
    <tableColumn id="65" name="Column65" dataDxfId="559"/>
    <tableColumn id="66" name="Column66" dataDxfId="560"/>
    <tableColumn id="67" name="Column67" dataDxfId="561"/>
    <tableColumn id="68" name="Column68" dataDxfId="562"/>
  </tableColumns>
  <tableStyleInfo name="Feb-2025-Roster-style 2" showFirstColumn="1" showLastColumn="1" showRowStripes="1" showColumnStripes="0"/>
</table>
</file>

<file path=xl/tables/table9.xml><?xml version="1.0" encoding="utf-8"?>
<table xmlns="http://schemas.openxmlformats.org/spreadsheetml/2006/main" id="66" name="Table_66" displayName="Table_66" ref="A5:BQ40" headerRowCount="0">
  <tableColumns count="69">
    <tableColumn id="1" name="Column1" dataDxfId="563"/>
    <tableColumn id="2" name="Column2" dataDxfId="564"/>
    <tableColumn id="3" name="Column3" dataDxfId="565"/>
    <tableColumn id="4" name="Column4" dataDxfId="566"/>
    <tableColumn id="5" name="Column5" dataDxfId="567"/>
    <tableColumn id="6" name="Column6" dataDxfId="568"/>
    <tableColumn id="7" name="Column7" dataDxfId="569"/>
    <tableColumn id="8" name="Column8" dataDxfId="570"/>
    <tableColumn id="9" name="Column9" dataDxfId="571"/>
    <tableColumn id="10" name="Column10" dataDxfId="572"/>
    <tableColumn id="11" name="Column11" dataDxfId="573"/>
    <tableColumn id="12" name="Column12" dataDxfId="574"/>
    <tableColumn id="13" name="Column13" dataDxfId="575"/>
    <tableColumn id="14" name="Column14" dataDxfId="576"/>
    <tableColumn id="15" name="Column15" dataDxfId="577"/>
    <tableColumn id="16" name="Column16" dataDxfId="578"/>
    <tableColumn id="17" name="Column17" dataDxfId="579"/>
    <tableColumn id="18" name="Column18" dataDxfId="580"/>
    <tableColumn id="19" name="Column19" dataDxfId="581"/>
    <tableColumn id="20" name="Column20" dataDxfId="582"/>
    <tableColumn id="21" name="Column21" dataDxfId="583"/>
    <tableColumn id="22" name="Column22" dataDxfId="584"/>
    <tableColumn id="23" name="Column23" dataDxfId="585"/>
    <tableColumn id="24" name="Column24" dataDxfId="586"/>
    <tableColumn id="25" name="Column25" dataDxfId="587"/>
    <tableColumn id="26" name="Column26" dataDxfId="588"/>
    <tableColumn id="27" name="Column27" dataDxfId="589"/>
    <tableColumn id="28" name="Column28" dataDxfId="590"/>
    <tableColumn id="29" name="Column29" dataDxfId="591"/>
    <tableColumn id="30" name="Column30" dataDxfId="592"/>
    <tableColumn id="31" name="Column31" dataDxfId="593"/>
    <tableColumn id="32" name="Column32" dataDxfId="594"/>
    <tableColumn id="33" name="Column33" dataDxfId="595"/>
    <tableColumn id="34" name="Column34" dataDxfId="596"/>
    <tableColumn id="35" name="Column35" dataDxfId="597"/>
    <tableColumn id="36" name="Column36" dataDxfId="598"/>
    <tableColumn id="37" name="Column37" dataDxfId="599"/>
    <tableColumn id="38" name="Column38" dataDxfId="600"/>
    <tableColumn id="39" name="Column39" dataDxfId="601"/>
    <tableColumn id="40" name="Column40" dataDxfId="602"/>
    <tableColumn id="41" name="Column41" dataDxfId="603"/>
    <tableColumn id="42" name="Column42" dataDxfId="604"/>
    <tableColumn id="43" name="Column43" dataDxfId="605"/>
    <tableColumn id="44" name="Column44" dataDxfId="606"/>
    <tableColumn id="45" name="Column45" dataDxfId="607"/>
    <tableColumn id="46" name="Column46" dataDxfId="608"/>
    <tableColumn id="47" name="Column47" dataDxfId="609"/>
    <tableColumn id="48" name="Column48" dataDxfId="610"/>
    <tableColumn id="49" name="Column49" dataDxfId="611"/>
    <tableColumn id="50" name="Column50" dataDxfId="612"/>
    <tableColumn id="51" name="Column51" dataDxfId="613"/>
    <tableColumn id="52" name="Column52" dataDxfId="614"/>
    <tableColumn id="53" name="Column53" dataDxfId="615"/>
    <tableColumn id="54" name="Column54" dataDxfId="616"/>
    <tableColumn id="55" name="Column55" dataDxfId="617"/>
    <tableColumn id="56" name="Column56" dataDxfId="618"/>
    <tableColumn id="57" name="Column57" dataDxfId="619"/>
    <tableColumn id="58" name="Column58" dataDxfId="620"/>
    <tableColumn id="59" name="Column59" dataDxfId="621"/>
    <tableColumn id="60" name="Column60" dataDxfId="622"/>
    <tableColumn id="61" name="Column61" dataDxfId="623"/>
    <tableColumn id="62" name="Column62" dataDxfId="624"/>
    <tableColumn id="63" name="Column63" dataDxfId="625"/>
    <tableColumn id="64" name="Column64" dataDxfId="626"/>
    <tableColumn id="65" name="Column65" dataDxfId="627"/>
    <tableColumn id="66" name="Column66" dataDxfId="628"/>
    <tableColumn id="67" name="Column67" dataDxfId="629"/>
    <tableColumn id="68" name="Column68" dataDxfId="630"/>
    <tableColumn id="69" name="Column69" dataDxfId="631"/>
  </tableColumns>
  <tableStyleInfo name="Mar-2025-Roster-style" showFirstColumn="1" showLastColumn="1" showRowStripes="1" showColumnStripes="0"/>
</table>
</file>

<file path=xl/tables/table10.xml><?xml version="1.0" encoding="utf-8"?>
<table xmlns="http://schemas.openxmlformats.org/spreadsheetml/2006/main" id="67" name="Table_67" displayName="Table_67" ref="B41:BQ47" headerRowCount="0">
  <tableColumns count="68">
    <tableColumn id="1" name="Column1" dataDxfId="632"/>
    <tableColumn id="2" name="Column2" dataDxfId="633"/>
    <tableColumn id="3" name="Column3" dataDxfId="634"/>
    <tableColumn id="4" name="Column4" dataDxfId="635"/>
    <tableColumn id="5" name="Column5" dataDxfId="636"/>
    <tableColumn id="6" name="Column6" dataDxfId="637"/>
    <tableColumn id="7" name="Column7" dataDxfId="638"/>
    <tableColumn id="8" name="Column8" dataDxfId="639"/>
    <tableColumn id="9" name="Column9" dataDxfId="640"/>
    <tableColumn id="10" name="Column10" dataDxfId="641"/>
    <tableColumn id="11" name="Column11" dataDxfId="642"/>
    <tableColumn id="12" name="Column12" dataDxfId="643"/>
    <tableColumn id="13" name="Column13" dataDxfId="644"/>
    <tableColumn id="14" name="Column14" dataDxfId="645"/>
    <tableColumn id="15" name="Column15" dataDxfId="646"/>
    <tableColumn id="16" name="Column16" dataDxfId="647"/>
    <tableColumn id="17" name="Column17" dataDxfId="648"/>
    <tableColumn id="18" name="Column18" dataDxfId="649"/>
    <tableColumn id="19" name="Column19" dataDxfId="650"/>
    <tableColumn id="20" name="Column20" dataDxfId="651"/>
    <tableColumn id="21" name="Column21" dataDxfId="652"/>
    <tableColumn id="22" name="Column22" dataDxfId="653"/>
    <tableColumn id="23" name="Column23" dataDxfId="654"/>
    <tableColumn id="24" name="Column24" dataDxfId="655"/>
    <tableColumn id="25" name="Column25" dataDxfId="656"/>
    <tableColumn id="26" name="Column26" dataDxfId="657"/>
    <tableColumn id="27" name="Column27" dataDxfId="658"/>
    <tableColumn id="28" name="Column28" dataDxfId="659"/>
    <tableColumn id="29" name="Column29" dataDxfId="660"/>
    <tableColumn id="30" name="Column30" dataDxfId="661"/>
    <tableColumn id="31" name="Column31" dataDxfId="662"/>
    <tableColumn id="32" name="Column32" dataDxfId="663"/>
    <tableColumn id="33" name="Column33" dataDxfId="664"/>
    <tableColumn id="34" name="Column34" dataDxfId="665"/>
    <tableColumn id="35" name="Column35" dataDxfId="666"/>
    <tableColumn id="36" name="Column36" dataDxfId="667"/>
    <tableColumn id="37" name="Column37" dataDxfId="668"/>
    <tableColumn id="38" name="Column38" dataDxfId="669"/>
    <tableColumn id="39" name="Column39" dataDxfId="670"/>
    <tableColumn id="40" name="Column40" dataDxfId="671"/>
    <tableColumn id="41" name="Column41" dataDxfId="672"/>
    <tableColumn id="42" name="Column42" dataDxfId="673"/>
    <tableColumn id="43" name="Column43" dataDxfId="674"/>
    <tableColumn id="44" name="Column44" dataDxfId="675"/>
    <tableColumn id="45" name="Column45" dataDxfId="676"/>
    <tableColumn id="46" name="Column46" dataDxfId="677"/>
    <tableColumn id="47" name="Column47" dataDxfId="678"/>
    <tableColumn id="48" name="Column48" dataDxfId="679"/>
    <tableColumn id="49" name="Column49" dataDxfId="680"/>
    <tableColumn id="50" name="Column50" dataDxfId="681"/>
    <tableColumn id="51" name="Column51" dataDxfId="682"/>
    <tableColumn id="52" name="Column52" dataDxfId="683"/>
    <tableColumn id="53" name="Column53" dataDxfId="684"/>
    <tableColumn id="54" name="Column54" dataDxfId="685"/>
    <tableColumn id="55" name="Column55" dataDxfId="686"/>
    <tableColumn id="56" name="Column56" dataDxfId="687"/>
    <tableColumn id="57" name="Column57" dataDxfId="688"/>
    <tableColumn id="58" name="Column58" dataDxfId="689"/>
    <tableColumn id="59" name="Column59" dataDxfId="690"/>
    <tableColumn id="60" name="Column60" dataDxfId="691"/>
    <tableColumn id="61" name="Column61" dataDxfId="692"/>
    <tableColumn id="62" name="Column62" dataDxfId="693"/>
    <tableColumn id="63" name="Column63" dataDxfId="694"/>
    <tableColumn id="64" name="Column64" dataDxfId="695"/>
    <tableColumn id="65" name="Column65" dataDxfId="696"/>
    <tableColumn id="66" name="Column66" dataDxfId="697"/>
    <tableColumn id="67" name="Column67" dataDxfId="698"/>
    <tableColumn id="68" name="Column68" dataDxfId="699"/>
  </tableColumns>
  <tableStyleInfo name="Mar-2025-Roster-style 2" showFirstColumn="1" showLastColumn="1" showRowStripes="1" showColumnStripes="0"/>
</table>
</file>

<file path=xl/tables/table11.xml><?xml version="1.0" encoding="utf-8"?>
<table xmlns="http://schemas.openxmlformats.org/spreadsheetml/2006/main" id="70" name="Table_70" displayName="Table_70" ref="A5:BQ41" headerRowCount="0">
  <tableColumns count="69">
    <tableColumn id="1" name="Column1" dataDxfId="700"/>
    <tableColumn id="2" name="Column2" dataDxfId="701"/>
    <tableColumn id="3" name="Column3" dataDxfId="702"/>
    <tableColumn id="4" name="Column4" dataDxfId="703"/>
    <tableColumn id="5" name="Column5" dataDxfId="704"/>
    <tableColumn id="6" name="Column6" dataDxfId="705"/>
    <tableColumn id="7" name="Column7" dataDxfId="706"/>
    <tableColumn id="8" name="Column8" dataDxfId="707"/>
    <tableColumn id="9" name="Column9" dataDxfId="708"/>
    <tableColumn id="10" name="Column10" dataDxfId="709"/>
    <tableColumn id="11" name="Column11" dataDxfId="710"/>
    <tableColumn id="12" name="Column12" dataDxfId="711"/>
    <tableColumn id="13" name="Column13" dataDxfId="712"/>
    <tableColumn id="14" name="Column14" dataDxfId="713"/>
    <tableColumn id="15" name="Column15" dataDxfId="714"/>
    <tableColumn id="16" name="Column16" dataDxfId="715"/>
    <tableColumn id="17" name="Column17" dataDxfId="716"/>
    <tableColumn id="18" name="Column18" dataDxfId="717"/>
    <tableColumn id="19" name="Column19" dataDxfId="718"/>
    <tableColumn id="20" name="Column20" dataDxfId="719"/>
    <tableColumn id="21" name="Column21" dataDxfId="720"/>
    <tableColumn id="22" name="Column22" dataDxfId="721"/>
    <tableColumn id="23" name="Column23" dataDxfId="722"/>
    <tableColumn id="24" name="Column24" dataDxfId="723"/>
    <tableColumn id="25" name="Column25" dataDxfId="724"/>
    <tableColumn id="26" name="Column26" dataDxfId="725"/>
    <tableColumn id="27" name="Column27" dataDxfId="726"/>
    <tableColumn id="28" name="Column28" dataDxfId="727"/>
    <tableColumn id="29" name="Column29" dataDxfId="728"/>
    <tableColumn id="30" name="Column30" dataDxfId="729"/>
    <tableColumn id="31" name="Column31" dataDxfId="730"/>
    <tableColumn id="32" name="Column32" dataDxfId="731"/>
    <tableColumn id="33" name="Column33" dataDxfId="732"/>
    <tableColumn id="34" name="Column34" dataDxfId="733"/>
    <tableColumn id="35" name="Column35" dataDxfId="734"/>
    <tableColumn id="36" name="Column36" dataDxfId="735"/>
    <tableColumn id="37" name="Column37" dataDxfId="736"/>
    <tableColumn id="38" name="Column38" dataDxfId="737"/>
    <tableColumn id="39" name="Column39" dataDxfId="738"/>
    <tableColumn id="40" name="Column40" dataDxfId="739"/>
    <tableColumn id="41" name="Column41" dataDxfId="740"/>
    <tableColumn id="42" name="Column42" dataDxfId="741"/>
    <tableColumn id="43" name="Column43" dataDxfId="742"/>
    <tableColumn id="44" name="Column44" dataDxfId="743"/>
    <tableColumn id="45" name="Column45" dataDxfId="744"/>
    <tableColumn id="46" name="Column46" dataDxfId="745"/>
    <tableColumn id="47" name="Column47" dataDxfId="746"/>
    <tableColumn id="48" name="Column48" dataDxfId="747"/>
    <tableColumn id="49" name="Column49" dataDxfId="748"/>
    <tableColumn id="50" name="Column50" dataDxfId="749"/>
    <tableColumn id="51" name="Column51" dataDxfId="750"/>
    <tableColumn id="52" name="Column52" dataDxfId="751"/>
    <tableColumn id="53" name="Column53" dataDxfId="752"/>
    <tableColumn id="54" name="Column54" dataDxfId="753"/>
    <tableColumn id="55" name="Column55" dataDxfId="754"/>
    <tableColumn id="56" name="Column56" dataDxfId="755"/>
    <tableColumn id="57" name="Column57" dataDxfId="756"/>
    <tableColumn id="58" name="Column58" dataDxfId="757"/>
    <tableColumn id="59" name="Column59" dataDxfId="758"/>
    <tableColumn id="60" name="Column60" dataDxfId="759"/>
    <tableColumn id="61" name="Column61" dataDxfId="760"/>
    <tableColumn id="62" name="Column62" dataDxfId="761"/>
    <tableColumn id="63" name="Column63" dataDxfId="762"/>
    <tableColumn id="64" name="Column64" dataDxfId="763"/>
    <tableColumn id="65" name="Column65" dataDxfId="764"/>
    <tableColumn id="66" name="Column66" dataDxfId="765"/>
    <tableColumn id="67" name="Column67" dataDxfId="766"/>
    <tableColumn id="68" name="Column68" dataDxfId="767"/>
    <tableColumn id="69" name="Column69" dataDxfId="768"/>
  </tableColumns>
  <tableStyleInfo name="Apr-2025-Roster-style" showFirstColumn="1" showLastColumn="1" showRowStripes="1" showColumnStripes="0"/>
</table>
</file>

<file path=xl/tables/table12.xml><?xml version="1.0" encoding="utf-8"?>
<table xmlns="http://schemas.openxmlformats.org/spreadsheetml/2006/main" id="71" name="Table_71" displayName="Table_71" ref="B42:BQ48" headerRowCount="0">
  <tableColumns count="68">
    <tableColumn id="1" name="Column1" dataDxfId="769"/>
    <tableColumn id="2" name="Column2" dataDxfId="770"/>
    <tableColumn id="3" name="Column3" dataDxfId="771"/>
    <tableColumn id="4" name="Column4" dataDxfId="772"/>
    <tableColumn id="5" name="Column5" dataDxfId="773"/>
    <tableColumn id="6" name="Column6" dataDxfId="774"/>
    <tableColumn id="7" name="Column7" dataDxfId="775"/>
    <tableColumn id="8" name="Column8" dataDxfId="776"/>
    <tableColumn id="9" name="Column9" dataDxfId="777"/>
    <tableColumn id="10" name="Column10" dataDxfId="778"/>
    <tableColumn id="11" name="Column11" dataDxfId="779"/>
    <tableColumn id="12" name="Column12" dataDxfId="780"/>
    <tableColumn id="13" name="Column13" dataDxfId="781"/>
    <tableColumn id="14" name="Column14" dataDxfId="782"/>
    <tableColumn id="15" name="Column15" dataDxfId="783"/>
    <tableColumn id="16" name="Column16" dataDxfId="784"/>
    <tableColumn id="17" name="Column17" dataDxfId="785"/>
    <tableColumn id="18" name="Column18" dataDxfId="786"/>
    <tableColumn id="19" name="Column19" dataDxfId="787"/>
    <tableColumn id="20" name="Column20" dataDxfId="788"/>
    <tableColumn id="21" name="Column21" dataDxfId="789"/>
    <tableColumn id="22" name="Column22" dataDxfId="790"/>
    <tableColumn id="23" name="Column23" dataDxfId="791"/>
    <tableColumn id="24" name="Column24" dataDxfId="792"/>
    <tableColumn id="25" name="Column25" dataDxfId="793"/>
    <tableColumn id="26" name="Column26" dataDxfId="794"/>
    <tableColumn id="27" name="Column27" dataDxfId="795"/>
    <tableColumn id="28" name="Column28" dataDxfId="796"/>
    <tableColumn id="29" name="Column29" dataDxfId="797"/>
    <tableColumn id="30" name="Column30" dataDxfId="798"/>
    <tableColumn id="31" name="Column31" dataDxfId="799"/>
    <tableColumn id="32" name="Column32" dataDxfId="800"/>
    <tableColumn id="33" name="Column33" dataDxfId="801"/>
    <tableColumn id="34" name="Column34" dataDxfId="802"/>
    <tableColumn id="35" name="Column35" dataDxfId="803"/>
    <tableColumn id="36" name="Column36" dataDxfId="804"/>
    <tableColumn id="37" name="Column37" dataDxfId="805"/>
    <tableColumn id="38" name="Column38" dataDxfId="806"/>
    <tableColumn id="39" name="Column39" dataDxfId="807"/>
    <tableColumn id="40" name="Column40" dataDxfId="808"/>
    <tableColumn id="41" name="Column41" dataDxfId="809"/>
    <tableColumn id="42" name="Column42" dataDxfId="810"/>
    <tableColumn id="43" name="Column43" dataDxfId="811"/>
    <tableColumn id="44" name="Column44" dataDxfId="812"/>
    <tableColumn id="45" name="Column45" dataDxfId="813"/>
    <tableColumn id="46" name="Column46" dataDxfId="814"/>
    <tableColumn id="47" name="Column47" dataDxfId="815"/>
    <tableColumn id="48" name="Column48" dataDxfId="816"/>
    <tableColumn id="49" name="Column49" dataDxfId="817"/>
    <tableColumn id="50" name="Column50" dataDxfId="818"/>
    <tableColumn id="51" name="Column51" dataDxfId="819"/>
    <tableColumn id="52" name="Column52" dataDxfId="820"/>
    <tableColumn id="53" name="Column53" dataDxfId="821"/>
    <tableColumn id="54" name="Column54" dataDxfId="822"/>
    <tableColumn id="55" name="Column55" dataDxfId="823"/>
    <tableColumn id="56" name="Column56" dataDxfId="824"/>
    <tableColumn id="57" name="Column57" dataDxfId="825"/>
    <tableColumn id="58" name="Column58" dataDxfId="826"/>
    <tableColumn id="59" name="Column59" dataDxfId="827"/>
    <tableColumn id="60" name="Column60" dataDxfId="828"/>
    <tableColumn id="61" name="Column61" dataDxfId="829"/>
    <tableColumn id="62" name="Column62" dataDxfId="830"/>
    <tableColumn id="63" name="Column63" dataDxfId="831"/>
    <tableColumn id="64" name="Column64" dataDxfId="832"/>
    <tableColumn id="65" name="Column65" dataDxfId="833"/>
    <tableColumn id="66" name="Column66" dataDxfId="834"/>
    <tableColumn id="67" name="Column67" dataDxfId="835"/>
    <tableColumn id="68" name="Column68" dataDxfId="836"/>
  </tableColumns>
  <tableStyleInfo name="Apr-2025-Roster-style 2" showFirstColumn="1" showLastColumn="1" showRowStripes="1" showColumnStripes="0"/>
</table>
</file>

<file path=xl/tables/table13.xml><?xml version="1.0" encoding="utf-8"?>
<table xmlns="http://schemas.openxmlformats.org/spreadsheetml/2006/main" id="72" name="Table_72" displayName="Table_72" ref="A5:BQ41" headerRowCount="0">
  <tableColumns count="69">
    <tableColumn id="1" name="Column1" dataDxfId="838"/>
    <tableColumn id="2" name="Column2" dataDxfId="839"/>
    <tableColumn id="3" name="Column3" dataDxfId="840"/>
    <tableColumn id="4" name="Column4" dataDxfId="841"/>
    <tableColumn id="5" name="Column5" dataDxfId="842"/>
    <tableColumn id="6" name="Column6" dataDxfId="843"/>
    <tableColumn id="7" name="Column7" dataDxfId="844"/>
    <tableColumn id="8" name="Column8" dataDxfId="845"/>
    <tableColumn id="9" name="Column9" dataDxfId="846"/>
    <tableColumn id="10" name="Column10" dataDxfId="847"/>
    <tableColumn id="11" name="Column11" dataDxfId="848"/>
    <tableColumn id="12" name="Column12" dataDxfId="849"/>
    <tableColumn id="13" name="Column13" dataDxfId="850"/>
    <tableColumn id="14" name="Column14" dataDxfId="851"/>
    <tableColumn id="15" name="Column15" dataDxfId="852"/>
    <tableColumn id="16" name="Column16" dataDxfId="853"/>
    <tableColumn id="17" name="Column17" dataDxfId="854"/>
    <tableColumn id="18" name="Column18" dataDxfId="855"/>
    <tableColumn id="19" name="Column19" dataDxfId="856"/>
    <tableColumn id="20" name="Column20" dataDxfId="857"/>
    <tableColumn id="21" name="Column21" dataDxfId="858"/>
    <tableColumn id="22" name="Column22" dataDxfId="859"/>
    <tableColumn id="23" name="Column23" dataDxfId="860"/>
    <tableColumn id="24" name="Column24" dataDxfId="861"/>
    <tableColumn id="25" name="Column25" dataDxfId="862"/>
    <tableColumn id="26" name="Column26" dataDxfId="863"/>
    <tableColumn id="27" name="Column27" dataDxfId="864"/>
    <tableColumn id="28" name="Column28" dataDxfId="865"/>
    <tableColumn id="29" name="Column29" dataDxfId="866"/>
    <tableColumn id="30" name="Column30" dataDxfId="867"/>
    <tableColumn id="31" name="Column31" dataDxfId="868"/>
    <tableColumn id="32" name="Column32" dataDxfId="869"/>
    <tableColumn id="33" name="Column33" dataDxfId="870"/>
    <tableColumn id="34" name="Column34" dataDxfId="871"/>
    <tableColumn id="35" name="Column35" dataDxfId="872"/>
    <tableColumn id="36" name="Column36" dataDxfId="873"/>
    <tableColumn id="37" name="Column37" dataDxfId="874"/>
    <tableColumn id="38" name="Column38" dataDxfId="875"/>
    <tableColumn id="39" name="Column39" dataDxfId="876"/>
    <tableColumn id="40" name="Column40" dataDxfId="877"/>
    <tableColumn id="41" name="Column41" dataDxfId="878"/>
    <tableColumn id="42" name="Column42" dataDxfId="879"/>
    <tableColumn id="43" name="Column43" dataDxfId="880"/>
    <tableColumn id="44" name="Column44" dataDxfId="881"/>
    <tableColumn id="45" name="Column45" dataDxfId="882"/>
    <tableColumn id="46" name="Column46" dataDxfId="883"/>
    <tableColumn id="47" name="Column47" dataDxfId="884"/>
    <tableColumn id="48" name="Column48" dataDxfId="885"/>
    <tableColumn id="49" name="Column49" dataDxfId="886"/>
    <tableColumn id="50" name="Column50" dataDxfId="887"/>
    <tableColumn id="51" name="Column51" dataDxfId="888"/>
    <tableColumn id="52" name="Column52" dataDxfId="889"/>
    <tableColumn id="53" name="Column53" dataDxfId="890"/>
    <tableColumn id="54" name="Column54" dataDxfId="891"/>
    <tableColumn id="55" name="Column55" dataDxfId="892"/>
    <tableColumn id="56" name="Column56" dataDxfId="893"/>
    <tableColumn id="57" name="Column57" dataDxfId="894"/>
    <tableColumn id="58" name="Column58" dataDxfId="895"/>
    <tableColumn id="59" name="Column59" dataDxfId="896"/>
    <tableColumn id="60" name="Column60" dataDxfId="897"/>
    <tableColumn id="61" name="Column61" dataDxfId="898"/>
    <tableColumn id="62" name="Column62" dataDxfId="899"/>
    <tableColumn id="63" name="Column63" dataDxfId="900"/>
    <tableColumn id="64" name="Column64" dataDxfId="901"/>
    <tableColumn id="65" name="Column65" dataDxfId="902"/>
    <tableColumn id="66" name="Column66" dataDxfId="903"/>
    <tableColumn id="67" name="Column67" dataDxfId="904"/>
    <tableColumn id="68" name="Column68" dataDxfId="905"/>
    <tableColumn id="69" name="Column69" dataDxfId="906"/>
  </tableColumns>
  <tableStyleInfo name="May-2025-Roster-style" showFirstColumn="1" showLastColumn="1" showRowStripes="1" showColumnStripes="0"/>
</table>
</file>

<file path=xl/tables/table14.xml><?xml version="1.0" encoding="utf-8"?>
<table xmlns="http://schemas.openxmlformats.org/spreadsheetml/2006/main" id="73" name="Table_73" displayName="Table_73" ref="B42:BQ48" headerRowCount="0">
  <tableColumns count="68">
    <tableColumn id="1" name="Column1" dataDxfId="907"/>
    <tableColumn id="2" name="Column2" dataDxfId="908"/>
    <tableColumn id="3" name="Column3" dataDxfId="909"/>
    <tableColumn id="4" name="Column4" dataDxfId="910"/>
    <tableColumn id="5" name="Column5" dataDxfId="911"/>
    <tableColumn id="6" name="Column6" dataDxfId="912"/>
    <tableColumn id="7" name="Column7" dataDxfId="913"/>
    <tableColumn id="8" name="Column8" dataDxfId="914"/>
    <tableColumn id="9" name="Column9" dataDxfId="915"/>
    <tableColumn id="10" name="Column10" dataDxfId="916"/>
    <tableColumn id="11" name="Column11" dataDxfId="917"/>
    <tableColumn id="12" name="Column12" dataDxfId="918"/>
    <tableColumn id="13" name="Column13" dataDxfId="919"/>
    <tableColumn id="14" name="Column14" dataDxfId="920"/>
    <tableColumn id="15" name="Column15" dataDxfId="921"/>
    <tableColumn id="16" name="Column16" dataDxfId="922"/>
    <tableColumn id="17" name="Column17" dataDxfId="923"/>
    <tableColumn id="18" name="Column18" dataDxfId="924"/>
    <tableColumn id="19" name="Column19" dataDxfId="925"/>
    <tableColumn id="20" name="Column20" dataDxfId="926"/>
    <tableColumn id="21" name="Column21" dataDxfId="927"/>
    <tableColumn id="22" name="Column22" dataDxfId="928"/>
    <tableColumn id="23" name="Column23" dataDxfId="929"/>
    <tableColumn id="24" name="Column24" dataDxfId="930"/>
    <tableColumn id="25" name="Column25" dataDxfId="931"/>
    <tableColumn id="26" name="Column26" dataDxfId="932"/>
    <tableColumn id="27" name="Column27" dataDxfId="933"/>
    <tableColumn id="28" name="Column28" dataDxfId="934"/>
    <tableColumn id="29" name="Column29" dataDxfId="935"/>
    <tableColumn id="30" name="Column30" dataDxfId="936"/>
    <tableColumn id="31" name="Column31" dataDxfId="937"/>
    <tableColumn id="32" name="Column32" dataDxfId="938"/>
    <tableColumn id="33" name="Column33" dataDxfId="939"/>
    <tableColumn id="34" name="Column34" dataDxfId="940"/>
    <tableColumn id="35" name="Column35" dataDxfId="941"/>
    <tableColumn id="36" name="Column36" dataDxfId="942"/>
    <tableColumn id="37" name="Column37" dataDxfId="943"/>
    <tableColumn id="38" name="Column38" dataDxfId="944"/>
    <tableColumn id="39" name="Column39" dataDxfId="945"/>
    <tableColumn id="40" name="Column40" dataDxfId="946"/>
    <tableColumn id="41" name="Column41" dataDxfId="947"/>
    <tableColumn id="42" name="Column42" dataDxfId="948"/>
    <tableColumn id="43" name="Column43" dataDxfId="949"/>
    <tableColumn id="44" name="Column44" dataDxfId="950"/>
    <tableColumn id="45" name="Column45" dataDxfId="951"/>
    <tableColumn id="46" name="Column46" dataDxfId="952"/>
    <tableColumn id="47" name="Column47" dataDxfId="953"/>
    <tableColumn id="48" name="Column48" dataDxfId="954"/>
    <tableColumn id="49" name="Column49" dataDxfId="955"/>
    <tableColumn id="50" name="Column50" dataDxfId="956"/>
    <tableColumn id="51" name="Column51" dataDxfId="957"/>
    <tableColumn id="52" name="Column52" dataDxfId="958"/>
    <tableColumn id="53" name="Column53" dataDxfId="959"/>
    <tableColumn id="54" name="Column54" dataDxfId="960"/>
    <tableColumn id="55" name="Column55" dataDxfId="961"/>
    <tableColumn id="56" name="Column56" dataDxfId="962"/>
    <tableColumn id="57" name="Column57" dataDxfId="963"/>
    <tableColumn id="58" name="Column58" dataDxfId="964"/>
    <tableColumn id="59" name="Column59" dataDxfId="965"/>
    <tableColumn id="60" name="Column60" dataDxfId="966"/>
    <tableColumn id="61" name="Column61" dataDxfId="967"/>
    <tableColumn id="62" name="Column62" dataDxfId="968"/>
    <tableColumn id="63" name="Column63" dataDxfId="969"/>
    <tableColumn id="64" name="Column64" dataDxfId="970"/>
    <tableColumn id="65" name="Column65" dataDxfId="971"/>
    <tableColumn id="66" name="Column66" dataDxfId="972"/>
    <tableColumn id="67" name="Column67" dataDxfId="973"/>
    <tableColumn id="68" name="Column68" dataDxfId="974"/>
  </tableColumns>
  <tableStyleInfo name="May-2025-Roster-style 2" showFirstColumn="1" showLastColumn="1" showRowStripes="1" showColumnStripes="0"/>
</table>
</file>

<file path=xl/tables/table15.xml><?xml version="1.0" encoding="utf-8"?>
<table xmlns="http://schemas.openxmlformats.org/spreadsheetml/2006/main" id="74" name="Table_74" displayName="Table_74" ref="A5:BQ37" headerRowCount="0">
  <tableColumns count="69">
    <tableColumn id="1" name="Column1" dataDxfId="975"/>
    <tableColumn id="2" name="Column2" dataDxfId="976"/>
    <tableColumn id="3" name="Column3" dataDxfId="977"/>
    <tableColumn id="4" name="Column4" dataDxfId="978"/>
    <tableColumn id="5" name="Column5" dataDxfId="979"/>
    <tableColumn id="6" name="Column6" dataDxfId="980"/>
    <tableColumn id="7" name="Column7" dataDxfId="981"/>
    <tableColumn id="8" name="Column8" dataDxfId="982"/>
    <tableColumn id="9" name="Column9" dataDxfId="983"/>
    <tableColumn id="10" name="Column10" dataDxfId="984"/>
    <tableColumn id="11" name="Column11" dataDxfId="985"/>
    <tableColumn id="12" name="Column12" dataDxfId="986"/>
    <tableColumn id="13" name="Column13" dataDxfId="987"/>
    <tableColumn id="14" name="Column14" dataDxfId="988"/>
    <tableColumn id="15" name="Column15" dataDxfId="989"/>
    <tableColumn id="16" name="Column16" dataDxfId="990"/>
    <tableColumn id="17" name="Column17" dataDxfId="991"/>
    <tableColumn id="18" name="Column18" dataDxfId="992"/>
    <tableColumn id="19" name="Column19" dataDxfId="993"/>
    <tableColumn id="20" name="Column20" dataDxfId="994"/>
    <tableColumn id="21" name="Column21" dataDxfId="995"/>
    <tableColumn id="22" name="Column22" dataDxfId="996"/>
    <tableColumn id="23" name="Column23" dataDxfId="997"/>
    <tableColumn id="24" name="Column24" dataDxfId="998"/>
    <tableColumn id="25" name="Column25" dataDxfId="999"/>
    <tableColumn id="26" name="Column26" dataDxfId="1000"/>
    <tableColumn id="27" name="Column27" dataDxfId="1001"/>
    <tableColumn id="28" name="Column28" dataDxfId="1002"/>
    <tableColumn id="29" name="Column29" dataDxfId="1003"/>
    <tableColumn id="30" name="Column30" dataDxfId="1004"/>
    <tableColumn id="31" name="Column31" dataDxfId="1005"/>
    <tableColumn id="32" name="Column32" dataDxfId="1006"/>
    <tableColumn id="33" name="Column33" dataDxfId="1007"/>
    <tableColumn id="34" name="Column34" dataDxfId="1008"/>
    <tableColumn id="35" name="Column35" dataDxfId="1009"/>
    <tableColumn id="36" name="Column36" dataDxfId="1010"/>
    <tableColumn id="37" name="Column37" dataDxfId="1011"/>
    <tableColumn id="38" name="Column38" dataDxfId="1012"/>
    <tableColumn id="39" name="Column39" dataDxfId="1013"/>
    <tableColumn id="40" name="Column40" dataDxfId="1014"/>
    <tableColumn id="41" name="Column41" dataDxfId="1015"/>
    <tableColumn id="42" name="Column42" dataDxfId="1016"/>
    <tableColumn id="43" name="Column43" dataDxfId="1017"/>
    <tableColumn id="44" name="Column44" dataDxfId="1018"/>
    <tableColumn id="45" name="Column45" dataDxfId="1019"/>
    <tableColumn id="46" name="Column46" dataDxfId="1020"/>
    <tableColumn id="47" name="Column47" dataDxfId="1021"/>
    <tableColumn id="48" name="Column48" dataDxfId="1022"/>
    <tableColumn id="49" name="Column49" dataDxfId="1023"/>
    <tableColumn id="50" name="Column50" dataDxfId="1024"/>
    <tableColumn id="51" name="Column51" dataDxfId="1025"/>
    <tableColumn id="52" name="Column52" dataDxfId="1026"/>
    <tableColumn id="53" name="Column53" dataDxfId="1027"/>
    <tableColumn id="54" name="Column54" dataDxfId="1028"/>
    <tableColumn id="55" name="Column55" dataDxfId="1029"/>
    <tableColumn id="56" name="Column56" dataDxfId="1030"/>
    <tableColumn id="57" name="Column57" dataDxfId="1031"/>
    <tableColumn id="58" name="Column58" dataDxfId="1032"/>
    <tableColumn id="59" name="Column59" dataDxfId="1033"/>
    <tableColumn id="60" name="Column60" dataDxfId="1034"/>
    <tableColumn id="61" name="Column61" dataDxfId="1035"/>
    <tableColumn id="62" name="Column62" dataDxfId="1036"/>
    <tableColumn id="63" name="Column63" dataDxfId="1037"/>
    <tableColumn id="64" name="Column64" dataDxfId="1038"/>
    <tableColumn id="65" name="Column65" dataDxfId="1039"/>
    <tableColumn id="66" name="Column66" dataDxfId="1040"/>
    <tableColumn id="67" name="Column67" dataDxfId="1041"/>
    <tableColumn id="68" name="Column68" dataDxfId="1042"/>
    <tableColumn id="69" name="Column69" dataDxfId="1043"/>
  </tableColumns>
  <tableStyleInfo name="Jun-2025-Roster-style" showFirstColumn="1" showLastColumn="1" showRowStripes="1" showColumnStripes="0"/>
</table>
</file>

<file path=xl/tables/table16.xml><?xml version="1.0" encoding="utf-8"?>
<table xmlns="http://schemas.openxmlformats.org/spreadsheetml/2006/main" id="75" name="Table_75" displayName="Table_75" ref="B38:BQ44" headerRowCount="0">
  <tableColumns count="68">
    <tableColumn id="1" name="Column1" dataDxfId="1044"/>
    <tableColumn id="2" name="Column2" dataDxfId="1045"/>
    <tableColumn id="3" name="Column3" dataDxfId="1046"/>
    <tableColumn id="4" name="Column4" dataDxfId="1047"/>
    <tableColumn id="5" name="Column5" dataDxfId="1048"/>
    <tableColumn id="6" name="Column6" dataDxfId="1049"/>
    <tableColumn id="7" name="Column7" dataDxfId="1050"/>
    <tableColumn id="8" name="Column8" dataDxfId="1051"/>
    <tableColumn id="9" name="Column9" dataDxfId="1052"/>
    <tableColumn id="10" name="Column10" dataDxfId="1053"/>
    <tableColumn id="11" name="Column11" dataDxfId="1054"/>
    <tableColumn id="12" name="Column12" dataDxfId="1055"/>
    <tableColumn id="13" name="Column13" dataDxfId="1056"/>
    <tableColumn id="14" name="Column14" dataDxfId="1057"/>
    <tableColumn id="15" name="Column15" dataDxfId="1058"/>
    <tableColumn id="16" name="Column16" dataDxfId="1059"/>
    <tableColumn id="17" name="Column17" dataDxfId="1060"/>
    <tableColumn id="18" name="Column18" dataDxfId="1061"/>
    <tableColumn id="19" name="Column19" dataDxfId="1062"/>
    <tableColumn id="20" name="Column20" dataDxfId="1063"/>
    <tableColumn id="21" name="Column21" dataDxfId="1064"/>
    <tableColumn id="22" name="Column22" dataDxfId="1065"/>
    <tableColumn id="23" name="Column23" dataDxfId="1066"/>
    <tableColumn id="24" name="Column24" dataDxfId="1067"/>
    <tableColumn id="25" name="Column25" dataDxfId="1068"/>
    <tableColumn id="26" name="Column26" dataDxfId="1069"/>
    <tableColumn id="27" name="Column27" dataDxfId="1070"/>
    <tableColumn id="28" name="Column28" dataDxfId="1071"/>
    <tableColumn id="29" name="Column29" dataDxfId="1072"/>
    <tableColumn id="30" name="Column30" dataDxfId="1073"/>
    <tableColumn id="31" name="Column31" dataDxfId="1074"/>
    <tableColumn id="32" name="Column32" dataDxfId="1075"/>
    <tableColumn id="33" name="Column33" dataDxfId="1076"/>
    <tableColumn id="34" name="Column34" dataDxfId="1077"/>
    <tableColumn id="35" name="Column35" dataDxfId="1078"/>
    <tableColumn id="36" name="Column36" dataDxfId="1079"/>
    <tableColumn id="37" name="Column37" dataDxfId="1080"/>
    <tableColumn id="38" name="Column38" dataDxfId="1081"/>
    <tableColumn id="39" name="Column39" dataDxfId="1082"/>
    <tableColumn id="40" name="Column40" dataDxfId="1083"/>
    <tableColumn id="41" name="Column41" dataDxfId="1084"/>
    <tableColumn id="42" name="Column42" dataDxfId="1085"/>
    <tableColumn id="43" name="Column43" dataDxfId="1086"/>
    <tableColumn id="44" name="Column44" dataDxfId="1087"/>
    <tableColumn id="45" name="Column45" dataDxfId="1088"/>
    <tableColumn id="46" name="Column46" dataDxfId="1089"/>
    <tableColumn id="47" name="Column47" dataDxfId="1090"/>
    <tableColumn id="48" name="Column48" dataDxfId="1091"/>
    <tableColumn id="49" name="Column49" dataDxfId="1092"/>
    <tableColumn id="50" name="Column50" dataDxfId="1093"/>
    <tableColumn id="51" name="Column51" dataDxfId="1094"/>
    <tableColumn id="52" name="Column52" dataDxfId="1095"/>
    <tableColumn id="53" name="Column53" dataDxfId="1096"/>
    <tableColumn id="54" name="Column54" dataDxfId="1097"/>
    <tableColumn id="55" name="Column55" dataDxfId="1098"/>
    <tableColumn id="56" name="Column56" dataDxfId="1099"/>
    <tableColumn id="57" name="Column57" dataDxfId="1100"/>
    <tableColumn id="58" name="Column58" dataDxfId="1101"/>
    <tableColumn id="59" name="Column59" dataDxfId="1102"/>
    <tableColumn id="60" name="Column60" dataDxfId="1103"/>
    <tableColumn id="61" name="Column61" dataDxfId="1104"/>
    <tableColumn id="62" name="Column62" dataDxfId="1105"/>
    <tableColumn id="63" name="Column63" dataDxfId="1106"/>
    <tableColumn id="64" name="Column64" dataDxfId="1107"/>
    <tableColumn id="65" name="Column65" dataDxfId="1108"/>
    <tableColumn id="66" name="Column66" dataDxfId="1109"/>
    <tableColumn id="67" name="Column67" dataDxfId="1110"/>
    <tableColumn id="68" name="Column68" dataDxfId="1111"/>
  </tableColumns>
  <tableStyleInfo name="Jun-2025-Roster-style 2" showFirstColumn="1" showLastColumn="1" showRowStripes="1" showColumnStripes="0"/>
</table>
</file>

<file path=xl/tables/table17.xml><?xml version="1.0" encoding="utf-8"?>
<table xmlns="http://schemas.openxmlformats.org/spreadsheetml/2006/main" id="80" name="Table_80" displayName="Table_80" ref="A5:BQ42" headerRowCount="0">
  <tableColumns count="69">
    <tableColumn id="1" name="Column1" dataDxfId="1112"/>
    <tableColumn id="2" name="Column2" dataDxfId="1113"/>
    <tableColumn id="3" name="Column3" dataDxfId="1114"/>
    <tableColumn id="4" name="Column4" dataDxfId="1115"/>
    <tableColumn id="5" name="Column5" dataDxfId="1116"/>
    <tableColumn id="6" name="Column6" dataDxfId="1117"/>
    <tableColumn id="7" name="Column7" dataDxfId="1118"/>
    <tableColumn id="8" name="Column8" dataDxfId="1119"/>
    <tableColumn id="9" name="Column9" dataDxfId="1120"/>
    <tableColumn id="10" name="Column10" dataDxfId="1121"/>
    <tableColumn id="11" name="Column11" dataDxfId="1122"/>
    <tableColumn id="12" name="Column12" dataDxfId="1123"/>
    <tableColumn id="13" name="Column13" dataDxfId="1124"/>
    <tableColumn id="14" name="Column14" dataDxfId="1125"/>
    <tableColumn id="15" name="Column15" dataDxfId="1126"/>
    <tableColumn id="16" name="Column16" dataDxfId="1127"/>
    <tableColumn id="17" name="Column17" dataDxfId="1128"/>
    <tableColumn id="18" name="Column18" dataDxfId="1129"/>
    <tableColumn id="19" name="Column19" dataDxfId="1130"/>
    <tableColumn id="20" name="Column20" dataDxfId="1131"/>
    <tableColumn id="21" name="Column21" dataDxfId="1132"/>
    <tableColumn id="22" name="Column22" dataDxfId="1133"/>
    <tableColumn id="23" name="Column23" dataDxfId="1134"/>
    <tableColumn id="24" name="Column24" dataDxfId="1135"/>
    <tableColumn id="25" name="Column25" dataDxfId="1136"/>
    <tableColumn id="26" name="Column26" dataDxfId="1137"/>
    <tableColumn id="27" name="Column27" dataDxfId="1138"/>
    <tableColumn id="28" name="Column28" dataDxfId="1139"/>
    <tableColumn id="29" name="Column29" dataDxfId="1140"/>
    <tableColumn id="30" name="Column30" dataDxfId="1141"/>
    <tableColumn id="31" name="Column31" dataDxfId="1142"/>
    <tableColumn id="32" name="Column32" dataDxfId="1143"/>
    <tableColumn id="33" name="Column33" dataDxfId="1144"/>
    <tableColumn id="34" name="Column34" dataDxfId="1145"/>
    <tableColumn id="35" name="Column35" dataDxfId="1146"/>
    <tableColumn id="36" name="Column36" dataDxfId="1147"/>
    <tableColumn id="37" name="Column37" dataDxfId="1148"/>
    <tableColumn id="38" name="Column38" dataDxfId="1149"/>
    <tableColumn id="39" name="Column39" dataDxfId="1150"/>
    <tableColumn id="40" name="Column40" dataDxfId="1151"/>
    <tableColumn id="41" name="Column41" dataDxfId="1152"/>
    <tableColumn id="42" name="Column42" dataDxfId="1153"/>
    <tableColumn id="43" name="Column43" dataDxfId="1154"/>
    <tableColumn id="44" name="Column44" dataDxfId="1155"/>
    <tableColumn id="45" name="Column45" dataDxfId="1156"/>
    <tableColumn id="46" name="Column46" dataDxfId="1157"/>
    <tableColumn id="47" name="Column47" dataDxfId="1158"/>
    <tableColumn id="48" name="Column48" dataDxfId="1159"/>
    <tableColumn id="49" name="Column49" dataDxfId="1160"/>
    <tableColumn id="50" name="Column50" dataDxfId="1161"/>
    <tableColumn id="51" name="Column51" dataDxfId="1162"/>
    <tableColumn id="52" name="Column52" dataDxfId="1163"/>
    <tableColumn id="53" name="Column53" dataDxfId="1164"/>
    <tableColumn id="54" name="Column54" dataDxfId="1165"/>
    <tableColumn id="55" name="Column55" dataDxfId="1166"/>
    <tableColumn id="56" name="Column56" dataDxfId="1167"/>
    <tableColumn id="57" name="Column57" dataDxfId="1168"/>
    <tableColumn id="58" name="Column58" dataDxfId="1169"/>
    <tableColumn id="59" name="Column59" dataDxfId="1170"/>
    <tableColumn id="60" name="Column60" dataDxfId="1171"/>
    <tableColumn id="61" name="Column61" dataDxfId="1172"/>
    <tableColumn id="62" name="Column62" dataDxfId="1173"/>
    <tableColumn id="63" name="Column63" dataDxfId="1174"/>
    <tableColumn id="64" name="Column64" dataDxfId="1175"/>
    <tableColumn id="65" name="Column65" dataDxfId="1176"/>
    <tableColumn id="66" name="Column66" dataDxfId="1177"/>
    <tableColumn id="67" name="Column67" dataDxfId="1178"/>
    <tableColumn id="68" name="Column68" dataDxfId="1179"/>
    <tableColumn id="69" name="Column69" dataDxfId="1180"/>
  </tableColumns>
  <tableStyleInfo name="Jul-2025-Roster-style" showFirstColumn="1" showLastColumn="1" showRowStripes="1" showColumnStripes="0"/>
</table>
</file>

<file path=xl/tables/table18.xml><?xml version="1.0" encoding="utf-8"?>
<table xmlns="http://schemas.openxmlformats.org/spreadsheetml/2006/main" id="81" name="Table_81" displayName="Table_81" ref="B43:BQ49" headerRowCount="0">
  <tableColumns count="68">
    <tableColumn id="1" name="Column1" dataDxfId="1181"/>
    <tableColumn id="2" name="Column2" dataDxfId="1182"/>
    <tableColumn id="3" name="Column3" dataDxfId="1183"/>
    <tableColumn id="4" name="Column4" dataDxfId="1184"/>
    <tableColumn id="5" name="Column5" dataDxfId="1185"/>
    <tableColumn id="6" name="Column6" dataDxfId="1186"/>
    <tableColumn id="7" name="Column7" dataDxfId="1187"/>
    <tableColumn id="8" name="Column8" dataDxfId="1188"/>
    <tableColumn id="9" name="Column9" dataDxfId="1189"/>
    <tableColumn id="10" name="Column10" dataDxfId="1190"/>
    <tableColumn id="11" name="Column11" dataDxfId="1191"/>
    <tableColumn id="12" name="Column12" dataDxfId="1192"/>
    <tableColumn id="13" name="Column13" dataDxfId="1193"/>
    <tableColumn id="14" name="Column14" dataDxfId="1194"/>
    <tableColumn id="15" name="Column15" dataDxfId="1195"/>
    <tableColumn id="16" name="Column16" dataDxfId="1196"/>
    <tableColumn id="17" name="Column17" dataDxfId="1197"/>
    <tableColumn id="18" name="Column18" dataDxfId="1198"/>
    <tableColumn id="19" name="Column19" dataDxfId="1199"/>
    <tableColumn id="20" name="Column20" dataDxfId="1200"/>
    <tableColumn id="21" name="Column21" dataDxfId="1201"/>
    <tableColumn id="22" name="Column22" dataDxfId="1202"/>
    <tableColumn id="23" name="Column23" dataDxfId="1203"/>
    <tableColumn id="24" name="Column24" dataDxfId="1204"/>
    <tableColumn id="25" name="Column25" dataDxfId="1205"/>
    <tableColumn id="26" name="Column26" dataDxfId="1206"/>
    <tableColumn id="27" name="Column27" dataDxfId="1207"/>
    <tableColumn id="28" name="Column28" dataDxfId="1208"/>
    <tableColumn id="29" name="Column29" dataDxfId="1209"/>
    <tableColumn id="30" name="Column30" dataDxfId="1210"/>
    <tableColumn id="31" name="Column31" dataDxfId="1211"/>
    <tableColumn id="32" name="Column32" dataDxfId="1212"/>
    <tableColumn id="33" name="Column33" dataDxfId="1213"/>
    <tableColumn id="34" name="Column34" dataDxfId="1214"/>
    <tableColumn id="35" name="Column35" dataDxfId="1215"/>
    <tableColumn id="36" name="Column36" dataDxfId="1216"/>
    <tableColumn id="37" name="Column37" dataDxfId="1217"/>
    <tableColumn id="38" name="Column38" dataDxfId="1218"/>
    <tableColumn id="39" name="Column39" dataDxfId="1219"/>
    <tableColumn id="40" name="Column40" dataDxfId="1220"/>
    <tableColumn id="41" name="Column41" dataDxfId="1221"/>
    <tableColumn id="42" name="Column42" dataDxfId="1222"/>
    <tableColumn id="43" name="Column43" dataDxfId="1223"/>
    <tableColumn id="44" name="Column44" dataDxfId="1224"/>
    <tableColumn id="45" name="Column45" dataDxfId="1225"/>
    <tableColumn id="46" name="Column46" dataDxfId="1226"/>
    <tableColumn id="47" name="Column47" dataDxfId="1227"/>
    <tableColumn id="48" name="Column48" dataDxfId="1228"/>
    <tableColumn id="49" name="Column49" dataDxfId="1229"/>
    <tableColumn id="50" name="Column50" dataDxfId="1230"/>
    <tableColumn id="51" name="Column51" dataDxfId="1231"/>
    <tableColumn id="52" name="Column52" dataDxfId="1232"/>
    <tableColumn id="53" name="Column53" dataDxfId="1233"/>
    <tableColumn id="54" name="Column54" dataDxfId="1234"/>
    <tableColumn id="55" name="Column55" dataDxfId="1235"/>
    <tableColumn id="56" name="Column56" dataDxfId="1236"/>
    <tableColumn id="57" name="Column57" dataDxfId="1237"/>
    <tableColumn id="58" name="Column58" dataDxfId="1238"/>
    <tableColumn id="59" name="Column59" dataDxfId="1239"/>
    <tableColumn id="60" name="Column60" dataDxfId="1240"/>
    <tableColumn id="61" name="Column61" dataDxfId="1241"/>
    <tableColumn id="62" name="Column62" dataDxfId="1242"/>
    <tableColumn id="63" name="Column63" dataDxfId="1243"/>
    <tableColumn id="64" name="Column64" dataDxfId="1244"/>
    <tableColumn id="65" name="Column65" dataDxfId="1245"/>
    <tableColumn id="66" name="Column66" dataDxfId="1246"/>
    <tableColumn id="67" name="Column67" dataDxfId="1247"/>
    <tableColumn id="68" name="Column68" dataDxfId="1248"/>
  </tableColumns>
  <tableStyleInfo name="Jul-2025-Roster-style 2" showFirstColumn="1" showLastColumn="1" showRowStripes="1" showColumnStripes="0"/>
</table>
</file>

<file path=xl/tables/table19.xml><?xml version="1.0" encoding="utf-8"?>
<table xmlns="http://schemas.openxmlformats.org/spreadsheetml/2006/main" id="82" name="Table_82" displayName="Table_82" ref="A5:BR46" headerRowCount="0">
  <tableColumns count="70">
    <tableColumn id="1" name="Column1" dataDxfId="1249"/>
    <tableColumn id="2" name="Column2" dataDxfId="1250"/>
    <tableColumn id="3" name="Column3" dataDxfId="1251"/>
    <tableColumn id="4" name="Column4" dataDxfId="1252"/>
    <tableColumn id="5" name="Column5" dataDxfId="1253"/>
    <tableColumn id="6" name="Column6" dataDxfId="1254"/>
    <tableColumn id="7" name="Column7" dataDxfId="1255"/>
    <tableColumn id="8" name="Column8" dataDxfId="1256"/>
    <tableColumn id="9" name="Column9" dataDxfId="1257"/>
    <tableColumn id="10" name="Column10" dataDxfId="1258"/>
    <tableColumn id="11" name="Column11" dataDxfId="1259"/>
    <tableColumn id="12" name="Column12" dataDxfId="1260"/>
    <tableColumn id="13" name="Column13" dataDxfId="1261"/>
    <tableColumn id="14" name="Column14" dataDxfId="1262"/>
    <tableColumn id="15" name="Column15" dataDxfId="1263"/>
    <tableColumn id="16" name="Column16" dataDxfId="1264"/>
    <tableColumn id="17" name="Column17" dataDxfId="1265"/>
    <tableColumn id="18" name="Column18" dataDxfId="1266"/>
    <tableColumn id="19" name="Column19" dataDxfId="1267"/>
    <tableColumn id="20" name="Column20" dataDxfId="1268"/>
    <tableColumn id="21" name="Column21" dataDxfId="1269"/>
    <tableColumn id="22" name="Column22" dataDxfId="1270"/>
    <tableColumn id="23" name="Column23" dataDxfId="1271"/>
    <tableColumn id="24" name="Column24" dataDxfId="1272"/>
    <tableColumn id="25" name="Column25" dataDxfId="1273"/>
    <tableColumn id="26" name="Column26" dataDxfId="1274"/>
    <tableColumn id="27" name="Column27" dataDxfId="1275"/>
    <tableColumn id="28" name="Column28" dataDxfId="1276"/>
    <tableColumn id="29" name="Column29" dataDxfId="1277"/>
    <tableColumn id="30" name="Column30" dataDxfId="1278"/>
    <tableColumn id="31" name="Column31" dataDxfId="1279"/>
    <tableColumn id="32" name="Column32" dataDxfId="1280"/>
    <tableColumn id="33" name="Column33" dataDxfId="1281"/>
    <tableColumn id="34" name="Column34" dataDxfId="1282"/>
    <tableColumn id="35" name="Column35" dataDxfId="1283"/>
    <tableColumn id="36" name="Column36" dataDxfId="1284"/>
    <tableColumn id="37" name="Column37" dataDxfId="1285"/>
    <tableColumn id="38" name="Column38" dataDxfId="1286"/>
    <tableColumn id="39" name="Column39" dataDxfId="1287"/>
    <tableColumn id="40" name="Column40" dataDxfId="1288"/>
    <tableColumn id="41" name="Column41" dataDxfId="1289"/>
    <tableColumn id="42" name="Column42" dataDxfId="1290"/>
    <tableColumn id="43" name="Column43" dataDxfId="1291"/>
    <tableColumn id="44" name="Column44" dataDxfId="1292"/>
    <tableColumn id="45" name="Column45" dataDxfId="1293"/>
    <tableColumn id="46" name="Column46" dataDxfId="1294"/>
    <tableColumn id="47" name="Column47" dataDxfId="1295"/>
    <tableColumn id="48" name="Column48" dataDxfId="1296"/>
    <tableColumn id="49" name="Column49" dataDxfId="1297"/>
    <tableColumn id="50" name="Column50" dataDxfId="1298"/>
    <tableColumn id="51" name="Column51" dataDxfId="1299"/>
    <tableColumn id="52" name="Column52" dataDxfId="1300"/>
    <tableColumn id="53" name="Column53" dataDxfId="1301"/>
    <tableColumn id="54" name="Column54" dataDxfId="1302"/>
    <tableColumn id="55" name="Column55" dataDxfId="1303"/>
    <tableColumn id="56" name="Column56" dataDxfId="1304"/>
    <tableColumn id="57" name="Column57" dataDxfId="1305"/>
    <tableColumn id="58" name="Column58" dataDxfId="1306"/>
    <tableColumn id="59" name="Column59" dataDxfId="1307"/>
    <tableColumn id="60" name="Column60" dataDxfId="1308"/>
    <tableColumn id="61" name="Column61" dataDxfId="1309"/>
    <tableColumn id="62" name="Column62" dataDxfId="1310"/>
    <tableColumn id="63" name="Column63" dataDxfId="1311"/>
    <tableColumn id="64" name="Column64" dataDxfId="1312"/>
    <tableColumn id="65" name="Column65" dataDxfId="1313"/>
    <tableColumn id="66" name="Column66" dataDxfId="1314"/>
    <tableColumn id="67" name="Column67" dataDxfId="1315"/>
    <tableColumn id="68" name="Column68" dataDxfId="1316"/>
    <tableColumn id="69" name="Column69" dataDxfId="1317"/>
    <tableColumn id="70" name="Column70" dataDxfId="1318"/>
  </tableColumns>
  <tableStyleInfo name="Feb-2026-Roster-style" showFirstColumn="1" showLastColumn="1" showRowStripes="1" showColumnStripes="0"/>
</table>
</file>

<file path=xl/tables/table20.xml><?xml version="1.0" encoding="utf-8"?>
<table xmlns="http://schemas.openxmlformats.org/spreadsheetml/2006/main" id="83" name="Table_83" displayName="Table_83" ref="B47:BR54" headerRowCount="0">
  <tableColumns count="69">
    <tableColumn id="1" name="Column1" dataDxfId="1319"/>
    <tableColumn id="2" name="Column2" dataDxfId="1320"/>
    <tableColumn id="3" name="Column3" dataDxfId="1321"/>
    <tableColumn id="4" name="Column4" dataDxfId="1322"/>
    <tableColumn id="5" name="Column5" dataDxfId="1323"/>
    <tableColumn id="6" name="Column6" dataDxfId="1324"/>
    <tableColumn id="7" name="Column7" dataDxfId="1325"/>
    <tableColumn id="8" name="Column8" dataDxfId="1326"/>
    <tableColumn id="9" name="Column9" dataDxfId="1327"/>
    <tableColumn id="10" name="Column10" dataDxfId="1328"/>
    <tableColumn id="11" name="Column11" dataDxfId="1329"/>
    <tableColumn id="12" name="Column12" dataDxfId="1330"/>
    <tableColumn id="13" name="Column13" dataDxfId="1331"/>
    <tableColumn id="14" name="Column14" dataDxfId="1332"/>
    <tableColumn id="15" name="Column15" dataDxfId="1333"/>
    <tableColumn id="16" name="Column16" dataDxfId="1334"/>
    <tableColumn id="17" name="Column17" dataDxfId="1335"/>
    <tableColumn id="18" name="Column18" dataDxfId="1336"/>
    <tableColumn id="19" name="Column19" dataDxfId="1337"/>
    <tableColumn id="20" name="Column20" dataDxfId="1338"/>
    <tableColumn id="21" name="Column21" dataDxfId="1339"/>
    <tableColumn id="22" name="Column22" dataDxfId="1340"/>
    <tableColumn id="23" name="Column23" dataDxfId="1341"/>
    <tableColumn id="24" name="Column24" dataDxfId="1342"/>
    <tableColumn id="25" name="Column25" dataDxfId="1343"/>
    <tableColumn id="26" name="Column26" dataDxfId="1344"/>
    <tableColumn id="27" name="Column27" dataDxfId="1345"/>
    <tableColumn id="28" name="Column28" dataDxfId="1346"/>
    <tableColumn id="29" name="Column29" dataDxfId="1347"/>
    <tableColumn id="30" name="Column30" dataDxfId="1348"/>
    <tableColumn id="31" name="Column31" dataDxfId="1349"/>
    <tableColumn id="32" name="Column32" dataDxfId="1350"/>
    <tableColumn id="33" name="Column33" dataDxfId="1351"/>
    <tableColumn id="34" name="Column34" dataDxfId="1352"/>
    <tableColumn id="35" name="Column35" dataDxfId="1353"/>
    <tableColumn id="36" name="Column36" dataDxfId="1354"/>
    <tableColumn id="37" name="Column37" dataDxfId="1355"/>
    <tableColumn id="38" name="Column38" dataDxfId="1356"/>
    <tableColumn id="39" name="Column39" dataDxfId="1357"/>
    <tableColumn id="40" name="Column40" dataDxfId="1358"/>
    <tableColumn id="41" name="Column41" dataDxfId="1359"/>
    <tableColumn id="42" name="Column42" dataDxfId="1360"/>
    <tableColumn id="43" name="Column43" dataDxfId="1361"/>
    <tableColumn id="44" name="Column44" dataDxfId="1362"/>
    <tableColumn id="45" name="Column45" dataDxfId="1363"/>
    <tableColumn id="46" name="Column46" dataDxfId="1364"/>
    <tableColumn id="47" name="Column47" dataDxfId="1365"/>
    <tableColumn id="48" name="Column48" dataDxfId="1366"/>
    <tableColumn id="49" name="Column49" dataDxfId="1367"/>
    <tableColumn id="50" name="Column50" dataDxfId="1368"/>
    <tableColumn id="51" name="Column51" dataDxfId="1369"/>
    <tableColumn id="52" name="Column52" dataDxfId="1370"/>
    <tableColumn id="53" name="Column53" dataDxfId="1371"/>
    <tableColumn id="54" name="Column54" dataDxfId="1372"/>
    <tableColumn id="55" name="Column55" dataDxfId="1373"/>
    <tableColumn id="56" name="Column56" dataDxfId="1374"/>
    <tableColumn id="57" name="Column57" dataDxfId="1375"/>
    <tableColumn id="58" name="Column58" dataDxfId="1376"/>
    <tableColumn id="59" name="Column59" dataDxfId="1377"/>
    <tableColumn id="60" name="Column60" dataDxfId="1378"/>
    <tableColumn id="61" name="Column61" dataDxfId="1379"/>
    <tableColumn id="62" name="Column62" dataDxfId="1380"/>
    <tableColumn id="63" name="Column63" dataDxfId="1381"/>
    <tableColumn id="64" name="Column64" dataDxfId="1382"/>
    <tableColumn id="65" name="Column65" dataDxfId="1383"/>
    <tableColumn id="66" name="Column66" dataDxfId="1384"/>
    <tableColumn id="67" name="Column67" dataDxfId="1385"/>
    <tableColumn id="68" name="Column68" dataDxfId="1386"/>
    <tableColumn id="69" name="Column69" dataDxfId="1387"/>
  </tableColumns>
  <tableStyleInfo name="Feb-2026-Roster-style 2" showFirstColumn="1" showLastColumn="1" showRowStripes="1" showColumnStripes="0"/>
</table>
</file>

<file path=xl/tables/table21.xml><?xml version="1.0" encoding="utf-8"?>
<table xmlns="http://schemas.openxmlformats.org/spreadsheetml/2006/main" id="84" name="Table_84" displayName="Table_84" ref="A5:BR43" headerRowCount="0">
  <tableColumns count="70">
    <tableColumn id="1" name="Column1" dataDxfId="1389"/>
    <tableColumn id="2" name="Column2" dataDxfId="1390"/>
    <tableColumn id="3" name="Column3" dataDxfId="1391"/>
    <tableColumn id="4" name="Column4" dataDxfId="1392"/>
    <tableColumn id="5" name="Column5" dataDxfId="1393"/>
    <tableColumn id="6" name="Column6" dataDxfId="1394"/>
    <tableColumn id="7" name="Column7" dataDxfId="1395"/>
    <tableColumn id="8" name="Column8" dataDxfId="1396"/>
    <tableColumn id="9" name="Column9" dataDxfId="1397"/>
    <tableColumn id="10" name="Column10" dataDxfId="1398"/>
    <tableColumn id="11" name="Column11" dataDxfId="1399"/>
    <tableColumn id="12" name="Column12" dataDxfId="1400"/>
    <tableColumn id="13" name="Column13" dataDxfId="1401"/>
    <tableColumn id="14" name="Column14" dataDxfId="1402"/>
    <tableColumn id="15" name="Column15" dataDxfId="1403"/>
    <tableColumn id="16" name="Column16" dataDxfId="1404"/>
    <tableColumn id="17" name="Column17" dataDxfId="1405"/>
    <tableColumn id="18" name="Column18" dataDxfId="1406"/>
    <tableColumn id="19" name="Column19" dataDxfId="1407"/>
    <tableColumn id="20" name="Column20" dataDxfId="1408"/>
    <tableColumn id="21" name="Column21" dataDxfId="1409"/>
    <tableColumn id="22" name="Column22" dataDxfId="1410"/>
    <tableColumn id="23" name="Column23" dataDxfId="1411"/>
    <tableColumn id="24" name="Column24" dataDxfId="1412"/>
    <tableColumn id="25" name="Column25" dataDxfId="1413"/>
    <tableColumn id="26" name="Column26" dataDxfId="1414"/>
    <tableColumn id="27" name="Column27" dataDxfId="1415"/>
    <tableColumn id="28" name="Column28" dataDxfId="1416"/>
    <tableColumn id="29" name="Column29" dataDxfId="1417"/>
    <tableColumn id="30" name="Column30" dataDxfId="1418"/>
    <tableColumn id="31" name="Column31" dataDxfId="1419"/>
    <tableColumn id="32" name="Column32" dataDxfId="1420"/>
    <tableColumn id="33" name="Column33" dataDxfId="1421"/>
    <tableColumn id="34" name="Column34" dataDxfId="1422"/>
    <tableColumn id="35" name="Column35" dataDxfId="1423"/>
    <tableColumn id="36" name="Column36" dataDxfId="1424"/>
    <tableColumn id="37" name="Column37" dataDxfId="1425"/>
    <tableColumn id="38" name="Column38" dataDxfId="1426"/>
    <tableColumn id="39" name="Column39" dataDxfId="1427"/>
    <tableColumn id="40" name="Column40" dataDxfId="1428"/>
    <tableColumn id="41" name="Column41" dataDxfId="1429"/>
    <tableColumn id="42" name="Column42" dataDxfId="1430"/>
    <tableColumn id="43" name="Column43" dataDxfId="1431"/>
    <tableColumn id="44" name="Column44" dataDxfId="1432"/>
    <tableColumn id="45" name="Column45" dataDxfId="1433"/>
    <tableColumn id="46" name="Column46" dataDxfId="1434"/>
    <tableColumn id="47" name="Column47" dataDxfId="1435"/>
    <tableColumn id="48" name="Column48" dataDxfId="1436"/>
    <tableColumn id="49" name="Column49" dataDxfId="1437"/>
    <tableColumn id="50" name="Column50" dataDxfId="1438"/>
    <tableColumn id="51" name="Column51" dataDxfId="1439"/>
    <tableColumn id="52" name="Column52" dataDxfId="1440"/>
    <tableColumn id="53" name="Column53" dataDxfId="1441"/>
    <tableColumn id="54" name="Column54" dataDxfId="1442"/>
    <tableColumn id="55" name="Column55" dataDxfId="1443"/>
    <tableColumn id="56" name="Column56" dataDxfId="1444"/>
    <tableColumn id="57" name="Column57" dataDxfId="1445"/>
    <tableColumn id="58" name="Column58" dataDxfId="1446"/>
    <tableColumn id="59" name="Column59" dataDxfId="1447"/>
    <tableColumn id="60" name="Column60" dataDxfId="1448"/>
    <tableColumn id="61" name="Column61" dataDxfId="1449"/>
    <tableColumn id="62" name="Column62" dataDxfId="1450"/>
    <tableColumn id="63" name="Column63" dataDxfId="1451"/>
    <tableColumn id="64" name="Column64" dataDxfId="1452"/>
    <tableColumn id="65" name="Column65" dataDxfId="1453"/>
    <tableColumn id="66" name="Column66" dataDxfId="1454"/>
    <tableColumn id="67" name="Column67" dataDxfId="1455"/>
    <tableColumn id="68" name="Column68" dataDxfId="1456"/>
    <tableColumn id="69" name="Column69" dataDxfId="1457"/>
    <tableColumn id="70" name="Column70" dataDxfId="1458"/>
  </tableColumns>
  <tableStyleInfo name="Mar-2026-Roster-style" showFirstColumn="1" showLastColumn="1" showRowStripes="1" showColumnStripes="0"/>
</table>
</file>

<file path=xl/tables/table22.xml><?xml version="1.0" encoding="utf-8"?>
<table xmlns="http://schemas.openxmlformats.org/spreadsheetml/2006/main" id="85" name="Table_85" displayName="Table_85" ref="B44:BR52" headerRowCount="0">
  <tableColumns count="69">
    <tableColumn id="1" name="Column1" dataDxfId="1459"/>
    <tableColumn id="2" name="Column2" dataDxfId="1460"/>
    <tableColumn id="3" name="Column3" dataDxfId="1461"/>
    <tableColumn id="4" name="Column4" dataDxfId="1462"/>
    <tableColumn id="5" name="Column5" dataDxfId="1463"/>
    <tableColumn id="6" name="Column6" dataDxfId="1464"/>
    <tableColumn id="7" name="Column7" dataDxfId="1465"/>
    <tableColumn id="8" name="Column8" dataDxfId="1466"/>
    <tableColumn id="9" name="Column9" dataDxfId="1467"/>
    <tableColumn id="10" name="Column10" dataDxfId="1468"/>
    <tableColumn id="11" name="Column11" dataDxfId="1469"/>
    <tableColumn id="12" name="Column12" dataDxfId="1470"/>
    <tableColumn id="13" name="Column13" dataDxfId="1471"/>
    <tableColumn id="14" name="Column14" dataDxfId="1472"/>
    <tableColumn id="15" name="Column15" dataDxfId="1473"/>
    <tableColumn id="16" name="Column16" dataDxfId="1474"/>
    <tableColumn id="17" name="Column17" dataDxfId="1475"/>
    <tableColumn id="18" name="Column18" dataDxfId="1476"/>
    <tableColumn id="19" name="Column19" dataDxfId="1477"/>
    <tableColumn id="20" name="Column20" dataDxfId="1478"/>
    <tableColumn id="21" name="Column21" dataDxfId="1479"/>
    <tableColumn id="22" name="Column22" dataDxfId="1480"/>
    <tableColumn id="23" name="Column23" dataDxfId="1481"/>
    <tableColumn id="24" name="Column24" dataDxfId="1482"/>
    <tableColumn id="25" name="Column25" dataDxfId="1483"/>
    <tableColumn id="26" name="Column26" dataDxfId="1484"/>
    <tableColumn id="27" name="Column27" dataDxfId="1485"/>
    <tableColumn id="28" name="Column28" dataDxfId="1486"/>
    <tableColumn id="29" name="Column29" dataDxfId="1487"/>
    <tableColumn id="30" name="Column30" dataDxfId="1488"/>
    <tableColumn id="31" name="Column31" dataDxfId="1489"/>
    <tableColumn id="32" name="Column32" dataDxfId="1490"/>
    <tableColumn id="33" name="Column33" dataDxfId="1491"/>
    <tableColumn id="34" name="Column34" dataDxfId="1492"/>
    <tableColumn id="35" name="Column35" dataDxfId="1493"/>
    <tableColumn id="36" name="Column36" dataDxfId="1494"/>
    <tableColumn id="37" name="Column37" dataDxfId="1495"/>
    <tableColumn id="38" name="Column38" dataDxfId="1496"/>
    <tableColumn id="39" name="Column39" dataDxfId="1497"/>
    <tableColumn id="40" name="Column40" dataDxfId="1498"/>
    <tableColumn id="41" name="Column41" dataDxfId="1499"/>
    <tableColumn id="42" name="Column42" dataDxfId="1500"/>
    <tableColumn id="43" name="Column43" dataDxfId="1501"/>
    <tableColumn id="44" name="Column44" dataDxfId="1502"/>
    <tableColumn id="45" name="Column45" dataDxfId="1503"/>
    <tableColumn id="46" name="Column46" dataDxfId="1504"/>
    <tableColumn id="47" name="Column47" dataDxfId="1505"/>
    <tableColumn id="48" name="Column48" dataDxfId="1506"/>
    <tableColumn id="49" name="Column49" dataDxfId="1507"/>
    <tableColumn id="50" name="Column50" dataDxfId="1508"/>
    <tableColumn id="51" name="Column51" dataDxfId="1509"/>
    <tableColumn id="52" name="Column52" dataDxfId="1510"/>
    <tableColumn id="53" name="Column53" dataDxfId="1511"/>
    <tableColumn id="54" name="Column54" dataDxfId="1512"/>
    <tableColumn id="55" name="Column55" dataDxfId="1513"/>
    <tableColumn id="56" name="Column56" dataDxfId="1514"/>
    <tableColumn id="57" name="Column57" dataDxfId="1515"/>
    <tableColumn id="58" name="Column58" dataDxfId="1516"/>
    <tableColumn id="59" name="Column59" dataDxfId="1517"/>
    <tableColumn id="60" name="Column60" dataDxfId="1518"/>
    <tableColumn id="61" name="Column61" dataDxfId="1519"/>
    <tableColumn id="62" name="Column62" dataDxfId="1520"/>
    <tableColumn id="63" name="Column63" dataDxfId="1521"/>
    <tableColumn id="64" name="Column64" dataDxfId="1522"/>
    <tableColumn id="65" name="Column65" dataDxfId="1523"/>
    <tableColumn id="66" name="Column66" dataDxfId="1524"/>
    <tableColumn id="67" name="Column67" dataDxfId="1525"/>
    <tableColumn id="68" name="Column68" dataDxfId="1526"/>
    <tableColumn id="69" name="Column69" dataDxfId="1527"/>
  </tableColumns>
  <tableStyleInfo name="Mar-2026-Roster-style 2" showFirstColumn="1" showLastColumn="1" showRowStripes="1" showColumnStripes="0"/>
</table>
</file>

<file path=xl/tables/table23.xml><?xml version="1.0" encoding="utf-8"?>
<table xmlns="http://schemas.openxmlformats.org/spreadsheetml/2006/main" id="86" name="Table_86" displayName="Table_86" ref="A5:BQ46" headerRowCount="0">
  <tableColumns count="69">
    <tableColumn id="1" name="Column1" dataDxfId="1528"/>
    <tableColumn id="2" name="Column2" dataDxfId="1529"/>
    <tableColumn id="3" name="Column3" dataDxfId="1530"/>
    <tableColumn id="4" name="Column4" dataDxfId="1531"/>
    <tableColumn id="5" name="Column5" dataDxfId="1532"/>
    <tableColumn id="6" name="Column6" dataDxfId="1533"/>
    <tableColumn id="7" name="Column7" dataDxfId="1534"/>
    <tableColumn id="8" name="Column8" dataDxfId="1535"/>
    <tableColumn id="9" name="Column9" dataDxfId="1536"/>
    <tableColumn id="10" name="Column10" dataDxfId="1537"/>
    <tableColumn id="11" name="Column11" dataDxfId="1538"/>
    <tableColumn id="12" name="Column12" dataDxfId="1539"/>
    <tableColumn id="13" name="Column13" dataDxfId="1540"/>
    <tableColumn id="14" name="Column14" dataDxfId="1541"/>
    <tableColumn id="15" name="Column15" dataDxfId="1542"/>
    <tableColumn id="16" name="Column16" dataDxfId="1543"/>
    <tableColumn id="17" name="Column17" dataDxfId="1544"/>
    <tableColumn id="18" name="Column18" dataDxfId="1545"/>
    <tableColumn id="19" name="Column19" dataDxfId="1546"/>
    <tableColumn id="20" name="Column20" dataDxfId="1547"/>
    <tableColumn id="21" name="Column21" dataDxfId="1548"/>
    <tableColumn id="22" name="Column22" dataDxfId="1549"/>
    <tableColumn id="23" name="Column23" dataDxfId="1550"/>
    <tableColumn id="24" name="Column24" dataDxfId="1551"/>
    <tableColumn id="25" name="Column25" dataDxfId="1552"/>
    <tableColumn id="26" name="Column26" dataDxfId="1553"/>
    <tableColumn id="27" name="Column27" dataDxfId="1554"/>
    <tableColumn id="28" name="Column28" dataDxfId="1555"/>
    <tableColumn id="29" name="Column29" dataDxfId="1556"/>
    <tableColumn id="30" name="Column30" dataDxfId="1557"/>
    <tableColumn id="31" name="Column31" dataDxfId="1558"/>
    <tableColumn id="32" name="Column32" dataDxfId="1559"/>
    <tableColumn id="33" name="Column33" dataDxfId="1560"/>
    <tableColumn id="34" name="Column34" dataDxfId="1561"/>
    <tableColumn id="35" name="Column35" dataDxfId="1562"/>
    <tableColumn id="36" name="Column36" dataDxfId="1563"/>
    <tableColumn id="37" name="Column37" dataDxfId="1564"/>
    <tableColumn id="38" name="Column38" dataDxfId="1565"/>
    <tableColumn id="39" name="Column39" dataDxfId="1566"/>
    <tableColumn id="40" name="Column40" dataDxfId="1567"/>
    <tableColumn id="41" name="Column41" dataDxfId="1568"/>
    <tableColumn id="42" name="Column42" dataDxfId="1569"/>
    <tableColumn id="43" name="Column43" dataDxfId="1570"/>
    <tableColumn id="44" name="Column44" dataDxfId="1571"/>
    <tableColumn id="45" name="Column45" dataDxfId="1572"/>
    <tableColumn id="46" name="Column46" dataDxfId="1573"/>
    <tableColumn id="47" name="Column47" dataDxfId="1574"/>
    <tableColumn id="48" name="Column48" dataDxfId="1575"/>
    <tableColumn id="49" name="Column49" dataDxfId="1576"/>
    <tableColumn id="50" name="Column50" dataDxfId="1577"/>
    <tableColumn id="51" name="Column51" dataDxfId="1578"/>
    <tableColumn id="52" name="Column52" dataDxfId="1579"/>
    <tableColumn id="53" name="Column53" dataDxfId="1580"/>
    <tableColumn id="54" name="Column54" dataDxfId="1581"/>
    <tableColumn id="55" name="Column55" dataDxfId="1582"/>
    <tableColumn id="56" name="Column56" dataDxfId="1583"/>
    <tableColumn id="57" name="Column57" dataDxfId="1584"/>
    <tableColumn id="58" name="Column58" dataDxfId="1585"/>
    <tableColumn id="59" name="Column59" dataDxfId="1586"/>
    <tableColumn id="60" name="Column60" dataDxfId="1587"/>
    <tableColumn id="61" name="Column61" dataDxfId="1588"/>
    <tableColumn id="62" name="Column62" dataDxfId="1589"/>
    <tableColumn id="63" name="Column63" dataDxfId="1590"/>
    <tableColumn id="64" name="Column64" dataDxfId="1591"/>
    <tableColumn id="65" name="Column65" dataDxfId="1592"/>
    <tableColumn id="66" name="Column66" dataDxfId="1593"/>
    <tableColumn id="67" name="Column67" dataDxfId="1594"/>
    <tableColumn id="68" name="Column68" dataDxfId="1595"/>
    <tableColumn id="69" name="Column69" dataDxfId="1596"/>
  </tableColumns>
  <tableStyleInfo name="Apr-2026-Roster-style" showFirstColumn="1" showLastColumn="1" showRowStripes="1" showColumnStripes="0"/>
</table>
</file>

<file path=xl/tables/table24.xml><?xml version="1.0" encoding="utf-8"?>
<table xmlns="http://schemas.openxmlformats.org/spreadsheetml/2006/main" id="87" name="Table_87" displayName="Table_87" ref="B47:BQ56" headerRowCount="0">
  <tableColumns count="68">
    <tableColumn id="1" name="Column1" dataDxfId="1597"/>
    <tableColumn id="2" name="Column2" dataDxfId="1598"/>
    <tableColumn id="3" name="Column3" dataDxfId="1599"/>
    <tableColumn id="4" name="Column4" dataDxfId="1600"/>
    <tableColumn id="5" name="Column5" dataDxfId="1601"/>
    <tableColumn id="6" name="Column6" dataDxfId="1602"/>
    <tableColumn id="7" name="Column7" dataDxfId="1603"/>
    <tableColumn id="8" name="Column8" dataDxfId="1604"/>
    <tableColumn id="9" name="Column9" dataDxfId="1605"/>
    <tableColumn id="10" name="Column10" dataDxfId="1606"/>
    <tableColumn id="11" name="Column11" dataDxfId="1607"/>
    <tableColumn id="12" name="Column12" dataDxfId="1608"/>
    <tableColumn id="13" name="Column13" dataDxfId="1609"/>
    <tableColumn id="14" name="Column14" dataDxfId="1610"/>
    <tableColumn id="15" name="Column15" dataDxfId="1611"/>
    <tableColumn id="16" name="Column16" dataDxfId="1612"/>
    <tableColumn id="17" name="Column17" dataDxfId="1613"/>
    <tableColumn id="18" name="Column18" dataDxfId="1614"/>
    <tableColumn id="19" name="Column19" dataDxfId="1615"/>
    <tableColumn id="20" name="Column20" dataDxfId="1616"/>
    <tableColumn id="21" name="Column21" dataDxfId="1617"/>
    <tableColumn id="22" name="Column22" dataDxfId="1618"/>
    <tableColumn id="23" name="Column23" dataDxfId="1619"/>
    <tableColumn id="24" name="Column24" dataDxfId="1620"/>
    <tableColumn id="25" name="Column25" dataDxfId="1621"/>
    <tableColumn id="26" name="Column26" dataDxfId="1622"/>
    <tableColumn id="27" name="Column27" dataDxfId="1623"/>
    <tableColumn id="28" name="Column28" dataDxfId="1624"/>
    <tableColumn id="29" name="Column29" dataDxfId="1625"/>
    <tableColumn id="30" name="Column30" dataDxfId="1626"/>
    <tableColumn id="31" name="Column31" dataDxfId="1627"/>
    <tableColumn id="32" name="Column32" dataDxfId="1628"/>
    <tableColumn id="33" name="Column33" dataDxfId="1629"/>
    <tableColumn id="34" name="Column34" dataDxfId="1630"/>
    <tableColumn id="35" name="Column35" dataDxfId="1631"/>
    <tableColumn id="36" name="Column36" dataDxfId="1632"/>
    <tableColumn id="37" name="Column37" dataDxfId="1633"/>
    <tableColumn id="38" name="Column38" dataDxfId="1634"/>
    <tableColumn id="39" name="Column39" dataDxfId="1635"/>
    <tableColumn id="40" name="Column40" dataDxfId="1636"/>
    <tableColumn id="41" name="Column41" dataDxfId="1637"/>
    <tableColumn id="42" name="Column42" dataDxfId="1638"/>
    <tableColumn id="43" name="Column43" dataDxfId="1639"/>
    <tableColumn id="44" name="Column44" dataDxfId="1640"/>
    <tableColumn id="45" name="Column45" dataDxfId="1641"/>
    <tableColumn id="46" name="Column46" dataDxfId="1642"/>
    <tableColumn id="47" name="Column47" dataDxfId="1643"/>
    <tableColumn id="48" name="Column48" dataDxfId="1644"/>
    <tableColumn id="49" name="Column49" dataDxfId="1645"/>
    <tableColumn id="50" name="Column50" dataDxfId="1646"/>
    <tableColumn id="51" name="Column51" dataDxfId="1647"/>
    <tableColumn id="52" name="Column52" dataDxfId="1648"/>
    <tableColumn id="53" name="Column53" dataDxfId="1649"/>
    <tableColumn id="54" name="Column54" dataDxfId="1650"/>
    <tableColumn id="55" name="Column55" dataDxfId="1651"/>
    <tableColumn id="56" name="Column56" dataDxfId="1652"/>
    <tableColumn id="57" name="Column57" dataDxfId="1653"/>
    <tableColumn id="58" name="Column58" dataDxfId="1654"/>
    <tableColumn id="59" name="Column59" dataDxfId="1655"/>
    <tableColumn id="60" name="Column60" dataDxfId="1656"/>
    <tableColumn id="61" name="Column61" dataDxfId="1657"/>
    <tableColumn id="62" name="Column62" dataDxfId="1658"/>
    <tableColumn id="63" name="Column63" dataDxfId="1659"/>
    <tableColumn id="64" name="Column64" dataDxfId="1660"/>
    <tableColumn id="65" name="Column65" dataDxfId="1661"/>
    <tableColumn id="66" name="Column66" dataDxfId="1662"/>
    <tableColumn id="67" name="Column67" dataDxfId="1663"/>
    <tableColumn id="68" name="Column68" dataDxfId="1664"/>
  </tableColumns>
  <tableStyleInfo name="Apr-2026-Roster-style 2" showFirstColumn="1" showLastColumn="1" showRowStripes="1" showColumnStripes="0"/>
</table>
</file>

<file path=xl/tables/table25.xml><?xml version="1.0" encoding="utf-8"?>
<table xmlns="http://schemas.openxmlformats.org/spreadsheetml/2006/main" id="88" name="Table_88" displayName="Table_88" ref="B72:BR87" headerRowCount="0">
  <tableColumns count="69">
    <tableColumn id="1" name="Column1" dataDxfId="1666"/>
    <tableColumn id="2" name="Column2" dataDxfId="1667"/>
    <tableColumn id="3" name="Column3" dataDxfId="1668"/>
    <tableColumn id="4" name="Column4" dataDxfId="1669"/>
    <tableColumn id="5" name="Column5" dataDxfId="1670"/>
    <tableColumn id="6" name="Column6" dataDxfId="1671"/>
    <tableColumn id="7" name="Column7" dataDxfId="1672"/>
    <tableColumn id="8" name="Column8" dataDxfId="1673"/>
    <tableColumn id="9" name="Column9" dataDxfId="1674"/>
    <tableColumn id="10" name="Column10" dataDxfId="1675"/>
    <tableColumn id="11" name="Column11" dataDxfId="1676"/>
    <tableColumn id="12" name="Column12" dataDxfId="1677"/>
    <tableColumn id="13" name="Column13" dataDxfId="1678"/>
    <tableColumn id="14" name="Column14" dataDxfId="1679"/>
    <tableColumn id="15" name="Column15" dataDxfId="1680"/>
    <tableColumn id="16" name="Column16" dataDxfId="1681"/>
    <tableColumn id="17" name="Column17" dataDxfId="1682"/>
    <tableColumn id="18" name="Column18" dataDxfId="1683"/>
    <tableColumn id="19" name="Column19" dataDxfId="1684"/>
    <tableColumn id="20" name="Column20" dataDxfId="1685"/>
    <tableColumn id="21" name="Column21" dataDxfId="1686"/>
    <tableColumn id="22" name="Column22" dataDxfId="1687"/>
    <tableColumn id="23" name="Column23" dataDxfId="1688"/>
    <tableColumn id="24" name="Column24" dataDxfId="1689"/>
    <tableColumn id="25" name="Column25" dataDxfId="1690"/>
    <tableColumn id="26" name="Column26" dataDxfId="1691"/>
    <tableColumn id="27" name="Column27" dataDxfId="1692"/>
    <tableColumn id="28" name="Column28" dataDxfId="1693"/>
    <tableColumn id="29" name="Column29" dataDxfId="1694"/>
    <tableColumn id="30" name="Column30" dataDxfId="1695"/>
    <tableColumn id="31" name="Column31" dataDxfId="1696"/>
    <tableColumn id="32" name="Column32" dataDxfId="1697"/>
    <tableColumn id="33" name="Column33" dataDxfId="1698"/>
    <tableColumn id="34" name="Column34" dataDxfId="1699"/>
    <tableColumn id="35" name="Column35" dataDxfId="1700"/>
    <tableColumn id="36" name="Column36" dataDxfId="1701"/>
    <tableColumn id="37" name="Column37" dataDxfId="1702"/>
    <tableColumn id="38" name="Column38" dataDxfId="1703"/>
    <tableColumn id="39" name="Column39" dataDxfId="1704"/>
    <tableColumn id="40" name="Column40" dataDxfId="1705"/>
    <tableColumn id="41" name="Column41" dataDxfId="1706"/>
    <tableColumn id="42" name="Column42" dataDxfId="1707"/>
    <tableColumn id="43" name="Column43" dataDxfId="1708"/>
    <tableColumn id="44" name="Column44" dataDxfId="1709"/>
    <tableColumn id="45" name="Column45" dataDxfId="1710"/>
    <tableColumn id="46" name="Column46" dataDxfId="1711"/>
    <tableColumn id="47" name="Column47" dataDxfId="1712"/>
    <tableColumn id="48" name="Column48" dataDxfId="1713"/>
    <tableColumn id="49" name="Column49" dataDxfId="1714"/>
    <tableColumn id="50" name="Column50" dataDxfId="1715"/>
    <tableColumn id="51" name="Column51" dataDxfId="1716"/>
    <tableColumn id="52" name="Column52" dataDxfId="1717"/>
    <tableColumn id="53" name="Column53" dataDxfId="1718"/>
    <tableColumn id="54" name="Column54" dataDxfId="1719"/>
    <tableColumn id="55" name="Column55" dataDxfId="1720"/>
    <tableColumn id="56" name="Column56" dataDxfId="1721"/>
    <tableColumn id="57" name="Column57" dataDxfId="1722"/>
    <tableColumn id="58" name="Column58" dataDxfId="1723"/>
    <tableColumn id="59" name="Column59" dataDxfId="1724"/>
    <tableColumn id="60" name="Column60" dataDxfId="1725"/>
    <tableColumn id="61" name="Column61" dataDxfId="1726"/>
    <tableColumn id="62" name="Column62" dataDxfId="1727"/>
    <tableColumn id="63" name="Column63" dataDxfId="1728"/>
    <tableColumn id="64" name="Column64" dataDxfId="1729"/>
    <tableColumn id="65" name="Column65" dataDxfId="1730"/>
    <tableColumn id="66" name="Column66" dataDxfId="1731"/>
    <tableColumn id="67" name="Column67" dataDxfId="1732"/>
    <tableColumn id="68" name="Column68" dataDxfId="1733"/>
    <tableColumn id="69" name="Column69" dataDxfId="1734"/>
  </tableColumns>
  <tableStyleInfo name="May-2026-Roster-style" showFirstColumn="1" showLastColumn="1" showRowStripes="1" showColumnStripes="0"/>
</table>
</file>

<file path=xl/tables/table26.xml><?xml version="1.0" encoding="utf-8"?>
<table xmlns="http://schemas.openxmlformats.org/spreadsheetml/2006/main" id="89" name="Table_89" displayName="Table_89" ref="A5:BQ65" headerRowCount="0">
  <tableColumns count="69">
    <tableColumn id="1" name="Column1" dataDxfId="1736"/>
    <tableColumn id="2" name="Column2" dataDxfId="1737"/>
    <tableColumn id="3" name="Column3" dataDxfId="1738"/>
    <tableColumn id="4" name="Column4" dataDxfId="1739"/>
    <tableColumn id="5" name="Column5" dataDxfId="1740"/>
    <tableColumn id="6" name="Column6" dataDxfId="1741"/>
    <tableColumn id="7" name="Column7" dataDxfId="1742"/>
    <tableColumn id="8" name="Column8" dataDxfId="1743"/>
    <tableColumn id="9" name="Column9" dataDxfId="1744"/>
    <tableColumn id="10" name="Column10" dataDxfId="1745"/>
    <tableColumn id="11" name="Column11" dataDxfId="1746"/>
    <tableColumn id="12" name="Column12" dataDxfId="1747"/>
    <tableColumn id="13" name="Column13" dataDxfId="1748"/>
    <tableColumn id="14" name="Column14" dataDxfId="1749"/>
    <tableColumn id="15" name="Column15" dataDxfId="1750"/>
    <tableColumn id="16" name="Column16" dataDxfId="1751"/>
    <tableColumn id="17" name="Column17" dataDxfId="1752"/>
    <tableColumn id="18" name="Column18" dataDxfId="1753"/>
    <tableColumn id="19" name="Column19" dataDxfId="1754"/>
    <tableColumn id="20" name="Column20" dataDxfId="1755"/>
    <tableColumn id="21" name="Column21" dataDxfId="1756"/>
    <tableColumn id="22" name="Column22" dataDxfId="1757"/>
    <tableColumn id="23" name="Column23" dataDxfId="1758"/>
    <tableColumn id="24" name="Column24" dataDxfId="1759"/>
    <tableColumn id="25" name="Column25" dataDxfId="1760"/>
    <tableColumn id="26" name="Column26" dataDxfId="1761"/>
    <tableColumn id="27" name="Column27" dataDxfId="1762"/>
    <tableColumn id="28" name="Column28" dataDxfId="1763"/>
    <tableColumn id="29" name="Column29" dataDxfId="1764"/>
    <tableColumn id="30" name="Column30" dataDxfId="1765"/>
    <tableColumn id="31" name="Column31" dataDxfId="1766"/>
    <tableColumn id="32" name="Column32" dataDxfId="1767"/>
    <tableColumn id="33" name="Column33" dataDxfId="1768"/>
    <tableColumn id="34" name="Column34" dataDxfId="1769"/>
    <tableColumn id="35" name="Column35" dataDxfId="1770"/>
    <tableColumn id="36" name="Column36" dataDxfId="1771"/>
    <tableColumn id="37" name="Column37" dataDxfId="1772"/>
    <tableColumn id="38" name="Column38" dataDxfId="1773"/>
    <tableColumn id="39" name="Column39" dataDxfId="1774"/>
    <tableColumn id="40" name="Column40" dataDxfId="1775"/>
    <tableColumn id="41" name="Column41" dataDxfId="1776"/>
    <tableColumn id="42" name="Column42" dataDxfId="1777"/>
    <tableColumn id="43" name="Column43" dataDxfId="1778"/>
    <tableColumn id="44" name="Column44" dataDxfId="1779"/>
    <tableColumn id="45" name="Column45" dataDxfId="1780"/>
    <tableColumn id="46" name="Column46" dataDxfId="1781"/>
    <tableColumn id="47" name="Column47" dataDxfId="1782"/>
    <tableColumn id="48" name="Column48" dataDxfId="1783"/>
    <tableColumn id="49" name="Column49" dataDxfId="1784"/>
    <tableColumn id="50" name="Column50" dataDxfId="1785"/>
    <tableColumn id="51" name="Column51" dataDxfId="1786"/>
    <tableColumn id="52" name="Column52" dataDxfId="1787"/>
    <tableColumn id="53" name="Column53" dataDxfId="1788"/>
    <tableColumn id="54" name="Column54" dataDxfId="1789"/>
    <tableColumn id="55" name="Column55" dataDxfId="1790"/>
    <tableColumn id="56" name="Column56" dataDxfId="1791"/>
    <tableColumn id="57" name="Column57" dataDxfId="1792"/>
    <tableColumn id="58" name="Column58" dataDxfId="1793"/>
    <tableColumn id="59" name="Column59" dataDxfId="1794"/>
    <tableColumn id="60" name="Column60" dataDxfId="1795"/>
    <tableColumn id="61" name="Column61" dataDxfId="1796"/>
    <tableColumn id="62" name="Column62" dataDxfId="1797"/>
    <tableColumn id="63" name="Column63" dataDxfId="1798"/>
    <tableColumn id="64" name="Column64" dataDxfId="1799"/>
    <tableColumn id="65" name="Column65" dataDxfId="1800"/>
    <tableColumn id="66" name="Column66" dataDxfId="1801"/>
    <tableColumn id="67" name="Column67" dataDxfId="1802"/>
    <tableColumn id="68" name="Column68" dataDxfId="1803"/>
    <tableColumn id="69" name="Column69" dataDxfId="1804"/>
  </tableColumns>
  <tableStyleInfo name="June 2026 Roster New-style" showFirstColumn="1" showLastColumn="1" showRowStripes="1" showColumnStripes="0"/>
</table>
</file>

<file path=xl/tables/table27.xml><?xml version="1.0" encoding="utf-8"?>
<table xmlns="http://schemas.openxmlformats.org/spreadsheetml/2006/main" id="90" name="Table_90" displayName="Table_90" ref="B66:BQ81" headerRowCount="0">
  <tableColumns count="68">
    <tableColumn id="1" name="Column1" dataDxfId="1805"/>
    <tableColumn id="2" name="Column2" dataDxfId="1806"/>
    <tableColumn id="3" name="Column3" dataDxfId="1807"/>
    <tableColumn id="4" name="Column4" dataDxfId="1808"/>
    <tableColumn id="5" name="Column5" dataDxfId="1809"/>
    <tableColumn id="6" name="Column6" dataDxfId="1810"/>
    <tableColumn id="7" name="Column7" dataDxfId="1811"/>
    <tableColumn id="8" name="Column8" dataDxfId="1812"/>
    <tableColumn id="9" name="Column9" dataDxfId="1813"/>
    <tableColumn id="10" name="Column10" dataDxfId="1814"/>
    <tableColumn id="11" name="Column11" dataDxfId="1815"/>
    <tableColumn id="12" name="Column12" dataDxfId="1816"/>
    <tableColumn id="13" name="Column13" dataDxfId="1817"/>
    <tableColumn id="14" name="Column14" dataDxfId="1818"/>
    <tableColumn id="15" name="Column15" dataDxfId="1819"/>
    <tableColumn id="16" name="Column16" dataDxfId="1820"/>
    <tableColumn id="17" name="Column17" dataDxfId="1821"/>
    <tableColumn id="18" name="Column18" dataDxfId="1822"/>
    <tableColumn id="19" name="Column19" dataDxfId="1823"/>
    <tableColumn id="20" name="Column20" dataDxfId="1824"/>
    <tableColumn id="21" name="Column21" dataDxfId="1825"/>
    <tableColumn id="22" name="Column22" dataDxfId="1826"/>
    <tableColumn id="23" name="Column23" dataDxfId="1827"/>
    <tableColumn id="24" name="Column24" dataDxfId="1828"/>
    <tableColumn id="25" name="Column25" dataDxfId="1829"/>
    <tableColumn id="26" name="Column26" dataDxfId="1830"/>
    <tableColumn id="27" name="Column27" dataDxfId="1831"/>
    <tableColumn id="28" name="Column28" dataDxfId="1832"/>
    <tableColumn id="29" name="Column29" dataDxfId="1833"/>
    <tableColumn id="30" name="Column30" dataDxfId="1834"/>
    <tableColumn id="31" name="Column31" dataDxfId="1835"/>
    <tableColumn id="32" name="Column32" dataDxfId="1836"/>
    <tableColumn id="33" name="Column33" dataDxfId="1837"/>
    <tableColumn id="34" name="Column34" dataDxfId="1838"/>
    <tableColumn id="35" name="Column35" dataDxfId="1839"/>
    <tableColumn id="36" name="Column36" dataDxfId="1840"/>
    <tableColumn id="37" name="Column37" dataDxfId="1841"/>
    <tableColumn id="38" name="Column38" dataDxfId="1842"/>
    <tableColumn id="39" name="Column39" dataDxfId="1843"/>
    <tableColumn id="40" name="Column40" dataDxfId="1844"/>
    <tableColumn id="41" name="Column41" dataDxfId="1845"/>
    <tableColumn id="42" name="Column42" dataDxfId="1846"/>
    <tableColumn id="43" name="Column43" dataDxfId="1847"/>
    <tableColumn id="44" name="Column44" dataDxfId="1848"/>
    <tableColumn id="45" name="Column45" dataDxfId="1849"/>
    <tableColumn id="46" name="Column46" dataDxfId="1850"/>
    <tableColumn id="47" name="Column47" dataDxfId="1851"/>
    <tableColumn id="48" name="Column48" dataDxfId="1852"/>
    <tableColumn id="49" name="Column49" dataDxfId="1853"/>
    <tableColumn id="50" name="Column50" dataDxfId="1854"/>
    <tableColumn id="51" name="Column51" dataDxfId="1855"/>
    <tableColumn id="52" name="Column52" dataDxfId="1856"/>
    <tableColumn id="53" name="Column53" dataDxfId="1857"/>
    <tableColumn id="54" name="Column54" dataDxfId="1858"/>
    <tableColumn id="55" name="Column55" dataDxfId="1859"/>
    <tableColumn id="56" name="Column56" dataDxfId="1860"/>
    <tableColumn id="57" name="Column57" dataDxfId="1861"/>
    <tableColumn id="58" name="Column58" dataDxfId="1862"/>
    <tableColumn id="59" name="Column59" dataDxfId="1863"/>
    <tableColumn id="60" name="Column60" dataDxfId="1864"/>
    <tableColumn id="61" name="Column61" dataDxfId="1865"/>
    <tableColumn id="62" name="Column62" dataDxfId="1866"/>
    <tableColumn id="63" name="Column63" dataDxfId="1867"/>
    <tableColumn id="64" name="Column64" dataDxfId="1868"/>
    <tableColumn id="65" name="Column65" dataDxfId="1869"/>
    <tableColumn id="66" name="Column66" dataDxfId="1870"/>
    <tableColumn id="67" name="Column67" dataDxfId="1871"/>
    <tableColumn id="68" name="Column68" dataDxfId="1872"/>
  </tableColumns>
  <tableStyleInfo name="June 2026 Roster New-style 2" showFirstColumn="1" showLastColumn="1" showRowStripes="1" showColumnStripes="0"/>
</table>
</file>

<file path=xl/tables/table28.xml><?xml version="1.0" encoding="utf-8"?>
<table xmlns="http://schemas.openxmlformats.org/spreadsheetml/2006/main" id="91" name="Table_91" displayName="Table_91" ref="A5:BP79" headerRowCount="0">
  <tableColumns count="68">
    <tableColumn id="1" name="Column1" dataDxfId="1873"/>
    <tableColumn id="2" name="Column2" dataDxfId="1874"/>
    <tableColumn id="3" name="Column3" dataDxfId="1875"/>
    <tableColumn id="4" name="Column4" dataDxfId="1876"/>
    <tableColumn id="5" name="Column5" dataDxfId="1877"/>
    <tableColumn id="6" name="Column6" dataDxfId="1878"/>
    <tableColumn id="7" name="Column7" dataDxfId="1879"/>
    <tableColumn id="8" name="Column8" dataDxfId="1880"/>
    <tableColumn id="9" name="Column9" dataDxfId="1881"/>
    <tableColumn id="10" name="Column10" dataDxfId="1882"/>
    <tableColumn id="11" name="Column11" dataDxfId="1883"/>
    <tableColumn id="12" name="Column12" dataDxfId="1884"/>
    <tableColumn id="13" name="Column13" dataDxfId="1885"/>
    <tableColumn id="14" name="Column14" dataDxfId="1886"/>
    <tableColumn id="15" name="Column15" dataDxfId="1887"/>
    <tableColumn id="16" name="Column16" dataDxfId="1888"/>
    <tableColumn id="17" name="Column17" dataDxfId="1889"/>
    <tableColumn id="18" name="Column18" dataDxfId="1890"/>
    <tableColumn id="19" name="Column19" dataDxfId="1891"/>
    <tableColumn id="20" name="Column20" dataDxfId="1892"/>
    <tableColumn id="21" name="Column21" dataDxfId="1893"/>
    <tableColumn id="22" name="Column22" dataDxfId="1894"/>
    <tableColumn id="23" name="Column23" dataDxfId="1895"/>
    <tableColumn id="24" name="Column24" dataDxfId="1896"/>
    <tableColumn id="25" name="Column25" dataDxfId="1897"/>
    <tableColumn id="26" name="Column26" dataDxfId="1898"/>
    <tableColumn id="27" name="Column27" dataDxfId="1899"/>
    <tableColumn id="28" name="Column28" dataDxfId="1900"/>
    <tableColumn id="29" name="Column29" dataDxfId="1901"/>
    <tableColumn id="30" name="Column30" dataDxfId="1902"/>
    <tableColumn id="31" name="Column31" dataDxfId="1903"/>
    <tableColumn id="32" name="Column32" dataDxfId="1904"/>
    <tableColumn id="33" name="Column33" dataDxfId="1905"/>
    <tableColumn id="34" name="Column34" dataDxfId="1906"/>
    <tableColumn id="35" name="Column35" dataDxfId="1907"/>
    <tableColumn id="36" name="Column36" dataDxfId="1908"/>
    <tableColumn id="37" name="Column37" dataDxfId="1909"/>
    <tableColumn id="38" name="Column38" dataDxfId="1910"/>
    <tableColumn id="39" name="Column39" dataDxfId="1911"/>
    <tableColumn id="40" name="Column40" dataDxfId="1912"/>
    <tableColumn id="41" name="Column41" dataDxfId="1913"/>
    <tableColumn id="42" name="Column42" dataDxfId="1914"/>
    <tableColumn id="43" name="Column43" dataDxfId="1915"/>
    <tableColumn id="44" name="Column44" dataDxfId="1916"/>
    <tableColumn id="45" name="Column45" dataDxfId="1917"/>
    <tableColumn id="46" name="Column46" dataDxfId="1918"/>
    <tableColumn id="47" name="Column47" dataDxfId="1919"/>
    <tableColumn id="48" name="Column48" dataDxfId="1920"/>
    <tableColumn id="49" name="Column49" dataDxfId="1921"/>
    <tableColumn id="50" name="Column50" dataDxfId="1922"/>
    <tableColumn id="51" name="Column51" dataDxfId="1923"/>
    <tableColumn id="52" name="Column52" dataDxfId="1924"/>
    <tableColumn id="53" name="Column53" dataDxfId="1925"/>
    <tableColumn id="54" name="Column54" dataDxfId="1926"/>
    <tableColumn id="55" name="Column55" dataDxfId="1927"/>
    <tableColumn id="56" name="Column56" dataDxfId="1928"/>
    <tableColumn id="57" name="Column57" dataDxfId="1929"/>
    <tableColumn id="58" name="Column58" dataDxfId="1930"/>
    <tableColumn id="59" name="Column59" dataDxfId="1931"/>
    <tableColumn id="60" name="Column60" dataDxfId="1932"/>
    <tableColumn id="61" name="Column61" dataDxfId="1933"/>
    <tableColumn id="62" name="Column62" dataDxfId="1934"/>
    <tableColumn id="63" name="Column63" dataDxfId="1935"/>
    <tableColumn id="64" name="Column64" dataDxfId="1936"/>
    <tableColumn id="65" name="Column65" dataDxfId="1937"/>
    <tableColumn id="66" name="Column66" dataDxfId="1938"/>
    <tableColumn id="67" name="Column67" dataDxfId="1939"/>
    <tableColumn id="68" name="Column68" dataDxfId="1940"/>
  </tableColumns>
  <tableStyleInfo name="July 2026 Roster-style" showFirstColumn="1" showLastColumn="1" showRowStripes="1" showColumnStripes="0"/>
</table>
</file>

<file path=xl/tables/table29.xml><?xml version="1.0" encoding="utf-8"?>
<table xmlns="http://schemas.openxmlformats.org/spreadsheetml/2006/main" id="92" name="Table_92" displayName="Table_92" ref="B80:BP95" headerRowCount="0">
  <tableColumns count="67">
    <tableColumn id="1" name="Column1" dataDxfId="1941"/>
    <tableColumn id="2" name="Column2" dataDxfId="1942"/>
    <tableColumn id="3" name="Column3" dataDxfId="1943"/>
    <tableColumn id="4" name="Column4" dataDxfId="1944"/>
    <tableColumn id="5" name="Column5" dataDxfId="1945"/>
    <tableColumn id="6" name="Column6" dataDxfId="1946"/>
    <tableColumn id="7" name="Column7" dataDxfId="1947"/>
    <tableColumn id="8" name="Column8" dataDxfId="1948"/>
    <tableColumn id="9" name="Column9" dataDxfId="1949"/>
    <tableColumn id="10" name="Column10" dataDxfId="1950"/>
    <tableColumn id="11" name="Column11" dataDxfId="1951"/>
    <tableColumn id="12" name="Column12" dataDxfId="1952"/>
    <tableColumn id="13" name="Column13" dataDxfId="1953"/>
    <tableColumn id="14" name="Column14" dataDxfId="1954"/>
    <tableColumn id="15" name="Column15" dataDxfId="1955"/>
    <tableColumn id="16" name="Column16" dataDxfId="1956"/>
    <tableColumn id="17" name="Column17" dataDxfId="1957"/>
    <tableColumn id="18" name="Column18" dataDxfId="1958"/>
    <tableColumn id="19" name="Column19" dataDxfId="1959"/>
    <tableColumn id="20" name="Column20" dataDxfId="1960"/>
    <tableColumn id="21" name="Column21" dataDxfId="1961"/>
    <tableColumn id="22" name="Column22" dataDxfId="1962"/>
    <tableColumn id="23" name="Column23" dataDxfId="1963"/>
    <tableColumn id="24" name="Column24" dataDxfId="1964"/>
    <tableColumn id="25" name="Column25" dataDxfId="1965"/>
    <tableColumn id="26" name="Column26" dataDxfId="1966"/>
    <tableColumn id="27" name="Column27" dataDxfId="1967"/>
    <tableColumn id="28" name="Column28" dataDxfId="1968"/>
    <tableColumn id="29" name="Column29" dataDxfId="1969"/>
    <tableColumn id="30" name="Column30" dataDxfId="1970"/>
    <tableColumn id="31" name="Column31" dataDxfId="1971"/>
    <tableColumn id="32" name="Column32" dataDxfId="1972"/>
    <tableColumn id="33" name="Column33" dataDxfId="1973"/>
    <tableColumn id="34" name="Column34" dataDxfId="1974"/>
    <tableColumn id="35" name="Column35" dataDxfId="1975"/>
    <tableColumn id="36" name="Column36" dataDxfId="1976"/>
    <tableColumn id="37" name="Column37" dataDxfId="1977"/>
    <tableColumn id="38" name="Column38" dataDxfId="1978"/>
    <tableColumn id="39" name="Column39" dataDxfId="1979"/>
    <tableColumn id="40" name="Column40" dataDxfId="1980"/>
    <tableColumn id="41" name="Column41" dataDxfId="1981"/>
    <tableColumn id="42" name="Column42" dataDxfId="1982"/>
    <tableColumn id="43" name="Column43" dataDxfId="1983"/>
    <tableColumn id="44" name="Column44" dataDxfId="1984"/>
    <tableColumn id="45" name="Column45" dataDxfId="1985"/>
    <tableColumn id="46" name="Column46" dataDxfId="1986"/>
    <tableColumn id="47" name="Column47" dataDxfId="1987"/>
    <tableColumn id="48" name="Column48" dataDxfId="1988"/>
    <tableColumn id="49" name="Column49" dataDxfId="1989"/>
    <tableColumn id="50" name="Column50" dataDxfId="1990"/>
    <tableColumn id="51" name="Column51" dataDxfId="1991"/>
    <tableColumn id="52" name="Column52" dataDxfId="1992"/>
    <tableColumn id="53" name="Column53" dataDxfId="1993"/>
    <tableColumn id="54" name="Column54" dataDxfId="1994"/>
    <tableColumn id="55" name="Column55" dataDxfId="1995"/>
    <tableColumn id="56" name="Column56" dataDxfId="1996"/>
    <tableColumn id="57" name="Column57" dataDxfId="1997"/>
    <tableColumn id="58" name="Column58" dataDxfId="1998"/>
    <tableColumn id="59" name="Column59" dataDxfId="1999"/>
    <tableColumn id="60" name="Column60" dataDxfId="2000"/>
    <tableColumn id="61" name="Column61" dataDxfId="2001"/>
    <tableColumn id="62" name="Column62" dataDxfId="2002"/>
    <tableColumn id="63" name="Column63" dataDxfId="2003"/>
    <tableColumn id="64" name="Column64" dataDxfId="2004"/>
    <tableColumn id="65" name="Column65" dataDxfId="2005"/>
    <tableColumn id="66" name="Column66" dataDxfId="2006"/>
    <tableColumn id="67" name="Column67" dataDxfId="2007"/>
  </tableColumns>
  <tableStyleInfo name="July 2026 Roster-style 2" showFirstColumn="1" showLastColumn="1" showRowStripes="1" showColumnStripes="0"/>
</table>
</file>

<file path=xl/tables/table30.xml><?xml version="1.0" encoding="utf-8"?>
<table xmlns="http://schemas.openxmlformats.org/spreadsheetml/2006/main" id="93" name="Table_93" displayName="Table_93" ref="A5:BP79" headerRowCount="0">
  <tableColumns count="68">
    <tableColumn id="1" name="Column1" dataDxfId="2008"/>
    <tableColumn id="2" name="Column2" dataDxfId="2009"/>
    <tableColumn id="3" name="Column3" dataDxfId="2010"/>
    <tableColumn id="4" name="Column4" dataDxfId="2011"/>
    <tableColumn id="5" name="Column5" dataDxfId="2012"/>
    <tableColumn id="6" name="Column6" dataDxfId="2013"/>
    <tableColumn id="7" name="Column7" dataDxfId="2014"/>
    <tableColumn id="8" name="Column8" dataDxfId="2015"/>
    <tableColumn id="9" name="Column9" dataDxfId="2016"/>
    <tableColumn id="10" name="Column10" dataDxfId="2017"/>
    <tableColumn id="11" name="Column11" dataDxfId="2018"/>
    <tableColumn id="12" name="Column12" dataDxfId="2019"/>
    <tableColumn id="13" name="Column13" dataDxfId="2020"/>
    <tableColumn id="14" name="Column14" dataDxfId="2021"/>
    <tableColumn id="15" name="Column15" dataDxfId="2022"/>
    <tableColumn id="16" name="Column16" dataDxfId="2023"/>
    <tableColumn id="17" name="Column17" dataDxfId="2024"/>
    <tableColumn id="18" name="Column18" dataDxfId="2025"/>
    <tableColumn id="19" name="Column19" dataDxfId="2026"/>
    <tableColumn id="20" name="Column20" dataDxfId="2027"/>
    <tableColumn id="21" name="Column21" dataDxfId="2028"/>
    <tableColumn id="22" name="Column22" dataDxfId="2029"/>
    <tableColumn id="23" name="Column23" dataDxfId="2030"/>
    <tableColumn id="24" name="Column24" dataDxfId="2031"/>
    <tableColumn id="25" name="Column25" dataDxfId="2032"/>
    <tableColumn id="26" name="Column26" dataDxfId="2033"/>
    <tableColumn id="27" name="Column27" dataDxfId="2034"/>
    <tableColumn id="28" name="Column28" dataDxfId="2035"/>
    <tableColumn id="29" name="Column29" dataDxfId="2036"/>
    <tableColumn id="30" name="Column30" dataDxfId="2037"/>
    <tableColumn id="31" name="Column31" dataDxfId="2038"/>
    <tableColumn id="32" name="Column32" dataDxfId="2039"/>
    <tableColumn id="33" name="Column33" dataDxfId="2040"/>
    <tableColumn id="34" name="Column34" dataDxfId="2041"/>
    <tableColumn id="35" name="Column35" dataDxfId="2042"/>
    <tableColumn id="36" name="Column36" dataDxfId="2043"/>
    <tableColumn id="37" name="Column37" dataDxfId="2044"/>
    <tableColumn id="38" name="Column38" dataDxfId="2045"/>
    <tableColumn id="39" name="Column39" dataDxfId="2046"/>
    <tableColumn id="40" name="Column40" dataDxfId="2047"/>
    <tableColumn id="41" name="Column41" dataDxfId="2048"/>
    <tableColumn id="42" name="Column42" dataDxfId="2049"/>
    <tableColumn id="43" name="Column43" dataDxfId="2050"/>
    <tableColumn id="44" name="Column44" dataDxfId="2051"/>
    <tableColumn id="45" name="Column45" dataDxfId="2052"/>
    <tableColumn id="46" name="Column46" dataDxfId="2053"/>
    <tableColumn id="47" name="Column47" dataDxfId="2054"/>
    <tableColumn id="48" name="Column48" dataDxfId="2055"/>
    <tableColumn id="49" name="Column49" dataDxfId="2056"/>
    <tableColumn id="50" name="Column50" dataDxfId="2057"/>
    <tableColumn id="51" name="Column51" dataDxfId="2058"/>
    <tableColumn id="52" name="Column52" dataDxfId="2059"/>
    <tableColumn id="53" name="Column53" dataDxfId="2060"/>
    <tableColumn id="54" name="Column54" dataDxfId="2061"/>
    <tableColumn id="55" name="Column55" dataDxfId="2062"/>
    <tableColumn id="56" name="Column56" dataDxfId="2063"/>
    <tableColumn id="57" name="Column57" dataDxfId="2064"/>
    <tableColumn id="58" name="Column58" dataDxfId="2065"/>
    <tableColumn id="59" name="Column59" dataDxfId="2066"/>
    <tableColumn id="60" name="Column60" dataDxfId="2067"/>
    <tableColumn id="61" name="Column61" dataDxfId="2068"/>
    <tableColumn id="62" name="Column62" dataDxfId="2069"/>
    <tableColumn id="63" name="Column63" dataDxfId="2070"/>
    <tableColumn id="64" name="Column64" dataDxfId="2071"/>
    <tableColumn id="65" name="Column65" dataDxfId="2072"/>
    <tableColumn id="66" name="Column66" dataDxfId="2073"/>
    <tableColumn id="67" name="Column67" dataDxfId="2074"/>
    <tableColumn id="68" name="Column68" dataDxfId="2075"/>
  </tableColumns>
  <tableStyleInfo name="August 2026 Roster-style" showFirstColumn="1" showLastColumn="1" showRowStripes="1" showColumnStripes="0"/>
</table>
</file>

<file path=xl/tables/table31.xml><?xml version="1.0" encoding="utf-8"?>
<table xmlns="http://schemas.openxmlformats.org/spreadsheetml/2006/main" id="94" name="Table_94" displayName="Table_94" ref="B80:BP95" headerRowCount="0">
  <tableColumns count="67">
    <tableColumn id="1" name="Column1" dataDxfId="2076"/>
    <tableColumn id="2" name="Column2" dataDxfId="2077"/>
    <tableColumn id="3" name="Column3" dataDxfId="2078"/>
    <tableColumn id="4" name="Column4" dataDxfId="2079"/>
    <tableColumn id="5" name="Column5" dataDxfId="2080"/>
    <tableColumn id="6" name="Column6" dataDxfId="2081"/>
    <tableColumn id="7" name="Column7" dataDxfId="2082"/>
    <tableColumn id="8" name="Column8" dataDxfId="2083"/>
    <tableColumn id="9" name="Column9" dataDxfId="2084"/>
    <tableColumn id="10" name="Column10" dataDxfId="2085"/>
    <tableColumn id="11" name="Column11" dataDxfId="2086"/>
    <tableColumn id="12" name="Column12" dataDxfId="2087"/>
    <tableColumn id="13" name="Column13" dataDxfId="2088"/>
    <tableColumn id="14" name="Column14" dataDxfId="2089"/>
    <tableColumn id="15" name="Column15" dataDxfId="2090"/>
    <tableColumn id="16" name="Column16" dataDxfId="2091"/>
    <tableColumn id="17" name="Column17" dataDxfId="2092"/>
    <tableColumn id="18" name="Column18" dataDxfId="2093"/>
    <tableColumn id="19" name="Column19" dataDxfId="2094"/>
    <tableColumn id="20" name="Column20" dataDxfId="2095"/>
    <tableColumn id="21" name="Column21" dataDxfId="2096"/>
    <tableColumn id="22" name="Column22" dataDxfId="2097"/>
    <tableColumn id="23" name="Column23" dataDxfId="2098"/>
    <tableColumn id="24" name="Column24" dataDxfId="2099"/>
    <tableColumn id="25" name="Column25" dataDxfId="2100"/>
    <tableColumn id="26" name="Column26" dataDxfId="2101"/>
    <tableColumn id="27" name="Column27" dataDxfId="2102"/>
    <tableColumn id="28" name="Column28" dataDxfId="2103"/>
    <tableColumn id="29" name="Column29" dataDxfId="2104"/>
    <tableColumn id="30" name="Column30" dataDxfId="2105"/>
    <tableColumn id="31" name="Column31" dataDxfId="2106"/>
    <tableColumn id="32" name="Column32" dataDxfId="2107"/>
    <tableColumn id="33" name="Column33" dataDxfId="2108"/>
    <tableColumn id="34" name="Column34" dataDxfId="2109"/>
    <tableColumn id="35" name="Column35" dataDxfId="2110"/>
    <tableColumn id="36" name="Column36" dataDxfId="2111"/>
    <tableColumn id="37" name="Column37" dataDxfId="2112"/>
    <tableColumn id="38" name="Column38" dataDxfId="2113"/>
    <tableColumn id="39" name="Column39" dataDxfId="2114"/>
    <tableColumn id="40" name="Column40" dataDxfId="2115"/>
    <tableColumn id="41" name="Column41" dataDxfId="2116"/>
    <tableColumn id="42" name="Column42" dataDxfId="2117"/>
    <tableColumn id="43" name="Column43" dataDxfId="2118"/>
    <tableColumn id="44" name="Column44" dataDxfId="2119"/>
    <tableColumn id="45" name="Column45" dataDxfId="2120"/>
    <tableColumn id="46" name="Column46" dataDxfId="2121"/>
    <tableColumn id="47" name="Column47" dataDxfId="2122"/>
    <tableColumn id="48" name="Column48" dataDxfId="2123"/>
    <tableColumn id="49" name="Column49" dataDxfId="2124"/>
    <tableColumn id="50" name="Column50" dataDxfId="2125"/>
    <tableColumn id="51" name="Column51" dataDxfId="2126"/>
    <tableColumn id="52" name="Column52" dataDxfId="2127"/>
    <tableColumn id="53" name="Column53" dataDxfId="2128"/>
    <tableColumn id="54" name="Column54" dataDxfId="2129"/>
    <tableColumn id="55" name="Column55" dataDxfId="2130"/>
    <tableColumn id="56" name="Column56" dataDxfId="2131"/>
    <tableColumn id="57" name="Column57" dataDxfId="2132"/>
    <tableColumn id="58" name="Column58" dataDxfId="2133"/>
    <tableColumn id="59" name="Column59" dataDxfId="2134"/>
    <tableColumn id="60" name="Column60" dataDxfId="2135"/>
    <tableColumn id="61" name="Column61" dataDxfId="2136"/>
    <tableColumn id="62" name="Column62" dataDxfId="2137"/>
    <tableColumn id="63" name="Column63" dataDxfId="2138"/>
    <tableColumn id="64" name="Column64" dataDxfId="2139"/>
    <tableColumn id="65" name="Column65" dataDxfId="2140"/>
    <tableColumn id="66" name="Column66" dataDxfId="2141"/>
    <tableColumn id="67" name="Column67" dataDxfId="2142"/>
  </tableColumns>
  <tableStyleInfo name="August 2026 Roster-style 2" showFirstColumn="1" showLastColumn="1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BP40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C5" sqref="C5"/>
    </sheetView>
  </sheetViews>
  <sheetFormatPr defaultColWidth="12.6285714285714" defaultRowHeight="15.75" customHeight="1"/>
  <cols>
    <col min="1" max="1" width="2.13333333333333" customWidth="1"/>
    <col min="2" max="2" width="29.752380952381" customWidth="1"/>
    <col min="3" max="11" width="9.24761904761905" customWidth="1"/>
    <col min="12" max="12" width="9.38095238095238" customWidth="1"/>
    <col min="13" max="13" width="10.6285714285714" customWidth="1"/>
    <col min="14" max="14" width="9.24761904761905" customWidth="1"/>
    <col min="15" max="15" width="10" customWidth="1"/>
    <col min="16" max="17" width="9.24761904761905" customWidth="1"/>
    <col min="18" max="18" width="9.62857142857143" customWidth="1"/>
    <col min="19" max="19" width="9.13333333333333" customWidth="1"/>
    <col min="20" max="26" width="9.24761904761905" customWidth="1"/>
    <col min="27" max="27" width="10.5047619047619" customWidth="1"/>
    <col min="28" max="30" width="9.24761904761905" customWidth="1"/>
    <col min="31" max="31" width="10.5047619047619" customWidth="1"/>
    <col min="32" max="32" width="9.38095238095238" customWidth="1"/>
    <col min="33" max="33" width="9.24761904761905" customWidth="1"/>
    <col min="34" max="40" width="9.38095238095238" hidden="1" customWidth="1" outlineLevel="1"/>
    <col min="41" max="41" width="6.75238095238095" customWidth="1" collapsed="1"/>
    <col min="42" max="42" width="8.87619047619048" customWidth="1" outlineLevel="1"/>
    <col min="43" max="43" width="7.87619047619048" customWidth="1" outlineLevel="1"/>
    <col min="44" max="44" width="9.13333333333333" customWidth="1" outlineLevel="1"/>
    <col min="45" max="45" width="8.24761904761905" customWidth="1" outlineLevel="1"/>
    <col min="46" max="46" width="5.5047619047619" customWidth="1" outlineLevel="1"/>
    <col min="47" max="49" width="9.38095238095238" customWidth="1"/>
    <col min="50" max="57" width="9.38095238095238" customWidth="1" outlineLevel="1"/>
    <col min="58" max="58" width="10" customWidth="1" outlineLevel="1"/>
    <col min="59" max="64" width="9.38095238095238" customWidth="1" outlineLevel="1"/>
    <col min="65" max="65" width="9.38095238095238" customWidth="1"/>
    <col min="66" max="66" width="9.5047619047619" customWidth="1"/>
    <col min="67" max="68" width="9.38095238095238" customWidth="1"/>
  </cols>
  <sheetData>
    <row r="1" ht="3" customHeight="1" spans="1:68">
      <c r="A1" s="284"/>
      <c r="B1" s="285" t="s">
        <v>0</v>
      </c>
      <c r="C1" s="286" t="str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>
  Enter DM for DM, CS1 for CS1, CS2 for CS2, and SB1 for SB1. Use the 'Setting key' tab to customise. Change Date on highlighted cell
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90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0"/>
      <c r="BE1" s="290"/>
      <c r="BF1" s="290"/>
      <c r="BG1" s="290"/>
      <c r="BH1" s="290"/>
      <c r="BI1" s="290"/>
      <c r="BJ1" s="290"/>
      <c r="BK1" s="290"/>
      <c r="BL1" s="290"/>
      <c r="BM1" s="290"/>
      <c r="BN1" s="290"/>
      <c r="BO1" s="290"/>
      <c r="BP1" s="291"/>
    </row>
    <row r="2" ht="26.25" customHeight="1" spans="1:68">
      <c r="A2" s="292"/>
      <c r="B2" s="24" t="s">
        <v>1</v>
      </c>
      <c r="C2" s="167"/>
      <c r="D2" s="167"/>
      <c r="E2" s="167"/>
      <c r="F2" s="167"/>
      <c r="G2" s="401"/>
      <c r="I2" s="167" t="s">
        <v>2</v>
      </c>
      <c r="J2" s="167"/>
      <c r="L2" s="167"/>
      <c r="M2" s="167" t="s">
        <v>3</v>
      </c>
      <c r="N2" s="167" t="s">
        <v>4</v>
      </c>
      <c r="O2" s="167" t="s">
        <v>5</v>
      </c>
      <c r="P2" s="167" t="s">
        <v>6</v>
      </c>
      <c r="Q2" s="167" t="s">
        <v>7</v>
      </c>
      <c r="R2" s="167"/>
      <c r="S2" s="167"/>
      <c r="T2" s="167" t="s">
        <v>8</v>
      </c>
      <c r="U2" s="167" t="s">
        <v>9</v>
      </c>
      <c r="V2" s="167" t="s">
        <v>10</v>
      </c>
      <c r="W2" s="167" t="s">
        <v>11</v>
      </c>
      <c r="X2" s="167" t="s">
        <v>12</v>
      </c>
      <c r="Y2" s="167"/>
      <c r="Z2" s="167"/>
      <c r="AA2" s="294" t="s">
        <v>13</v>
      </c>
      <c r="AB2" s="167" t="s">
        <v>14</v>
      </c>
      <c r="AC2" s="167"/>
      <c r="AD2" s="167"/>
      <c r="AE2" s="167" t="s">
        <v>15</v>
      </c>
      <c r="AF2" s="167"/>
      <c r="AG2" s="167"/>
      <c r="AH2" s="218"/>
      <c r="AI2" s="218"/>
      <c r="AJ2" s="218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  <c r="AX2" s="295"/>
      <c r="AY2" s="295"/>
      <c r="AZ2" s="296" t="s">
        <v>16</v>
      </c>
      <c r="BA2" s="296"/>
      <c r="BB2" s="296" t="s">
        <v>17</v>
      </c>
      <c r="BC2" s="296"/>
      <c r="BD2" s="296" t="s">
        <v>18</v>
      </c>
      <c r="BE2" s="296"/>
      <c r="BF2" s="296"/>
      <c r="BG2" s="296" t="s">
        <v>19</v>
      </c>
      <c r="BH2" s="296"/>
      <c r="BI2" s="296" t="s">
        <v>20</v>
      </c>
      <c r="BJ2" s="296"/>
      <c r="BK2" s="296"/>
      <c r="BL2" s="296"/>
      <c r="BM2" s="295"/>
      <c r="BN2" s="295"/>
      <c r="BO2" s="295"/>
      <c r="BP2" s="297"/>
    </row>
    <row r="3" ht="26.25" customHeight="1" spans="1:68">
      <c r="A3" s="292"/>
      <c r="B3" s="24" t="s">
        <v>21</v>
      </c>
      <c r="C3" s="388">
        <v>45597</v>
      </c>
      <c r="D3" s="299">
        <f t="shared" ref="D3:AG3" si="0">C3+1</f>
        <v>45598</v>
      </c>
      <c r="E3" s="299">
        <f t="shared" si="0"/>
        <v>45599</v>
      </c>
      <c r="F3" s="299">
        <f t="shared" si="0"/>
        <v>45600</v>
      </c>
      <c r="G3" s="299">
        <f t="shared" si="0"/>
        <v>45601</v>
      </c>
      <c r="H3" s="299">
        <f t="shared" si="0"/>
        <v>45602</v>
      </c>
      <c r="I3" s="299">
        <f t="shared" si="0"/>
        <v>45603</v>
      </c>
      <c r="J3" s="299">
        <f t="shared" si="0"/>
        <v>45604</v>
      </c>
      <c r="K3" s="299">
        <f t="shared" si="0"/>
        <v>45605</v>
      </c>
      <c r="L3" s="299">
        <f t="shared" si="0"/>
        <v>45606</v>
      </c>
      <c r="M3" s="299">
        <f t="shared" si="0"/>
        <v>45607</v>
      </c>
      <c r="N3" s="299">
        <f t="shared" si="0"/>
        <v>45608</v>
      </c>
      <c r="O3" s="299">
        <f t="shared" si="0"/>
        <v>45609</v>
      </c>
      <c r="P3" s="299">
        <f t="shared" si="0"/>
        <v>45610</v>
      </c>
      <c r="Q3" s="299">
        <f t="shared" si="0"/>
        <v>45611</v>
      </c>
      <c r="R3" s="299">
        <f t="shared" si="0"/>
        <v>45612</v>
      </c>
      <c r="S3" s="299">
        <f t="shared" si="0"/>
        <v>45613</v>
      </c>
      <c r="T3" s="299">
        <f t="shared" si="0"/>
        <v>45614</v>
      </c>
      <c r="U3" s="299">
        <f t="shared" si="0"/>
        <v>45615</v>
      </c>
      <c r="V3" s="299">
        <f t="shared" si="0"/>
        <v>45616</v>
      </c>
      <c r="W3" s="299">
        <f t="shared" si="0"/>
        <v>45617</v>
      </c>
      <c r="X3" s="299">
        <f t="shared" si="0"/>
        <v>45618</v>
      </c>
      <c r="Y3" s="299">
        <f t="shared" si="0"/>
        <v>45619</v>
      </c>
      <c r="Z3" s="299">
        <f t="shared" si="0"/>
        <v>45620</v>
      </c>
      <c r="AA3" s="299">
        <f t="shared" si="0"/>
        <v>45621</v>
      </c>
      <c r="AB3" s="299">
        <f t="shared" si="0"/>
        <v>45622</v>
      </c>
      <c r="AC3" s="299">
        <f t="shared" si="0"/>
        <v>45623</v>
      </c>
      <c r="AD3" s="299">
        <f t="shared" si="0"/>
        <v>45624</v>
      </c>
      <c r="AE3" s="299">
        <f t="shared" si="0"/>
        <v>45625</v>
      </c>
      <c r="AF3" s="299">
        <f t="shared" si="0"/>
        <v>45626</v>
      </c>
      <c r="AG3" s="299">
        <f t="shared" si="0"/>
        <v>45627</v>
      </c>
      <c r="AH3" s="221" t="str">
        <f>'Setting key Duty'!$C7</f>
        <v>DM</v>
      </c>
      <c r="AI3" s="222" t="str">
        <f>'Setting key Duty'!$C8</f>
        <v>CS1</v>
      </c>
      <c r="AJ3" s="223" t="str">
        <f>'Setting key Duty'!$C9</f>
        <v>CS2</v>
      </c>
      <c r="AK3" s="302" t="str">
        <f>'Setting key Duty'!$C11</f>
        <v>SB1</v>
      </c>
      <c r="AL3" s="302" t="str">
        <f>'Setting key Duty'!$C12</f>
        <v>SB2</v>
      </c>
      <c r="AM3" s="302" t="str">
        <f>'Setting key Duty'!$C13</f>
        <v>AE</v>
      </c>
      <c r="AN3" s="302" t="str">
        <f>'Setting key Duty'!C14</f>
        <v>EM</v>
      </c>
      <c r="AO3" s="223"/>
      <c r="AP3" s="223" t="s">
        <v>22</v>
      </c>
      <c r="AQ3" s="223" t="s">
        <v>23</v>
      </c>
      <c r="AR3" s="223" t="s">
        <v>24</v>
      </c>
      <c r="AS3" s="223" t="s">
        <v>25</v>
      </c>
      <c r="AT3" s="223" t="s">
        <v>26</v>
      </c>
      <c r="AU3" s="223" t="s">
        <v>27</v>
      </c>
      <c r="AV3" s="223" t="s">
        <v>28</v>
      </c>
      <c r="AW3" s="223" t="s">
        <v>29</v>
      </c>
      <c r="AX3" s="223" t="s">
        <v>30</v>
      </c>
      <c r="AY3" s="223" t="s">
        <v>31</v>
      </c>
      <c r="AZ3" s="302" t="s">
        <v>32</v>
      </c>
      <c r="BA3" s="302" t="s">
        <v>33</v>
      </c>
      <c r="BB3" s="302" t="s">
        <v>34</v>
      </c>
      <c r="BC3" s="302" t="s">
        <v>35</v>
      </c>
      <c r="BD3" s="302" t="s">
        <v>36</v>
      </c>
      <c r="BE3" s="302" t="s">
        <v>37</v>
      </c>
      <c r="BF3" s="302" t="s">
        <v>38</v>
      </c>
      <c r="BG3" s="302" t="s">
        <v>39</v>
      </c>
      <c r="BH3" s="302" t="s">
        <v>40</v>
      </c>
      <c r="BI3" s="302" t="s">
        <v>41</v>
      </c>
      <c r="BJ3" s="302" t="s">
        <v>42</v>
      </c>
      <c r="BK3" s="302" t="str">
        <f>'Setting key Duty'!C52</f>
        <v>Field Camp</v>
      </c>
      <c r="BL3" s="302" t="s">
        <v>43</v>
      </c>
      <c r="BM3" s="302" t="str">
        <f>'Setting key Duty'!$C15</f>
        <v>Block</v>
      </c>
      <c r="BN3" s="302" t="str">
        <f>'Setting key Duty'!C17</f>
        <v>Reserve</v>
      </c>
      <c r="BO3" s="302" t="str">
        <f>'Setting key Duty'!$C22</f>
        <v>AL</v>
      </c>
      <c r="BP3" s="297"/>
    </row>
    <row r="4" ht="18" customHeight="1" spans="1:68">
      <c r="A4" s="303"/>
      <c r="B4" s="260" t="s">
        <v>44</v>
      </c>
      <c r="C4" s="305" t="str">
        <f t="shared" ref="C4:AG4" si="1">TEXT(C3,"ddd")</f>
        <v>Fri</v>
      </c>
      <c r="D4" s="305" t="str">
        <f t="shared" si="1"/>
        <v>Sat</v>
      </c>
      <c r="E4" s="305" t="str">
        <f t="shared" si="1"/>
        <v>Sun</v>
      </c>
      <c r="F4" s="305" t="str">
        <f t="shared" si="1"/>
        <v>Mon</v>
      </c>
      <c r="G4" s="305" t="str">
        <f t="shared" si="1"/>
        <v>Tue</v>
      </c>
      <c r="H4" s="305" t="str">
        <f t="shared" si="1"/>
        <v>Wed</v>
      </c>
      <c r="I4" s="305" t="str">
        <f t="shared" si="1"/>
        <v>Thu</v>
      </c>
      <c r="J4" s="305" t="str">
        <f t="shared" si="1"/>
        <v>Fri</v>
      </c>
      <c r="K4" s="305" t="str">
        <f t="shared" si="1"/>
        <v>Sat</v>
      </c>
      <c r="L4" s="305" t="str">
        <f t="shared" si="1"/>
        <v>Sun</v>
      </c>
      <c r="M4" s="305" t="str">
        <f t="shared" si="1"/>
        <v>Mon</v>
      </c>
      <c r="N4" s="305" t="str">
        <f t="shared" si="1"/>
        <v>Tue</v>
      </c>
      <c r="O4" s="305" t="str">
        <f t="shared" si="1"/>
        <v>Wed</v>
      </c>
      <c r="P4" s="305" t="str">
        <f t="shared" si="1"/>
        <v>Thu</v>
      </c>
      <c r="Q4" s="305" t="str">
        <f t="shared" si="1"/>
        <v>Fri</v>
      </c>
      <c r="R4" s="305" t="str">
        <f t="shared" si="1"/>
        <v>Sat</v>
      </c>
      <c r="S4" s="305" t="str">
        <f t="shared" si="1"/>
        <v>Sun</v>
      </c>
      <c r="T4" s="305" t="str">
        <f t="shared" si="1"/>
        <v>Mon</v>
      </c>
      <c r="U4" s="305" t="str">
        <f t="shared" si="1"/>
        <v>Tue</v>
      </c>
      <c r="V4" s="305" t="str">
        <f t="shared" si="1"/>
        <v>Wed</v>
      </c>
      <c r="W4" s="305" t="str">
        <f t="shared" si="1"/>
        <v>Thu</v>
      </c>
      <c r="X4" s="305" t="str">
        <f t="shared" si="1"/>
        <v>Fri</v>
      </c>
      <c r="Y4" s="305" t="str">
        <f t="shared" si="1"/>
        <v>Sat</v>
      </c>
      <c r="Z4" s="305" t="str">
        <f t="shared" si="1"/>
        <v>Sun</v>
      </c>
      <c r="AA4" s="305" t="str">
        <f t="shared" si="1"/>
        <v>Mon</v>
      </c>
      <c r="AB4" s="305" t="str">
        <f t="shared" si="1"/>
        <v>Tue</v>
      </c>
      <c r="AC4" s="305" t="str">
        <f t="shared" si="1"/>
        <v>Wed</v>
      </c>
      <c r="AD4" s="305" t="str">
        <f t="shared" si="1"/>
        <v>Thu</v>
      </c>
      <c r="AE4" s="305" t="str">
        <f t="shared" si="1"/>
        <v>Fri</v>
      </c>
      <c r="AF4" s="305" t="str">
        <f t="shared" si="1"/>
        <v>Sat</v>
      </c>
      <c r="AG4" s="305" t="str">
        <f t="shared" si="1"/>
        <v>Sun</v>
      </c>
      <c r="AH4" s="227" t="str">
        <f>'Setting key Duty'!$B7</f>
        <v>DM</v>
      </c>
      <c r="AI4" s="228" t="str">
        <f>'Setting key Duty'!$B8</f>
        <v>CS1</v>
      </c>
      <c r="AJ4" s="229" t="str">
        <f>'Setting key Duty'!$B9</f>
        <v>CS2</v>
      </c>
      <c r="AK4" s="307" t="str">
        <f>'Setting key Duty'!$B11</f>
        <v>SB1</v>
      </c>
      <c r="AL4" s="307" t="str">
        <f>'Setting key Duty'!$B12</f>
        <v>SB2</v>
      </c>
      <c r="AM4" s="307" t="str">
        <f>'Setting key Duty'!$B13</f>
        <v>AE</v>
      </c>
      <c r="AN4" s="307" t="str">
        <f>'Setting key Duty'!B14</f>
        <v>EM</v>
      </c>
      <c r="AO4" s="307"/>
      <c r="AP4" s="307"/>
      <c r="AQ4" s="307"/>
      <c r="AR4" s="307"/>
      <c r="AS4" s="307"/>
      <c r="AT4" s="307"/>
      <c r="AU4" s="307"/>
      <c r="AV4" s="307"/>
      <c r="AW4" s="307"/>
      <c r="AX4" s="307"/>
      <c r="AY4" s="307" t="s">
        <v>45</v>
      </c>
      <c r="AZ4" s="307" t="s">
        <v>46</v>
      </c>
      <c r="BA4" s="307"/>
      <c r="BB4" s="307" t="s">
        <v>47</v>
      </c>
      <c r="BC4" s="307"/>
      <c r="BD4" s="307" t="s">
        <v>48</v>
      </c>
      <c r="BE4" s="307"/>
      <c r="BF4" s="307" t="s">
        <v>49</v>
      </c>
      <c r="BG4" s="307" t="s">
        <v>50</v>
      </c>
      <c r="BH4" s="307"/>
      <c r="BI4" s="307" t="s">
        <v>51</v>
      </c>
      <c r="BJ4" s="307"/>
      <c r="BK4" s="307" t="str">
        <f>'Setting key Duty'!B52</f>
        <v>$FC</v>
      </c>
      <c r="BL4" s="307"/>
      <c r="BM4" s="307">
        <f>'Setting key Duty'!$B15</f>
        <v>0</v>
      </c>
      <c r="BN4" s="307" t="str">
        <f>'Setting key Duty'!B17</f>
        <v>RESERVE</v>
      </c>
      <c r="BO4" s="307" t="str">
        <f>'Setting key Duty'!$B22</f>
        <v>AL</v>
      </c>
      <c r="BP4" s="308"/>
    </row>
    <row r="5" ht="19.5" customHeight="1" spans="1:68">
      <c r="A5" s="309" t="s">
        <v>52</v>
      </c>
      <c r="B5" s="332" t="s">
        <v>53</v>
      </c>
      <c r="C5" s="197" t="s">
        <v>54</v>
      </c>
      <c r="D5" s="197" t="s">
        <v>55</v>
      </c>
      <c r="E5" s="197" t="s">
        <v>55</v>
      </c>
      <c r="F5" s="106"/>
      <c r="G5" s="106"/>
      <c r="H5" s="197" t="s">
        <v>56</v>
      </c>
      <c r="I5" s="197"/>
      <c r="J5" s="106"/>
      <c r="K5" s="197" t="s">
        <v>57</v>
      </c>
      <c r="L5" s="106"/>
      <c r="M5" s="197" t="s">
        <v>56</v>
      </c>
      <c r="N5" s="197"/>
      <c r="O5" s="197" t="s">
        <v>58</v>
      </c>
      <c r="P5" s="106"/>
      <c r="Q5" s="197" t="s">
        <v>55</v>
      </c>
      <c r="R5" s="197"/>
      <c r="S5" s="197"/>
      <c r="T5" s="197" t="s">
        <v>59</v>
      </c>
      <c r="U5" s="197" t="s">
        <v>55</v>
      </c>
      <c r="V5" s="197" t="s">
        <v>59</v>
      </c>
      <c r="W5" s="197"/>
      <c r="X5" s="197" t="s">
        <v>56</v>
      </c>
      <c r="Y5" s="198"/>
      <c r="Z5" s="106"/>
      <c r="AA5" s="106"/>
      <c r="AD5" s="197" t="s">
        <v>57</v>
      </c>
      <c r="AE5" s="197"/>
      <c r="AF5" s="197" t="s">
        <v>57</v>
      </c>
      <c r="AG5" s="197"/>
      <c r="AH5" s="311">
        <f t="shared" ref="AH5:AN5" si="2">COUNTIF($C5:$AE5,AH$4)</f>
        <v>2</v>
      </c>
      <c r="AI5" s="312">
        <f t="shared" si="2"/>
        <v>3</v>
      </c>
      <c r="AJ5" s="311">
        <f t="shared" si="2"/>
        <v>2</v>
      </c>
      <c r="AK5" s="313">
        <f t="shared" si="2"/>
        <v>1</v>
      </c>
      <c r="AL5" s="313">
        <f t="shared" si="2"/>
        <v>0</v>
      </c>
      <c r="AM5" s="313">
        <f t="shared" si="2"/>
        <v>0</v>
      </c>
      <c r="AN5" s="313">
        <f t="shared" si="2"/>
        <v>0</v>
      </c>
      <c r="AO5" s="238"/>
      <c r="AP5" s="313">
        <f t="shared" ref="AP5:AP33" si="3">SUMPRODUCT(--WEEKDAY(C$3:AG$3,2)&lt;6,--((C5:AG5="DM"))+(C5:AG5="CS1")+((C5:AG5="CS2"))+(C5:AG5="SB1")+(C5:AG5="AE")+(C5:AG5="EM"))</f>
        <v>0</v>
      </c>
      <c r="AQ5" s="238"/>
      <c r="AR5" s="238">
        <f t="shared" ref="AR5:AR34" si="4">SUMPRODUCT(--WEEKDAY(C$3:AG$3,2)&gt;5,--((C5:AG5="DM"))+(C5:AG5="CS1")+((C5:AG5="CS2"))+(C5:AG5="SB1")+(C5:AG5="AE")+(C5:AG5="EM"))</f>
        <v>0</v>
      </c>
      <c r="AS5" s="238"/>
      <c r="AT5" s="238">
        <f>(AP5-AQ5)/2+(AR5-AS5)</f>
        <v>0</v>
      </c>
      <c r="AU5" s="238">
        <f>AH5+AI5+AJ5+AK5+AM5+AN5</f>
        <v>8</v>
      </c>
      <c r="AV5" s="238">
        <f>BF5+BG5+BI5+BD5+BB5+AZ5+BK5</f>
        <v>0</v>
      </c>
      <c r="AW5" s="238" t="e">
        <f>AT5+AX5</f>
        <v>#VALUE!</v>
      </c>
      <c r="AX5" s="313" t="e">
        <f>(BI5*('Setting key Duty'!$I$8+'Setting key Duty'!$I$12))+(BG5*'Setting key Duty'!$I$9)+(BB5*('Setting key Duty'!$I$13+'Setting key Duty'!$I$9))+(AZ5*('Setting key Duty'!$I$13+'Setting key Duty'!$I$12+'Setting key Duty'!$I$11))+(BD5*('Setting key Duty'!$I$8+'Setting key Duty'!$I$9+'Setting key Duty'!$I$12))</f>
        <v>#VALUE!</v>
      </c>
      <c r="AY5" s="313">
        <f>COUNTIF(C5:AE5,"*BRT*")</f>
        <v>0</v>
      </c>
      <c r="AZ5" s="313">
        <f>COUNTIF(A5:AH5,"*$BTP*")</f>
        <v>0</v>
      </c>
      <c r="BA5" s="313" t="e">
        <f>AZ5*('Setting key Duty'!$I$13+'Setting key Duty'!$I$12+'Setting key Duty'!$I$11)</f>
        <v>#VALUE!</v>
      </c>
      <c r="BB5" s="313">
        <f>COUNTIF(A5:AH5,"*$L*")</f>
        <v>0</v>
      </c>
      <c r="BC5" s="313" t="e">
        <f>BB5*('Setting key Duty'!$I$13+'Setting key Duty'!$I$9)</f>
        <v>#VALUE!</v>
      </c>
      <c r="BD5" s="313">
        <f>COUNTIF(A5:AH5,"*$M*")</f>
        <v>0</v>
      </c>
      <c r="BE5" s="313">
        <f>BD5*('Setting key Duty'!$I$8+'Setting key Duty'!$I$9+'Setting key Duty'!$I$12)</f>
        <v>0</v>
      </c>
      <c r="BF5" s="313">
        <f>COUNTIF(AF5:AH5,"*$N*")</f>
        <v>0</v>
      </c>
      <c r="BG5" s="313">
        <f>COUNTIF(AF5:AH5,"*$PM*")</f>
        <v>0</v>
      </c>
      <c r="BH5" s="313">
        <f>BG5*('Setting key Duty'!$I$9)</f>
        <v>0</v>
      </c>
      <c r="BI5" s="313">
        <f>COUNTIF(A5:AH5,"*$AM*")</f>
        <v>0</v>
      </c>
      <c r="BJ5" s="313">
        <f>BI5*('Setting key Duty'!$I$12+'Setting key Duty'!$I$8)</f>
        <v>0</v>
      </c>
      <c r="BK5" s="313">
        <f>COUNTIF(C5:AH5,"*$FC*")</f>
        <v>0</v>
      </c>
      <c r="BL5" s="313">
        <f>BK5*('Setting key Duty'!$J$11+'Setting key Duty'!$I$8)</f>
        <v>0</v>
      </c>
      <c r="BM5" s="313">
        <f>COUNTIF($C5:$AE5,BM$4)</f>
        <v>0</v>
      </c>
      <c r="BN5" s="313">
        <f>COUNTIF($C5:$AE5,BN$4)</f>
        <v>0</v>
      </c>
      <c r="BO5" s="313">
        <f>COUNTIF($C5:$AE5,BO$4)</f>
        <v>4</v>
      </c>
      <c r="BP5" s="314"/>
    </row>
    <row r="6" ht="36" customHeight="1" spans="1:68">
      <c r="A6" s="309"/>
      <c r="B6" s="375" t="s">
        <v>60</v>
      </c>
      <c r="C6" s="197"/>
      <c r="E6" s="197" t="s">
        <v>58</v>
      </c>
      <c r="F6" s="197"/>
      <c r="G6" s="106"/>
      <c r="H6" s="197" t="s">
        <v>58</v>
      </c>
      <c r="I6" s="106"/>
      <c r="J6" s="197" t="s">
        <v>56</v>
      </c>
      <c r="K6" s="197"/>
      <c r="L6" s="197"/>
      <c r="M6" s="197"/>
      <c r="N6" s="197"/>
      <c r="O6" s="197" t="s">
        <v>61</v>
      </c>
      <c r="P6" s="197"/>
      <c r="Q6" s="106"/>
      <c r="R6" s="106"/>
      <c r="S6" s="197" t="s">
        <v>59</v>
      </c>
      <c r="T6" s="197"/>
      <c r="U6" s="197" t="s">
        <v>59</v>
      </c>
      <c r="V6" s="106"/>
      <c r="W6" s="197" t="s">
        <v>56</v>
      </c>
      <c r="Y6" s="197"/>
      <c r="Z6" s="198"/>
      <c r="AA6" s="197" t="s">
        <v>59</v>
      </c>
      <c r="AD6" s="197" t="s">
        <v>55</v>
      </c>
      <c r="AE6" s="197" t="s">
        <v>55</v>
      </c>
      <c r="AF6" s="197" t="s">
        <v>55</v>
      </c>
      <c r="AG6" s="197" t="s">
        <v>55</v>
      </c>
      <c r="AH6" s="311">
        <f t="shared" ref="AH6:AN6" si="5">COUNTIF($C6:$AE6,AH$4)</f>
        <v>0</v>
      </c>
      <c r="AI6" s="312">
        <f t="shared" si="5"/>
        <v>2</v>
      </c>
      <c r="AJ6" s="311">
        <f t="shared" si="5"/>
        <v>3</v>
      </c>
      <c r="AK6" s="313">
        <f t="shared" si="5"/>
        <v>2</v>
      </c>
      <c r="AL6" s="313">
        <f t="shared" si="5"/>
        <v>0</v>
      </c>
      <c r="AM6" s="313">
        <f t="shared" si="5"/>
        <v>0</v>
      </c>
      <c r="AN6" s="313">
        <f t="shared" si="5"/>
        <v>0</v>
      </c>
      <c r="AO6" s="238"/>
      <c r="AP6" s="313">
        <f t="shared" si="3"/>
        <v>0</v>
      </c>
      <c r="AQ6" s="238"/>
      <c r="AR6" s="238">
        <f t="shared" si="4"/>
        <v>0</v>
      </c>
      <c r="AS6" s="238"/>
      <c r="AT6" s="238">
        <f>(AP6-AQ6)/2+(AR6-AS6)</f>
        <v>0</v>
      </c>
      <c r="AU6" s="238">
        <f>AH6+AI6+AJ6+AK6+AM6+AN6</f>
        <v>7</v>
      </c>
      <c r="AV6" s="238" t="e">
        <f>AT6+AX6</f>
        <v>#VALUE!</v>
      </c>
      <c r="AW6" s="238" t="e">
        <f>AT6+AX6</f>
        <v>#VALUE!</v>
      </c>
      <c r="AX6" s="313" t="e">
        <f>(BI6*('Setting key Duty'!$I$8+'Setting key Duty'!$I$12))+(BG6*'Setting key Duty'!$I$9)+(BB6*('Setting key Duty'!$I$13+'Setting key Duty'!$I$9))+(AZ6*('Setting key Duty'!$I$13+'Setting key Duty'!$I$12+'Setting key Duty'!$I$11))+(BD6*('Setting key Duty'!$I$8+'Setting key Duty'!$I$9+'Setting key Duty'!$I$12))</f>
        <v>#VALUE!</v>
      </c>
      <c r="AY6" s="313">
        <f>COUNTIF(C6:AE6,"*BRT*")</f>
        <v>0</v>
      </c>
      <c r="AZ6" s="313">
        <f>COUNTIF(A6:AH6,"*$BTP*")</f>
        <v>0</v>
      </c>
      <c r="BA6" s="313" t="e">
        <f>AZ6*('Setting key Duty'!$I$13+'Setting key Duty'!$I$12+'Setting key Duty'!$I$11)</f>
        <v>#VALUE!</v>
      </c>
      <c r="BB6" s="313">
        <f>COUNTIF(A6:AH6,"*$L*")</f>
        <v>0</v>
      </c>
      <c r="BC6" s="313" t="e">
        <f>BB6*('Setting key Duty'!$I$13+'Setting key Duty'!$I$9)</f>
        <v>#VALUE!</v>
      </c>
      <c r="BD6" s="313">
        <f>COUNTIF(A6:AH6,"*$M*")</f>
        <v>0</v>
      </c>
      <c r="BE6" s="313">
        <f>BD6*('Setting key Duty'!$I$8+'Setting key Duty'!$I$9+'Setting key Duty'!$I$12)</f>
        <v>0</v>
      </c>
      <c r="BF6" s="313">
        <f>COUNTIF(AF6:AH6,"*$N*")</f>
        <v>0</v>
      </c>
      <c r="BG6" s="313">
        <f>COUNTIF(AF6:AH6,"*$PM*")</f>
        <v>0</v>
      </c>
      <c r="BH6" s="313">
        <f>BG6*('Setting key Duty'!$I$9)</f>
        <v>0</v>
      </c>
      <c r="BI6" s="313">
        <f>COUNTIF(A6:AH6,"*$AM*")</f>
        <v>0</v>
      </c>
      <c r="BJ6" s="313">
        <f>BI6*('Setting key Duty'!$I$12+'Setting key Duty'!$I$8)</f>
        <v>0</v>
      </c>
      <c r="BK6" s="313">
        <f>COUNTIF(C6:AH6,"*$FC*")</f>
        <v>0</v>
      </c>
      <c r="BL6" s="313">
        <f>BK6*('Setting key Duty'!$J$11+'Setting key Duty'!$I$8)</f>
        <v>0</v>
      </c>
      <c r="BM6" s="313">
        <f>COUNTIF($C6:$AE6,BM$4)</f>
        <v>0</v>
      </c>
      <c r="BN6" s="313">
        <f>COUNTIF($C6:$AE6,BN$4)</f>
        <v>0</v>
      </c>
      <c r="BO6" s="313">
        <f>COUNTIF($C6:$AE6,BO$4)</f>
        <v>2</v>
      </c>
      <c r="BP6" s="314"/>
    </row>
    <row r="7" ht="19.5" customHeight="1" spans="1:68">
      <c r="A7" s="309"/>
      <c r="B7" s="334" t="s">
        <v>62</v>
      </c>
      <c r="C7" s="197" t="s">
        <v>58</v>
      </c>
      <c r="D7" s="197"/>
      <c r="E7" s="197"/>
      <c r="F7" s="106"/>
      <c r="G7" s="317" t="s">
        <v>59</v>
      </c>
      <c r="H7" s="106"/>
      <c r="I7" s="197" t="s">
        <v>56</v>
      </c>
      <c r="J7" s="197"/>
      <c r="K7" s="197"/>
      <c r="L7" s="197" t="s">
        <v>57</v>
      </c>
      <c r="M7" s="106"/>
      <c r="N7" s="197"/>
      <c r="O7" s="197" t="s">
        <v>61</v>
      </c>
      <c r="P7" s="197" t="s">
        <v>59</v>
      </c>
      <c r="Q7" s="106"/>
      <c r="R7" s="197"/>
      <c r="S7" s="197"/>
      <c r="T7" s="197"/>
      <c r="U7" s="197"/>
      <c r="V7" s="197" t="s">
        <v>56</v>
      </c>
      <c r="W7" s="106"/>
      <c r="X7" s="106"/>
      <c r="Y7" s="197"/>
      <c r="Z7" s="197" t="s">
        <v>57</v>
      </c>
      <c r="AA7" s="197"/>
      <c r="AB7" s="106"/>
      <c r="AC7" s="106"/>
      <c r="AD7" s="197"/>
      <c r="AE7" s="197"/>
      <c r="AF7" s="197"/>
      <c r="AG7" s="197" t="s">
        <v>57</v>
      </c>
      <c r="AH7" s="311">
        <f t="shared" ref="AH7:AN7" si="6">COUNTIF($C7:$D7,AH$4)</f>
        <v>0</v>
      </c>
      <c r="AI7" s="312">
        <f t="shared" si="6"/>
        <v>0</v>
      </c>
      <c r="AJ7" s="311">
        <f t="shared" si="6"/>
        <v>0</v>
      </c>
      <c r="AK7" s="313">
        <f t="shared" si="6"/>
        <v>1</v>
      </c>
      <c r="AL7" s="313">
        <f t="shared" si="6"/>
        <v>0</v>
      </c>
      <c r="AM7" s="313">
        <f t="shared" si="6"/>
        <v>0</v>
      </c>
      <c r="AN7" s="313">
        <f t="shared" si="6"/>
        <v>0</v>
      </c>
      <c r="AO7" s="238"/>
      <c r="AP7" s="313">
        <f t="shared" si="3"/>
        <v>0</v>
      </c>
      <c r="AQ7" s="238"/>
      <c r="AR7" s="238">
        <f t="shared" si="4"/>
        <v>0</v>
      </c>
      <c r="AS7" s="238"/>
      <c r="AT7" s="238">
        <f>(AP7-AQ7)/2+(AR7-AS7)</f>
        <v>0</v>
      </c>
      <c r="AU7" s="238">
        <f>AH7+AI7+AJ7+AK7+AM7+AN7</f>
        <v>1</v>
      </c>
      <c r="AV7" s="238">
        <f>BF7+BG7+BI7+BD7+BB7+AZ7+BK7</f>
        <v>0</v>
      </c>
      <c r="AW7" s="238" t="e">
        <f>AT7+AX7</f>
        <v>#VALUE!</v>
      </c>
      <c r="AX7" s="313" t="e">
        <f>(BI7*('Setting key Duty'!$I$8+'Setting key Duty'!$I$12))+(BG7*'Setting key Duty'!$I$9)+(BB7*('Setting key Duty'!$I$13+'Setting key Duty'!$I$9))+(AZ7*('Setting key Duty'!$I$13+'Setting key Duty'!$I$12+'Setting key Duty'!$I$11))+(BD7*('Setting key Duty'!$I$8+'Setting key Duty'!$I$9+'Setting key Duty'!$I$12))</f>
        <v>#VALUE!</v>
      </c>
      <c r="AY7" s="313">
        <f>COUNTIF(C7:D7,"*BRT*")</f>
        <v>0</v>
      </c>
      <c r="AZ7" s="313">
        <f>COUNTIF(A7:AH7,"*$BTP*")</f>
        <v>0</v>
      </c>
      <c r="BA7" s="313" t="e">
        <f>AZ7*('Setting key Duty'!$I$13+'Setting key Duty'!$I$12+'Setting key Duty'!$I$11)</f>
        <v>#VALUE!</v>
      </c>
      <c r="BB7" s="313">
        <f>COUNTIF(A7:AH7,"*$L*")</f>
        <v>0</v>
      </c>
      <c r="BC7" s="313" t="e">
        <f>BB7*('Setting key Duty'!$I$13+'Setting key Duty'!$I$9)</f>
        <v>#VALUE!</v>
      </c>
      <c r="BD7" s="313">
        <f>COUNTIF(A7:AH7,"*$M*")</f>
        <v>0</v>
      </c>
      <c r="BE7" s="313">
        <f>BD7*('Setting key Duty'!$I$8+'Setting key Duty'!$I$9+'Setting key Duty'!$I$12)</f>
        <v>0</v>
      </c>
      <c r="BF7" s="313">
        <f>COUNTIF(A7:AH7,"*$N*")</f>
        <v>0</v>
      </c>
      <c r="BG7" s="313">
        <f>COUNTIF(AG7:AH7,"*$PM*")</f>
        <v>0</v>
      </c>
      <c r="BH7" s="313">
        <f>BG7*('Setting key Duty'!$I$9)</f>
        <v>0</v>
      </c>
      <c r="BI7" s="313">
        <f>COUNTIF(A7:AH7,"*$AM*")</f>
        <v>0</v>
      </c>
      <c r="BJ7" s="313">
        <f>BI7*('Setting key Duty'!$I$12+'Setting key Duty'!$I$8)</f>
        <v>0</v>
      </c>
      <c r="BK7" s="313">
        <f>COUNTIF(C7:AH7,"*$FC*")</f>
        <v>0</v>
      </c>
      <c r="BL7" s="313">
        <f>BK7*('Setting key Duty'!$J$11+'Setting key Duty'!$I$8)</f>
        <v>0</v>
      </c>
      <c r="BM7" s="313">
        <f>COUNTIF($C7:$D7,BM$4)</f>
        <v>0</v>
      </c>
      <c r="BN7" s="313">
        <f>COUNTIF($C7:$D7,BN$4)</f>
        <v>0</v>
      </c>
      <c r="BO7" s="313">
        <f>COUNTIF($C7:$D7,BO$4)</f>
        <v>0</v>
      </c>
      <c r="BP7" s="314"/>
    </row>
    <row r="8" ht="19.5" customHeight="1" spans="1:68">
      <c r="A8" s="309"/>
      <c r="B8" s="334" t="s">
        <v>63</v>
      </c>
      <c r="C8" s="197"/>
      <c r="D8" s="197"/>
      <c r="F8" s="197"/>
      <c r="G8" s="106"/>
      <c r="H8" s="106"/>
      <c r="I8" s="197"/>
      <c r="J8" s="197"/>
      <c r="K8" s="197"/>
      <c r="M8" s="197"/>
      <c r="N8" s="197"/>
      <c r="O8" s="197"/>
      <c r="P8" s="197"/>
      <c r="Q8" s="197"/>
      <c r="R8" s="197"/>
      <c r="S8" s="106"/>
      <c r="T8" s="197"/>
      <c r="U8" s="106"/>
      <c r="V8" s="197" t="s">
        <v>58</v>
      </c>
      <c r="X8" s="197"/>
      <c r="AA8" s="197" t="s">
        <v>57</v>
      </c>
      <c r="AB8" s="198"/>
      <c r="AC8" s="197" t="s">
        <v>58</v>
      </c>
      <c r="AD8" s="197"/>
      <c r="AE8" s="197"/>
      <c r="AG8" s="197" t="s">
        <v>56</v>
      </c>
      <c r="AH8" s="311"/>
      <c r="AI8" s="312"/>
      <c r="AJ8" s="311"/>
      <c r="AK8" s="313"/>
      <c r="AL8" s="313"/>
      <c r="AM8" s="313"/>
      <c r="AN8" s="313"/>
      <c r="AO8" s="238"/>
      <c r="AP8" s="313">
        <f t="shared" si="3"/>
        <v>0</v>
      </c>
      <c r="AQ8" s="238"/>
      <c r="AR8" s="238">
        <f t="shared" si="4"/>
        <v>0</v>
      </c>
      <c r="AS8" s="238"/>
      <c r="AT8" s="238"/>
      <c r="AU8" s="238"/>
      <c r="AV8" s="238"/>
      <c r="AW8" s="238"/>
      <c r="AX8" s="313"/>
      <c r="AY8" s="313"/>
      <c r="AZ8" s="313"/>
      <c r="BA8" s="313"/>
      <c r="BB8" s="313"/>
      <c r="BC8" s="313"/>
      <c r="BD8" s="313"/>
      <c r="BE8" s="313"/>
      <c r="BF8" s="313"/>
      <c r="BG8" s="313"/>
      <c r="BH8" s="313"/>
      <c r="BI8" s="313"/>
      <c r="BJ8" s="313"/>
      <c r="BK8" s="313"/>
      <c r="BL8" s="313"/>
      <c r="BM8" s="313"/>
      <c r="BN8" s="313"/>
      <c r="BO8" s="313"/>
      <c r="BP8" s="314"/>
    </row>
    <row r="9" ht="19.5" customHeight="1" spans="1:68">
      <c r="A9" s="309"/>
      <c r="B9" s="394" t="s">
        <v>64</v>
      </c>
      <c r="C9" s="197" t="s">
        <v>65</v>
      </c>
      <c r="D9" s="197"/>
      <c r="F9" s="197"/>
      <c r="G9" s="106"/>
      <c r="H9" s="106"/>
      <c r="I9" s="197" t="s">
        <v>58</v>
      </c>
      <c r="J9" s="197"/>
      <c r="K9" s="197" t="s">
        <v>59</v>
      </c>
      <c r="M9" s="197"/>
      <c r="N9" s="197" t="s">
        <v>58</v>
      </c>
      <c r="O9" s="197"/>
      <c r="P9" s="197"/>
      <c r="Q9" s="197" t="s">
        <v>56</v>
      </c>
      <c r="R9" s="197"/>
      <c r="S9" s="106"/>
      <c r="T9" s="197"/>
      <c r="U9" s="106"/>
      <c r="V9" s="197" t="s">
        <v>65</v>
      </c>
      <c r="W9" s="197"/>
      <c r="X9" s="197" t="s">
        <v>55</v>
      </c>
      <c r="Y9" s="197"/>
      <c r="Z9" s="197"/>
      <c r="AA9" s="197" t="s">
        <v>55</v>
      </c>
      <c r="AB9" s="198" t="s">
        <v>58</v>
      </c>
      <c r="AD9" s="197"/>
      <c r="AE9" s="197" t="s">
        <v>55</v>
      </c>
      <c r="AF9" s="197"/>
      <c r="AG9" s="197" t="s">
        <v>59</v>
      </c>
      <c r="AH9" s="311"/>
      <c r="AI9" s="312"/>
      <c r="AJ9" s="311"/>
      <c r="AK9" s="313"/>
      <c r="AL9" s="313"/>
      <c r="AM9" s="313"/>
      <c r="AN9" s="313"/>
      <c r="AO9" s="238"/>
      <c r="AP9" s="313">
        <f t="shared" si="3"/>
        <v>0</v>
      </c>
      <c r="AQ9" s="238"/>
      <c r="AR9" s="238">
        <f t="shared" si="4"/>
        <v>0</v>
      </c>
      <c r="AS9" s="238"/>
      <c r="AT9" s="238">
        <f t="shared" ref="AT9:AT34" si="7">(AP9-AQ9)/2+(AR9-AS9)</f>
        <v>0</v>
      </c>
      <c r="AU9" s="238">
        <f t="shared" ref="AU9:AU33" si="8">AH9+AI9+AJ9+AK9+AM9+AN9</f>
        <v>0</v>
      </c>
      <c r="AV9" s="238">
        <f t="shared" ref="AV9:AV33" si="9">BF9+BG9+BI9+BD9+BB9+AZ9+BK9</f>
        <v>0</v>
      </c>
      <c r="AW9" s="238" t="e">
        <f t="shared" ref="AW9:AW24" si="10">AT9+AX9</f>
        <v>#VALUE!</v>
      </c>
      <c r="AX9" s="313" t="e">
        <f>(BI9*('Setting key Duty'!$I$8+'Setting key Duty'!$I$12))+(BG9*'Setting key Duty'!$I$9)+(BB9*('Setting key Duty'!$I$13+'Setting key Duty'!$I$9))+(AZ9*('Setting key Duty'!$I$13+'Setting key Duty'!$I$12+'Setting key Duty'!$I$11))+(BD9*('Setting key Duty'!$I$8+'Setting key Duty'!$I$9+'Setting key Duty'!$I$12))</f>
        <v>#VALUE!</v>
      </c>
      <c r="AY9" s="313">
        <f>COUNTIF(D9:Z9,"*BRT*")</f>
        <v>0</v>
      </c>
      <c r="AZ9" s="313">
        <f t="shared" ref="AZ9:AZ25" si="11">COUNTIF(A9:AH9,"*$BTP*")</f>
        <v>0</v>
      </c>
      <c r="BA9" s="313" t="e">
        <f>AZ9*('Setting key Duty'!$I$13+'Setting key Duty'!$I$12+'Setting key Duty'!$I$11)</f>
        <v>#VALUE!</v>
      </c>
      <c r="BB9" s="313">
        <f t="shared" ref="BB9:BB23" si="12">COUNTIF(A9:AH9,"*$L*")</f>
        <v>0</v>
      </c>
      <c r="BC9" s="313" t="e">
        <f>BB9*('Setting key Duty'!$I$13+'Setting key Duty'!$I$9)</f>
        <v>#VALUE!</v>
      </c>
      <c r="BD9" s="313">
        <f t="shared" ref="BD9:BD23" si="13">COUNTIF(A9:AH9,"*$M*")</f>
        <v>0</v>
      </c>
      <c r="BE9" s="313">
        <f>BD9*('Setting key Duty'!$I$8+'Setting key Duty'!$I$9+'Setting key Duty'!$I$12)</f>
        <v>0</v>
      </c>
      <c r="BF9" s="313">
        <f>COUNTIF(AH9,"*$N*")</f>
        <v>0</v>
      </c>
      <c r="BG9" s="313">
        <f>COUNTIF(AH9,"*$PM*")</f>
        <v>0</v>
      </c>
      <c r="BH9" s="313">
        <f>BG9*('Setting key Duty'!$I$9)</f>
        <v>0</v>
      </c>
      <c r="BI9" s="313">
        <f t="shared" ref="BI9:BI23" si="14">COUNTIF(A9:AH9,"*$AM*")</f>
        <v>0</v>
      </c>
      <c r="BJ9" s="313">
        <f>BI9*('Setting key Duty'!$I$12+'Setting key Duty'!$I$8)</f>
        <v>0</v>
      </c>
      <c r="BK9" s="313">
        <f>COUNTIF(D9:AH9,"*$FC*")</f>
        <v>0</v>
      </c>
      <c r="BL9" s="313">
        <f>BK9*('Setting key Duty'!$J$11+'Setting key Duty'!$I$8)</f>
        <v>0</v>
      </c>
      <c r="BM9" s="313">
        <f>COUNTIF($D9:$Z9,BM$4)</f>
        <v>0</v>
      </c>
      <c r="BN9" s="313">
        <f>COUNTIF($D9:$Z9,BN$4)</f>
        <v>0</v>
      </c>
      <c r="BO9" s="313">
        <f>COUNTIF($D9:$Z9,BO$4)</f>
        <v>1</v>
      </c>
      <c r="BP9" s="314"/>
    </row>
    <row r="10" ht="13.5" spans="1:68">
      <c r="A10" s="309"/>
      <c r="B10" s="375" t="s">
        <v>66</v>
      </c>
      <c r="C10" s="197" t="s">
        <v>55</v>
      </c>
      <c r="D10" s="197"/>
      <c r="E10" s="197" t="s">
        <v>57</v>
      </c>
      <c r="F10" s="106"/>
      <c r="G10" s="197"/>
      <c r="H10" s="106"/>
      <c r="I10" s="197"/>
      <c r="J10" s="197" t="s">
        <v>58</v>
      </c>
      <c r="K10" s="197"/>
      <c r="L10" s="197"/>
      <c r="M10" s="197" t="s">
        <v>57</v>
      </c>
      <c r="N10" s="197"/>
      <c r="O10" s="197" t="s">
        <v>67</v>
      </c>
      <c r="P10" s="106"/>
      <c r="Q10" s="197" t="s">
        <v>57</v>
      </c>
      <c r="R10" s="402"/>
      <c r="S10" s="197"/>
      <c r="T10" s="197"/>
      <c r="U10" s="197"/>
      <c r="V10" s="197" t="s">
        <v>57</v>
      </c>
      <c r="W10" s="197"/>
      <c r="X10" s="197" t="s">
        <v>55</v>
      </c>
      <c r="Y10" s="197"/>
      <c r="Z10" s="197"/>
      <c r="AA10" s="197" t="s">
        <v>56</v>
      </c>
      <c r="AB10" s="197"/>
      <c r="AD10" s="197" t="s">
        <v>56</v>
      </c>
      <c r="AE10" s="197"/>
      <c r="AF10" s="197"/>
      <c r="AG10" s="197"/>
      <c r="AH10" s="311">
        <f t="shared" ref="AH10:AN10" si="15">COUNTIF($C10:$AE10,AH$4)</f>
        <v>4</v>
      </c>
      <c r="AI10" s="312">
        <f t="shared" si="15"/>
        <v>2</v>
      </c>
      <c r="AJ10" s="311">
        <f t="shared" si="15"/>
        <v>0</v>
      </c>
      <c r="AK10" s="313">
        <f t="shared" si="15"/>
        <v>1</v>
      </c>
      <c r="AL10" s="313">
        <f t="shared" si="15"/>
        <v>0</v>
      </c>
      <c r="AM10" s="313">
        <f t="shared" si="15"/>
        <v>0</v>
      </c>
      <c r="AN10" s="313">
        <f t="shared" si="15"/>
        <v>0</v>
      </c>
      <c r="AO10" s="238"/>
      <c r="AP10" s="313">
        <f t="shared" si="3"/>
        <v>0</v>
      </c>
      <c r="AQ10" s="238"/>
      <c r="AR10" s="238">
        <f t="shared" si="4"/>
        <v>0</v>
      </c>
      <c r="AS10" s="238"/>
      <c r="AT10" s="238">
        <f t="shared" si="7"/>
        <v>0</v>
      </c>
      <c r="AU10" s="238">
        <f t="shared" si="8"/>
        <v>7</v>
      </c>
      <c r="AV10" s="238">
        <f t="shared" si="9"/>
        <v>0</v>
      </c>
      <c r="AW10" s="238" t="e">
        <f t="shared" si="10"/>
        <v>#VALUE!</v>
      </c>
      <c r="AX10" s="313" t="e">
        <f>(BI10*('Setting key Duty'!$I$8+'Setting key Duty'!$I$12))+(BG10*'Setting key Duty'!$I$9)+(BB10*('Setting key Duty'!$I$13+'Setting key Duty'!$I$9))+(AZ10*('Setting key Duty'!$I$13+'Setting key Duty'!$I$12+'Setting key Duty'!$I$11))+(BD10*('Setting key Duty'!$I$8+'Setting key Duty'!$I$9+'Setting key Duty'!$I$12))</f>
        <v>#VALUE!</v>
      </c>
      <c r="AY10" s="313">
        <f>COUNTIF(C10:AE10,"*BRT*")</f>
        <v>0</v>
      </c>
      <c r="AZ10" s="313">
        <f t="shared" si="11"/>
        <v>0</v>
      </c>
      <c r="BA10" s="313" t="e">
        <f>AZ10*('Setting key Duty'!$I$13+'Setting key Duty'!$I$12+'Setting key Duty'!$I$11)</f>
        <v>#VALUE!</v>
      </c>
      <c r="BB10" s="313">
        <f t="shared" si="12"/>
        <v>0</v>
      </c>
      <c r="BC10" s="313" t="e">
        <f>BB10*('Setting key Duty'!$I$13+'Setting key Duty'!$I$9)</f>
        <v>#VALUE!</v>
      </c>
      <c r="BD10" s="313">
        <f t="shared" si="13"/>
        <v>0</v>
      </c>
      <c r="BE10" s="313">
        <f>BD10*('Setting key Duty'!$I$8+'Setting key Duty'!$I$9+'Setting key Duty'!$I$12)</f>
        <v>0</v>
      </c>
      <c r="BF10" s="313">
        <f>COUNTIF(A10:AH10,"*$N*")</f>
        <v>0</v>
      </c>
      <c r="BG10" s="313">
        <f>COUNTIF(AF10:AH10,"*$PM*")</f>
        <v>0</v>
      </c>
      <c r="BH10" s="313">
        <f>BG10*('Setting key Duty'!$I$9)</f>
        <v>0</v>
      </c>
      <c r="BI10" s="313">
        <f t="shared" si="14"/>
        <v>0</v>
      </c>
      <c r="BJ10" s="313">
        <f>BI10*('Setting key Duty'!$I$12+'Setting key Duty'!$I$8)</f>
        <v>0</v>
      </c>
      <c r="BK10" s="313">
        <f>COUNTIF(C10:AH10,"*$FC*")</f>
        <v>0</v>
      </c>
      <c r="BL10" s="313">
        <f>BK10*('Setting key Duty'!$J$11+'Setting key Duty'!$I$8)</f>
        <v>0</v>
      </c>
      <c r="BM10" s="313">
        <f>COUNTIF($C10:$AE10,BM$4)</f>
        <v>0</v>
      </c>
      <c r="BN10" s="313">
        <f>COUNTIF($C10:$AE10,BN$4)</f>
        <v>0</v>
      </c>
      <c r="BO10" s="313">
        <f>COUNTIF($C10:$AE10,BO$4)</f>
        <v>2</v>
      </c>
      <c r="BP10" s="314"/>
    </row>
    <row r="11" ht="19.5" customHeight="1" spans="1:68">
      <c r="A11" s="309"/>
      <c r="B11" s="334" t="s">
        <v>68</v>
      </c>
      <c r="C11" s="106"/>
      <c r="E11" s="324" t="s">
        <v>59</v>
      </c>
      <c r="F11" s="106"/>
      <c r="G11" s="197" t="s">
        <v>58</v>
      </c>
      <c r="H11" s="106"/>
      <c r="I11" s="106"/>
      <c r="J11" s="106"/>
      <c r="L11" s="197" t="s">
        <v>56</v>
      </c>
      <c r="M11" s="106"/>
      <c r="N11" s="197" t="s">
        <v>56</v>
      </c>
      <c r="O11" s="197"/>
      <c r="P11" s="106"/>
      <c r="Q11" s="317" t="s">
        <v>59</v>
      </c>
      <c r="R11" s="197"/>
      <c r="S11" s="106"/>
      <c r="T11" s="106"/>
      <c r="U11" s="197" t="s">
        <v>56</v>
      </c>
      <c r="V11" s="106"/>
      <c r="W11" s="197" t="s">
        <v>69</v>
      </c>
      <c r="X11" s="197" t="s">
        <v>55</v>
      </c>
      <c r="Y11" s="197" t="s">
        <v>54</v>
      </c>
      <c r="Z11" s="197" t="s">
        <v>54</v>
      </c>
      <c r="AA11" s="197" t="s">
        <v>55</v>
      </c>
      <c r="AB11" s="197"/>
      <c r="AC11" s="197" t="s">
        <v>59</v>
      </c>
      <c r="AD11" s="197"/>
      <c r="AE11" s="197" t="s">
        <v>56</v>
      </c>
      <c r="AF11" s="197"/>
      <c r="AG11" s="197"/>
      <c r="AH11" s="311"/>
      <c r="AI11" s="312"/>
      <c r="AJ11" s="311"/>
      <c r="AK11" s="313"/>
      <c r="AL11" s="313"/>
      <c r="AM11" s="313"/>
      <c r="AN11" s="313"/>
      <c r="AO11" s="238"/>
      <c r="AP11" s="313">
        <f t="shared" si="3"/>
        <v>0</v>
      </c>
      <c r="AQ11" s="238"/>
      <c r="AR11" s="238">
        <f t="shared" si="4"/>
        <v>0</v>
      </c>
      <c r="AS11" s="238"/>
      <c r="AT11" s="238">
        <f t="shared" si="7"/>
        <v>0</v>
      </c>
      <c r="AU11" s="238">
        <f t="shared" si="8"/>
        <v>0</v>
      </c>
      <c r="AV11" s="238">
        <f t="shared" si="9"/>
        <v>0</v>
      </c>
      <c r="AW11" s="238" t="e">
        <f t="shared" si="10"/>
        <v>#VALUE!</v>
      </c>
      <c r="AX11" s="313" t="e">
        <f>(BI11*('Setting key Duty'!$I$8+'Setting key Duty'!$I$12))+(BG11*'Setting key Duty'!$I$9)+(BB11*('Setting key Duty'!$I$13+'Setting key Duty'!$I$9))+(AZ11*('Setting key Duty'!$I$13+'Setting key Duty'!$I$12+'Setting key Duty'!$I$11))+(BD11*('Setting key Duty'!$I$8+'Setting key Duty'!$I$9+'Setting key Duty'!$I$12))</f>
        <v>#VALUE!</v>
      </c>
      <c r="AY11" s="313" t="e">
        <f>COUNTIF(#REF!,"*BRT*")</f>
        <v>#REF!</v>
      </c>
      <c r="AZ11" s="313">
        <f t="shared" si="11"/>
        <v>0</v>
      </c>
      <c r="BA11" s="313" t="e">
        <f>AZ11*('Setting key Duty'!$I$13+'Setting key Duty'!$I$12+'Setting key Duty'!$I$11)</f>
        <v>#VALUE!</v>
      </c>
      <c r="BB11" s="313">
        <f t="shared" si="12"/>
        <v>0</v>
      </c>
      <c r="BC11" s="313" t="e">
        <f>BB11*('Setting key Duty'!$I$13+'Setting key Duty'!$I$9)</f>
        <v>#VALUE!</v>
      </c>
      <c r="BD11" s="313">
        <f t="shared" si="13"/>
        <v>0</v>
      </c>
      <c r="BE11" s="313">
        <f>BD11*('Setting key Duty'!$I$8+'Setting key Duty'!$I$9+'Setting key Duty'!$I$12)</f>
        <v>0</v>
      </c>
      <c r="BF11" s="313">
        <f>COUNTIF(AH11,"*$N*")</f>
        <v>0</v>
      </c>
      <c r="BG11" s="313">
        <f>COUNTIF(AH11,"*$PM*")</f>
        <v>0</v>
      </c>
      <c r="BH11" s="313">
        <f>BG11*('Setting key Duty'!$I$9)</f>
        <v>0</v>
      </c>
      <c r="BI11" s="313">
        <f t="shared" si="14"/>
        <v>0</v>
      </c>
      <c r="BJ11" s="313">
        <f>BI11*('Setting key Duty'!$I$12+'Setting key Duty'!$I$8)</f>
        <v>0</v>
      </c>
      <c r="BK11" s="313">
        <f>COUNTIF(E11:AH11,"*$FC*")</f>
        <v>0</v>
      </c>
      <c r="BL11" s="313">
        <f>BK11*('Setting key Duty'!$J$11+'Setting key Duty'!$I$8)</f>
        <v>0</v>
      </c>
      <c r="BM11" s="313" t="e">
        <f>COUNTIF(#REF!,BM$4)</f>
        <v>#REF!</v>
      </c>
      <c r="BN11" s="313" t="e">
        <f>COUNTIF(#REF!,BN$4)</f>
        <v>#REF!</v>
      </c>
      <c r="BO11" s="313" t="e">
        <f>COUNTIF(#REF!,BO$4)</f>
        <v>#REF!</v>
      </c>
      <c r="BP11" s="314"/>
    </row>
    <row r="12" ht="19.5" customHeight="1" spans="1:68">
      <c r="A12" s="309"/>
      <c r="B12" s="332" t="s">
        <v>70</v>
      </c>
      <c r="C12" s="197"/>
      <c r="D12" s="317" t="s">
        <v>59</v>
      </c>
      <c r="E12" s="197"/>
      <c r="F12" s="197"/>
      <c r="G12" s="197"/>
      <c r="H12" s="197" t="s">
        <v>65</v>
      </c>
      <c r="I12" s="197"/>
      <c r="J12" s="197" t="s">
        <v>55</v>
      </c>
      <c r="L12" s="317" t="s">
        <v>59</v>
      </c>
      <c r="N12" s="197"/>
      <c r="O12" s="197"/>
      <c r="P12" s="197"/>
      <c r="Q12" s="197" t="s">
        <v>58</v>
      </c>
      <c r="R12" s="106"/>
      <c r="S12" s="197"/>
      <c r="T12" s="197" t="s">
        <v>58</v>
      </c>
      <c r="U12" s="106"/>
      <c r="V12" s="1" t="s">
        <v>71</v>
      </c>
      <c r="W12" s="4" t="s">
        <v>71</v>
      </c>
      <c r="X12" s="197" t="s">
        <v>55</v>
      </c>
      <c r="Y12" s="197" t="s">
        <v>55</v>
      </c>
      <c r="Z12" s="197" t="s">
        <v>55</v>
      </c>
      <c r="AA12" s="197"/>
      <c r="AB12" s="197" t="s">
        <v>65</v>
      </c>
      <c r="AD12" s="197"/>
      <c r="AE12" s="197" t="s">
        <v>59</v>
      </c>
      <c r="AF12" s="106"/>
      <c r="AG12" s="198"/>
      <c r="AH12" s="311"/>
      <c r="AI12" s="312"/>
      <c r="AJ12" s="311"/>
      <c r="AK12" s="313"/>
      <c r="AL12" s="313"/>
      <c r="AM12" s="313"/>
      <c r="AN12" s="313"/>
      <c r="AO12" s="238"/>
      <c r="AP12" s="313">
        <f t="shared" si="3"/>
        <v>0</v>
      </c>
      <c r="AQ12" s="238"/>
      <c r="AR12" s="238">
        <f t="shared" si="4"/>
        <v>0</v>
      </c>
      <c r="AS12" s="238"/>
      <c r="AT12" s="238">
        <f t="shared" si="7"/>
        <v>0</v>
      </c>
      <c r="AU12" s="238">
        <f t="shared" si="8"/>
        <v>0</v>
      </c>
      <c r="AV12" s="238">
        <f t="shared" si="9"/>
        <v>0</v>
      </c>
      <c r="AW12" s="238" t="e">
        <f t="shared" si="10"/>
        <v>#VALUE!</v>
      </c>
      <c r="AX12" s="313" t="e">
        <f>(BI12*('Setting key Duty'!$I$8+'Setting key Duty'!$I$12))+(BG12*'Setting key Duty'!$I$9)+(BB12*('Setting key Duty'!$I$13+'Setting key Duty'!$I$9))+(AZ12*('Setting key Duty'!$I$13+'Setting key Duty'!$I$12+'Setting key Duty'!$I$11))+(BD12*('Setting key Duty'!$I$8+'Setting key Duty'!$I$9+'Setting key Duty'!$I$12))</f>
        <v>#VALUE!</v>
      </c>
      <c r="AY12" s="313">
        <f>COUNTIF(D12:AC12,"*BRT*")</f>
        <v>0</v>
      </c>
      <c r="AZ12" s="313">
        <f t="shared" si="11"/>
        <v>0</v>
      </c>
      <c r="BA12" s="313" t="e">
        <f>AZ12*('Setting key Duty'!$I$13+'Setting key Duty'!$I$12+'Setting key Duty'!$I$11)</f>
        <v>#VALUE!</v>
      </c>
      <c r="BB12" s="313">
        <f t="shared" si="12"/>
        <v>0</v>
      </c>
      <c r="BC12" s="313" t="e">
        <f>BB12*('Setting key Duty'!$I$13+'Setting key Duty'!$I$9)</f>
        <v>#VALUE!</v>
      </c>
      <c r="BD12" s="313">
        <f t="shared" si="13"/>
        <v>0</v>
      </c>
      <c r="BE12" s="313">
        <f>BD12*('Setting key Duty'!$I$8+'Setting key Duty'!$I$9+'Setting key Duty'!$I$12)</f>
        <v>0</v>
      </c>
      <c r="BF12" s="313">
        <f>COUNTIF(AF12:AH12,"*$N*")</f>
        <v>0</v>
      </c>
      <c r="BG12" s="313">
        <f>COUNTIF(AF12:AH12,"*$PM*")</f>
        <v>0</v>
      </c>
      <c r="BH12" s="313">
        <f>BG12*('Setting key Duty'!$I$9)</f>
        <v>0</v>
      </c>
      <c r="BI12" s="313">
        <f t="shared" si="14"/>
        <v>0</v>
      </c>
      <c r="BJ12" s="313">
        <f>BI12*('Setting key Duty'!$I$12+'Setting key Duty'!$I$8)</f>
        <v>0</v>
      </c>
      <c r="BK12" s="313">
        <f>COUNTIF(D12:AH12,"*$FC*")</f>
        <v>0</v>
      </c>
      <c r="BL12" s="313">
        <f>BK12*('Setting key Duty'!$J$11+'Setting key Duty'!$I$8)</f>
        <v>0</v>
      </c>
      <c r="BM12" s="313">
        <f>COUNTIF($D12:$AE12,BM$4)</f>
        <v>0</v>
      </c>
      <c r="BN12" s="313">
        <f>COUNTIF($D12:$AE12,BN$4)</f>
        <v>0</v>
      </c>
      <c r="BO12" s="313">
        <f>COUNTIF($D12:$AE12,BO$4)</f>
        <v>4</v>
      </c>
      <c r="BP12" s="314"/>
    </row>
    <row r="13" ht="19.5" customHeight="1" spans="1:68">
      <c r="A13" s="309"/>
      <c r="B13" s="373" t="s">
        <v>72</v>
      </c>
      <c r="C13" s="197"/>
      <c r="D13" s="197"/>
      <c r="E13" s="197" t="s">
        <v>73</v>
      </c>
      <c r="F13" s="197" t="s">
        <v>73</v>
      </c>
      <c r="G13" s="197" t="s">
        <v>73</v>
      </c>
      <c r="H13" s="197" t="s">
        <v>73</v>
      </c>
      <c r="I13" s="197" t="s">
        <v>73</v>
      </c>
      <c r="J13" s="197"/>
      <c r="K13" s="197"/>
      <c r="L13" s="197"/>
      <c r="M13" s="106"/>
      <c r="N13" s="197" t="s">
        <v>59</v>
      </c>
      <c r="P13" s="197" t="s">
        <v>58</v>
      </c>
      <c r="Q13" s="106"/>
      <c r="R13" s="197" t="s">
        <v>59</v>
      </c>
      <c r="S13" s="106"/>
      <c r="T13" s="197"/>
      <c r="U13" s="197" t="s">
        <v>58</v>
      </c>
      <c r="V13" s="197" t="s">
        <v>74</v>
      </c>
      <c r="W13" s="106"/>
      <c r="X13" s="197" t="s">
        <v>59</v>
      </c>
      <c r="Y13" s="197"/>
      <c r="Z13" s="197"/>
      <c r="AA13" s="197"/>
      <c r="AB13" s="198" t="s">
        <v>75</v>
      </c>
      <c r="AC13" s="197" t="s">
        <v>65</v>
      </c>
      <c r="AD13" s="106"/>
      <c r="AE13" s="197"/>
      <c r="AF13" s="197"/>
      <c r="AG13" s="197"/>
      <c r="AH13" s="311"/>
      <c r="AI13" s="312"/>
      <c r="AJ13" s="311"/>
      <c r="AK13" s="313"/>
      <c r="AL13" s="313"/>
      <c r="AM13" s="313"/>
      <c r="AN13" s="313"/>
      <c r="AO13" s="238"/>
      <c r="AP13" s="313">
        <f t="shared" si="3"/>
        <v>0</v>
      </c>
      <c r="AQ13" s="238"/>
      <c r="AR13" s="238">
        <f t="shared" si="4"/>
        <v>0</v>
      </c>
      <c r="AS13" s="238"/>
      <c r="AT13" s="238">
        <f t="shared" si="7"/>
        <v>0</v>
      </c>
      <c r="AU13" s="238">
        <f t="shared" si="8"/>
        <v>0</v>
      </c>
      <c r="AV13" s="238">
        <f t="shared" si="9"/>
        <v>7</v>
      </c>
      <c r="AW13" s="238" t="e">
        <f t="shared" si="10"/>
        <v>#VALUE!</v>
      </c>
      <c r="AX13" s="313" t="e">
        <f>(BI13*('Setting key Duty'!$I$8+'Setting key Duty'!$I$12))+(BG13*'Setting key Duty'!$I$9)+(BB13*('Setting key Duty'!$I$13+'Setting key Duty'!$I$9))+(AZ13*('Setting key Duty'!$I$13+'Setting key Duty'!$I$12+'Setting key Duty'!$I$11))+(BD13*('Setting key Duty'!$I$8+'Setting key Duty'!$I$9+'Setting key Duty'!$I$12))</f>
        <v>#VALUE!</v>
      </c>
      <c r="AY13" s="313">
        <f>COUNTIF(D13:X13,"*BRT*")</f>
        <v>0</v>
      </c>
      <c r="AZ13" s="313">
        <f t="shared" si="11"/>
        <v>0</v>
      </c>
      <c r="BA13" s="313" t="e">
        <f>AZ13*('Setting key Duty'!$I$13+'Setting key Duty'!$I$12+'Setting key Duty'!$I$11)</f>
        <v>#VALUE!</v>
      </c>
      <c r="BB13" s="313">
        <f t="shared" si="12"/>
        <v>0</v>
      </c>
      <c r="BC13" s="313" t="e">
        <f>BB13*('Setting key Duty'!$I$13+'Setting key Duty'!$I$9)</f>
        <v>#VALUE!</v>
      </c>
      <c r="BD13" s="313">
        <f t="shared" si="13"/>
        <v>2</v>
      </c>
      <c r="BE13" s="313">
        <f>BD13*('Setting key Duty'!$I$8+'Setting key Duty'!$I$9+'Setting key Duty'!$I$12)</f>
        <v>1.125</v>
      </c>
      <c r="BF13" s="313">
        <f>COUNTIF(AH13,"*$N*")</f>
        <v>0</v>
      </c>
      <c r="BG13" s="313">
        <f>COUNTIF(AH13,"*$PM*")</f>
        <v>0</v>
      </c>
      <c r="BH13" s="313">
        <f>BG13*('Setting key Duty'!$I$9)</f>
        <v>0</v>
      </c>
      <c r="BI13" s="313">
        <f t="shared" si="14"/>
        <v>0</v>
      </c>
      <c r="BJ13" s="313">
        <f>BI13*('Setting key Duty'!$I$12+'Setting key Duty'!$I$8)</f>
        <v>0</v>
      </c>
      <c r="BK13" s="313">
        <f>COUNTIF(D13:AH13,"*$FC*")</f>
        <v>5</v>
      </c>
      <c r="BL13" s="313">
        <f>BK13*('Setting key Duty'!$J$11+'Setting key Duty'!$I$8)</f>
        <v>0.625</v>
      </c>
      <c r="BM13" s="313">
        <f>COUNTIF($D13:$X13,BM$4)</f>
        <v>0</v>
      </c>
      <c r="BN13" s="313">
        <f>COUNTIF($D13:$X13,BN$4)</f>
        <v>0</v>
      </c>
      <c r="BO13" s="313">
        <f>COUNTIF($D13:$X13,BO$4)</f>
        <v>0</v>
      </c>
      <c r="BP13" s="314"/>
    </row>
    <row r="14" ht="24" customHeight="1" spans="1:68">
      <c r="A14" s="309"/>
      <c r="B14" s="335" t="s">
        <v>76</v>
      </c>
      <c r="C14" s="197"/>
      <c r="D14" s="200" t="s">
        <v>77</v>
      </c>
      <c r="E14" s="197" t="s">
        <v>56</v>
      </c>
      <c r="F14" s="197"/>
      <c r="G14" s="197"/>
      <c r="H14" s="197" t="s">
        <v>59</v>
      </c>
      <c r="I14" s="197"/>
      <c r="J14" s="197" t="s">
        <v>57</v>
      </c>
      <c r="K14" s="197"/>
      <c r="L14" s="197"/>
      <c r="M14" s="197"/>
      <c r="O14" s="197" t="s">
        <v>61</v>
      </c>
      <c r="P14" s="197" t="s">
        <v>57</v>
      </c>
      <c r="Q14" s="197"/>
      <c r="R14" s="197" t="s">
        <v>58</v>
      </c>
      <c r="S14" s="197"/>
      <c r="T14" s="197"/>
      <c r="U14" s="197" t="s">
        <v>57</v>
      </c>
      <c r="V14" s="106"/>
      <c r="X14" s="197" t="s">
        <v>55</v>
      </c>
      <c r="Y14" s="197" t="s">
        <v>54</v>
      </c>
      <c r="Z14" s="197" t="s">
        <v>54</v>
      </c>
      <c r="AA14" s="197" t="s">
        <v>55</v>
      </c>
      <c r="AB14" s="197" t="s">
        <v>55</v>
      </c>
      <c r="AC14" s="197" t="s">
        <v>55</v>
      </c>
      <c r="AD14" s="198" t="s">
        <v>69</v>
      </c>
      <c r="AE14" s="197" t="s">
        <v>57</v>
      </c>
      <c r="AF14" s="106"/>
      <c r="AG14" s="197"/>
      <c r="AH14" s="311">
        <f t="shared" ref="AH14:AN14" si="16">COUNTIF($C14:$AA14,AH$4)</f>
        <v>3</v>
      </c>
      <c r="AI14" s="312">
        <f t="shared" si="16"/>
        <v>1</v>
      </c>
      <c r="AJ14" s="311">
        <f t="shared" si="16"/>
        <v>1</v>
      </c>
      <c r="AK14" s="313">
        <f t="shared" si="16"/>
        <v>1</v>
      </c>
      <c r="AL14" s="313">
        <f t="shared" si="16"/>
        <v>0</v>
      </c>
      <c r="AM14" s="313">
        <f t="shared" si="16"/>
        <v>0</v>
      </c>
      <c r="AN14" s="313">
        <f t="shared" si="16"/>
        <v>0</v>
      </c>
      <c r="AO14" s="238"/>
      <c r="AP14" s="313">
        <f t="shared" si="3"/>
        <v>0</v>
      </c>
      <c r="AQ14" s="238"/>
      <c r="AR14" s="238">
        <f t="shared" si="4"/>
        <v>0</v>
      </c>
      <c r="AS14" s="238"/>
      <c r="AT14" s="238">
        <f t="shared" si="7"/>
        <v>0</v>
      </c>
      <c r="AU14" s="238">
        <f t="shared" si="8"/>
        <v>6</v>
      </c>
      <c r="AV14" s="238">
        <f t="shared" si="9"/>
        <v>0</v>
      </c>
      <c r="AW14" s="238" t="e">
        <f t="shared" si="10"/>
        <v>#VALUE!</v>
      </c>
      <c r="AX14" s="313" t="e">
        <f>(BI14*('Setting key Duty'!$I$8+'Setting key Duty'!$I$12))+(BG14*'Setting key Duty'!$I$9)+(BB14*('Setting key Duty'!$I$13+'Setting key Duty'!$I$9))+(AZ14*('Setting key Duty'!$I$13+'Setting key Duty'!$I$12+'Setting key Duty'!$I$11))+(BD14*('Setting key Duty'!$I$8+'Setting key Duty'!$I$9+'Setting key Duty'!$I$12))</f>
        <v>#VALUE!</v>
      </c>
      <c r="AY14" s="313">
        <f>COUNTIF(C14:AA14,"*BRT*")</f>
        <v>0</v>
      </c>
      <c r="AZ14" s="313">
        <f t="shared" si="11"/>
        <v>0</v>
      </c>
      <c r="BA14" s="313" t="e">
        <f>AZ14*('Setting key Duty'!$I$13+'Setting key Duty'!$I$12+'Setting key Duty'!$I$11)</f>
        <v>#VALUE!</v>
      </c>
      <c r="BB14" s="313">
        <f t="shared" si="12"/>
        <v>0</v>
      </c>
      <c r="BC14" s="313" t="e">
        <f>BB14*('Setting key Duty'!$I$13+'Setting key Duty'!$I$9)</f>
        <v>#VALUE!</v>
      </c>
      <c r="BD14" s="313">
        <f t="shared" si="13"/>
        <v>0</v>
      </c>
      <c r="BE14" s="313">
        <f>BD14*('Setting key Duty'!$I$8+'Setting key Duty'!$I$9+'Setting key Duty'!$I$12)</f>
        <v>0</v>
      </c>
      <c r="BF14" s="313">
        <f>COUNTIF(A14:AH14,"*$N*")</f>
        <v>0</v>
      </c>
      <c r="BG14" s="313">
        <f>COUNTIF(AH14,"*$PM*")</f>
        <v>0</v>
      </c>
      <c r="BH14" s="313">
        <f>BG14*('Setting key Duty'!$I$9)</f>
        <v>0</v>
      </c>
      <c r="BI14" s="313">
        <f t="shared" si="14"/>
        <v>0</v>
      </c>
      <c r="BJ14" s="313">
        <f>BI14*('Setting key Duty'!$I$12+'Setting key Duty'!$I$8)</f>
        <v>0</v>
      </c>
      <c r="BK14" s="313">
        <f>COUNTIF(C14:AH14,"*$FC*")</f>
        <v>0</v>
      </c>
      <c r="BL14" s="313">
        <f>BK14*('Setting key Duty'!$J$11+'Setting key Duty'!$I$8)</f>
        <v>0</v>
      </c>
      <c r="BM14" s="313">
        <f>COUNTIF($C14:$AA14,BM$4)</f>
        <v>0</v>
      </c>
      <c r="BN14" s="313">
        <f>COUNTIF($C14:$AA14,BN$4)</f>
        <v>0</v>
      </c>
      <c r="BO14" s="313">
        <f>COUNTIF($C14:$AA14,BO$4)</f>
        <v>2</v>
      </c>
      <c r="BP14" s="314"/>
    </row>
    <row r="15" ht="37.5" customHeight="1" spans="1:68">
      <c r="A15" s="309"/>
      <c r="B15" s="373" t="s">
        <v>78</v>
      </c>
      <c r="C15" s="197" t="s">
        <v>56</v>
      </c>
      <c r="D15" s="197"/>
      <c r="F15" s="106"/>
      <c r="G15" s="106"/>
      <c r="H15" s="197" t="s">
        <v>61</v>
      </c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 t="s">
        <v>61</v>
      </c>
      <c r="X15" s="106"/>
      <c r="Y15" s="197" t="s">
        <v>56</v>
      </c>
      <c r="AA15" s="198"/>
      <c r="AB15" s="198" t="s">
        <v>57</v>
      </c>
      <c r="AC15" s="197"/>
      <c r="AF15" s="197"/>
      <c r="AG15" s="197" t="s">
        <v>58</v>
      </c>
      <c r="AH15" s="311">
        <f t="shared" ref="AH15:AN15" si="17">COUNTIF($D15:$AC15,AH$4)</f>
        <v>1</v>
      </c>
      <c r="AI15" s="312">
        <f t="shared" si="17"/>
        <v>1</v>
      </c>
      <c r="AJ15" s="311">
        <f t="shared" si="17"/>
        <v>0</v>
      </c>
      <c r="AK15" s="313">
        <f t="shared" si="17"/>
        <v>0</v>
      </c>
      <c r="AL15" s="313">
        <f t="shared" si="17"/>
        <v>0</v>
      </c>
      <c r="AM15" s="313">
        <f t="shared" si="17"/>
        <v>0</v>
      </c>
      <c r="AN15" s="313">
        <f t="shared" si="17"/>
        <v>0</v>
      </c>
      <c r="AO15" s="238"/>
      <c r="AP15" s="313">
        <f t="shared" si="3"/>
        <v>0</v>
      </c>
      <c r="AQ15" s="238"/>
      <c r="AR15" s="238">
        <f t="shared" si="4"/>
        <v>0</v>
      </c>
      <c r="AS15" s="238"/>
      <c r="AT15" s="238">
        <f t="shared" si="7"/>
        <v>0</v>
      </c>
      <c r="AU15" s="238">
        <f t="shared" si="8"/>
        <v>2</v>
      </c>
      <c r="AV15" s="238">
        <f t="shared" si="9"/>
        <v>0</v>
      </c>
      <c r="AW15" s="238" t="e">
        <f t="shared" si="10"/>
        <v>#VALUE!</v>
      </c>
      <c r="AX15" s="313" t="e">
        <f>(BI15*('Setting key Duty'!$I$8+'Setting key Duty'!$I$12))+(BG15*'Setting key Duty'!$I$9)+(BB15*('Setting key Duty'!$I$13+'Setting key Duty'!$I$9))+(AZ15*('Setting key Duty'!$I$13+'Setting key Duty'!$I$12+'Setting key Duty'!$I$11))+(BD15*('Setting key Duty'!$I$8+'Setting key Duty'!$I$9+'Setting key Duty'!$I$12))</f>
        <v>#VALUE!</v>
      </c>
      <c r="AY15" s="313">
        <f>COUNTIF(C15:AC15,"*BRT*")</f>
        <v>0</v>
      </c>
      <c r="AZ15" s="313">
        <f t="shared" si="11"/>
        <v>0</v>
      </c>
      <c r="BA15" s="313" t="e">
        <f>AZ15*('Setting key Duty'!$I$13+'Setting key Duty'!$I$12+'Setting key Duty'!$I$11)</f>
        <v>#VALUE!</v>
      </c>
      <c r="BB15" s="313">
        <f t="shared" si="12"/>
        <v>0</v>
      </c>
      <c r="BC15" s="313" t="e">
        <f>BB15*('Setting key Duty'!$I$13+'Setting key Duty'!$I$9)</f>
        <v>#VALUE!</v>
      </c>
      <c r="BD15" s="313">
        <f t="shared" si="13"/>
        <v>0</v>
      </c>
      <c r="BE15" s="313">
        <f>BD15*('Setting key Duty'!$I$8+'Setting key Duty'!$I$9+'Setting key Duty'!$I$12)</f>
        <v>0</v>
      </c>
      <c r="BF15" s="313">
        <f>COUNTIF(AH15,"*$N*")</f>
        <v>0</v>
      </c>
      <c r="BG15" s="313">
        <f>COUNTIF(AH15,"*$PM*")</f>
        <v>0</v>
      </c>
      <c r="BH15" s="313">
        <f>BG15*('Setting key Duty'!$I$9)</f>
        <v>0</v>
      </c>
      <c r="BI15" s="313">
        <f t="shared" si="14"/>
        <v>0</v>
      </c>
      <c r="BJ15" s="313">
        <f>BI15*('Setting key Duty'!$I$12+'Setting key Duty'!$I$8)</f>
        <v>0</v>
      </c>
      <c r="BK15" s="313">
        <f>COUNTIF(C15:AH15,"*$FC*")</f>
        <v>0</v>
      </c>
      <c r="BL15" s="313">
        <f>BK15*('Setting key Duty'!$J$11+'Setting key Duty'!$I$8)</f>
        <v>0</v>
      </c>
      <c r="BM15" s="313">
        <f>COUNTIF($C15:$AC15,BM$4)</f>
        <v>0</v>
      </c>
      <c r="BN15" s="313">
        <f>COUNTIF($C15:$AC15,BN$4)</f>
        <v>0</v>
      </c>
      <c r="BO15" s="313">
        <f>COUNTIF($C15:$AC15,BO$4)</f>
        <v>0</v>
      </c>
      <c r="BP15" s="314"/>
    </row>
    <row r="16" ht="19.5" customHeight="1" spans="1:68">
      <c r="A16" s="309"/>
      <c r="B16" s="332" t="s">
        <v>79</v>
      </c>
      <c r="C16" s="197"/>
      <c r="D16" s="197" t="s">
        <v>58</v>
      </c>
      <c r="E16" s="197"/>
      <c r="F16" s="197" t="s">
        <v>80</v>
      </c>
      <c r="G16" s="197"/>
      <c r="H16" s="197" t="s">
        <v>57</v>
      </c>
      <c r="J16" s="198"/>
      <c r="K16" s="197" t="s">
        <v>56</v>
      </c>
      <c r="L16" s="197"/>
      <c r="M16" s="106"/>
      <c r="N16" s="197"/>
      <c r="O16" s="197" t="s">
        <v>61</v>
      </c>
      <c r="P16" s="106"/>
      <c r="Q16" s="197"/>
      <c r="S16" s="403"/>
      <c r="T16" s="106"/>
      <c r="U16" s="197"/>
      <c r="V16" s="197" t="s">
        <v>61</v>
      </c>
      <c r="W16" s="197" t="s">
        <v>55</v>
      </c>
      <c r="X16" s="197" t="s">
        <v>55</v>
      </c>
      <c r="Y16" s="197" t="s">
        <v>55</v>
      </c>
      <c r="Z16" s="197" t="s">
        <v>55</v>
      </c>
      <c r="AA16" s="197"/>
      <c r="AC16" s="197"/>
      <c r="AD16" s="197" t="s">
        <v>58</v>
      </c>
      <c r="AE16" s="197"/>
      <c r="AF16" s="196" t="s">
        <v>59</v>
      </c>
      <c r="AG16" s="197"/>
      <c r="AH16" s="311">
        <f t="shared" ref="AH16:AN16" si="18">COUNTIF($C16:$AA16,AH$4)</f>
        <v>1</v>
      </c>
      <c r="AI16" s="312">
        <f t="shared" si="18"/>
        <v>1</v>
      </c>
      <c r="AJ16" s="311">
        <f t="shared" si="18"/>
        <v>0</v>
      </c>
      <c r="AK16" s="313">
        <f t="shared" si="18"/>
        <v>1</v>
      </c>
      <c r="AL16" s="313">
        <f t="shared" si="18"/>
        <v>0</v>
      </c>
      <c r="AM16" s="313">
        <f t="shared" si="18"/>
        <v>0</v>
      </c>
      <c r="AN16" s="313">
        <f t="shared" si="18"/>
        <v>0</v>
      </c>
      <c r="AO16" s="238"/>
      <c r="AP16" s="313">
        <f t="shared" si="3"/>
        <v>0</v>
      </c>
      <c r="AQ16" s="238"/>
      <c r="AR16" s="238">
        <f t="shared" si="4"/>
        <v>0</v>
      </c>
      <c r="AS16" s="238"/>
      <c r="AT16" s="238">
        <f t="shared" si="7"/>
        <v>0</v>
      </c>
      <c r="AU16" s="238">
        <f t="shared" si="8"/>
        <v>3</v>
      </c>
      <c r="AV16" s="238">
        <f t="shared" si="9"/>
        <v>0</v>
      </c>
      <c r="AW16" s="238" t="e">
        <f t="shared" si="10"/>
        <v>#VALUE!</v>
      </c>
      <c r="AX16" s="313" t="e">
        <f>(BI16*('Setting key Duty'!$I$8+'Setting key Duty'!$I$12))+(BG16*'Setting key Duty'!$I$9)+(BB16*('Setting key Duty'!$I$13+'Setting key Duty'!$I$9))+(AZ16*('Setting key Duty'!$I$13+'Setting key Duty'!$I$12+'Setting key Duty'!$I$11))+(BD16*('Setting key Duty'!$I$8+'Setting key Duty'!$I$9+'Setting key Duty'!$I$12))</f>
        <v>#VALUE!</v>
      </c>
      <c r="AY16" s="313">
        <f>COUNTIF(C16:AA16,"*BRT*")</f>
        <v>0</v>
      </c>
      <c r="AZ16" s="313">
        <f t="shared" si="11"/>
        <v>0</v>
      </c>
      <c r="BA16" s="313" t="e">
        <f>AZ16*('Setting key Duty'!$I$13+'Setting key Duty'!$I$12+'Setting key Duty'!$I$11)</f>
        <v>#VALUE!</v>
      </c>
      <c r="BB16" s="313">
        <f t="shared" si="12"/>
        <v>0</v>
      </c>
      <c r="BC16" s="313" t="e">
        <f>BB16*('Setting key Duty'!$I$13+'Setting key Duty'!$I$9)</f>
        <v>#VALUE!</v>
      </c>
      <c r="BD16" s="313">
        <f t="shared" si="13"/>
        <v>0</v>
      </c>
      <c r="BE16" s="313">
        <f>BD16*('Setting key Duty'!$I$8+'Setting key Duty'!$I$9+'Setting key Duty'!$I$12)</f>
        <v>0</v>
      </c>
      <c r="BF16" s="313">
        <f>COUNTIF(A16:AH16,"*$N*")</f>
        <v>0</v>
      </c>
      <c r="BG16" s="313">
        <f>COUNTIF(AH16,"*$PM*")</f>
        <v>0</v>
      </c>
      <c r="BH16" s="313">
        <f>BG16*('Setting key Duty'!$I$9)</f>
        <v>0</v>
      </c>
      <c r="BI16" s="313">
        <f t="shared" si="14"/>
        <v>0</v>
      </c>
      <c r="BJ16" s="313">
        <f>BI16*('Setting key Duty'!$I$12+'Setting key Duty'!$I$8)</f>
        <v>0</v>
      </c>
      <c r="BK16" s="313">
        <f>COUNTIF(C16:AH16,"*$FC*")</f>
        <v>0</v>
      </c>
      <c r="BL16" s="313">
        <f>BK16*('Setting key Duty'!$J$11+'Setting key Duty'!$I$8)</f>
        <v>0</v>
      </c>
      <c r="BM16" s="313">
        <f>COUNTIF($C16:$AA16,BM$4)</f>
        <v>0</v>
      </c>
      <c r="BN16" s="313">
        <f>COUNTIF($C16:$AA16,BN$4)</f>
        <v>0</v>
      </c>
      <c r="BO16" s="313">
        <f>COUNTIF($C16:$AA16,BO$4)</f>
        <v>4</v>
      </c>
      <c r="BP16" s="314"/>
    </row>
    <row r="17" ht="19.5" customHeight="1" spans="1:68">
      <c r="A17" s="309"/>
      <c r="B17" s="333" t="s">
        <v>81</v>
      </c>
      <c r="C17" s="197" t="s">
        <v>59</v>
      </c>
      <c r="D17" s="197"/>
      <c r="E17" s="197"/>
      <c r="F17" s="197" t="s">
        <v>56</v>
      </c>
      <c r="G17" s="197"/>
      <c r="H17" s="197" t="s">
        <v>61</v>
      </c>
      <c r="I17" s="106"/>
      <c r="J17" s="198" t="s">
        <v>54</v>
      </c>
      <c r="K17" s="198" t="s">
        <v>54</v>
      </c>
      <c r="L17" s="198" t="s">
        <v>54</v>
      </c>
      <c r="M17" s="197" t="s">
        <v>58</v>
      </c>
      <c r="N17" s="197"/>
      <c r="O17" s="197"/>
      <c r="P17" s="197" t="s">
        <v>56</v>
      </c>
      <c r="Q17" s="106"/>
      <c r="R17" s="197"/>
      <c r="S17" s="197"/>
      <c r="T17" s="197" t="s">
        <v>55</v>
      </c>
      <c r="U17" s="197" t="s">
        <v>55</v>
      </c>
      <c r="V17" s="106"/>
      <c r="W17" s="197" t="s">
        <v>58</v>
      </c>
      <c r="X17" s="106"/>
      <c r="Z17" s="197" t="s">
        <v>56</v>
      </c>
      <c r="AA17" s="198"/>
      <c r="AB17" s="197" t="s">
        <v>56</v>
      </c>
      <c r="AD17" s="196" t="s">
        <v>59</v>
      </c>
      <c r="AE17" s="197"/>
      <c r="AF17" s="106"/>
      <c r="AG17" s="106"/>
      <c r="AH17" s="311"/>
      <c r="AI17" s="312"/>
      <c r="AJ17" s="311"/>
      <c r="AK17" s="313"/>
      <c r="AL17" s="313"/>
      <c r="AM17" s="313"/>
      <c r="AN17" s="313"/>
      <c r="AO17" s="238"/>
      <c r="AP17" s="313">
        <f t="shared" si="3"/>
        <v>0</v>
      </c>
      <c r="AQ17" s="238"/>
      <c r="AR17" s="238">
        <f t="shared" si="4"/>
        <v>0</v>
      </c>
      <c r="AS17" s="238"/>
      <c r="AT17" s="238">
        <f t="shared" si="7"/>
        <v>0</v>
      </c>
      <c r="AU17" s="238">
        <f t="shared" si="8"/>
        <v>0</v>
      </c>
      <c r="AV17" s="238">
        <f t="shared" si="9"/>
        <v>0</v>
      </c>
      <c r="AW17" s="238" t="e">
        <f t="shared" si="10"/>
        <v>#VALUE!</v>
      </c>
      <c r="AX17" s="313" t="e">
        <f>(BI17*('Setting key Duty'!$I$8+'Setting key Duty'!$I$12))+(BG17*'Setting key Duty'!$I$9)+(BB17*('Setting key Duty'!$I$13+'Setting key Duty'!$I$9))+(AZ17*('Setting key Duty'!$I$13+'Setting key Duty'!$I$12+'Setting key Duty'!$I$11))+(BD17*('Setting key Duty'!$I$8+'Setting key Duty'!$I$9+'Setting key Duty'!$I$12))</f>
        <v>#VALUE!</v>
      </c>
      <c r="AY17" s="313">
        <f>COUNTIF(E17:AA17,"*BRT*")</f>
        <v>0</v>
      </c>
      <c r="AZ17" s="313">
        <f t="shared" si="11"/>
        <v>0</v>
      </c>
      <c r="BA17" s="313" t="e">
        <f>AZ17*('Setting key Duty'!$I$13+'Setting key Duty'!$I$12+'Setting key Duty'!$I$11)</f>
        <v>#VALUE!</v>
      </c>
      <c r="BB17" s="313">
        <f t="shared" si="12"/>
        <v>0</v>
      </c>
      <c r="BC17" s="313" t="e">
        <f>BB17*('Setting key Duty'!$I$13+'Setting key Duty'!$I$9)</f>
        <v>#VALUE!</v>
      </c>
      <c r="BD17" s="313">
        <f t="shared" si="13"/>
        <v>0</v>
      </c>
      <c r="BE17" s="313">
        <f>BD17*('Setting key Duty'!$I$8+'Setting key Duty'!$I$9+'Setting key Duty'!$I$12)</f>
        <v>0</v>
      </c>
      <c r="BF17" s="313">
        <f>COUNTIF(AG17:AH17,"*$N*")</f>
        <v>0</v>
      </c>
      <c r="BG17" s="313">
        <f>COUNTIF(AG17:AH17,"*$PM*")</f>
        <v>0</v>
      </c>
      <c r="BH17" s="313">
        <f>BG17*('Setting key Duty'!$I$9)</f>
        <v>0</v>
      </c>
      <c r="BI17" s="313">
        <f t="shared" si="14"/>
        <v>0</v>
      </c>
      <c r="BJ17" s="313">
        <f>BI17*('Setting key Duty'!$I$12+'Setting key Duty'!$I$8)</f>
        <v>0</v>
      </c>
      <c r="BK17" s="313">
        <f>COUNTIF(E17:AH17,"*$FC*")</f>
        <v>0</v>
      </c>
      <c r="BL17" s="313">
        <f>BK17*('Setting key Duty'!$J$11+'Setting key Duty'!$I$8)</f>
        <v>0</v>
      </c>
      <c r="BM17" s="313">
        <f>COUNTIF($E17:$AA17,BM$4)</f>
        <v>0</v>
      </c>
      <c r="BN17" s="313">
        <f>COUNTIF($E17:$AA17,BN$4)</f>
        <v>0</v>
      </c>
      <c r="BO17" s="313">
        <f>COUNTIF($E17:$AA17,BO$4)</f>
        <v>2</v>
      </c>
      <c r="BP17" s="314"/>
    </row>
    <row r="18" ht="19.5" customHeight="1" spans="1:68">
      <c r="A18" s="309"/>
      <c r="B18" s="390" t="s">
        <v>82</v>
      </c>
      <c r="C18" s="198"/>
      <c r="D18" s="197" t="s">
        <v>57</v>
      </c>
      <c r="F18" s="197" t="s">
        <v>57</v>
      </c>
      <c r="H18" s="197" t="s">
        <v>61</v>
      </c>
      <c r="I18" s="197"/>
      <c r="J18" s="197"/>
      <c r="K18" s="197"/>
      <c r="L18" s="198"/>
      <c r="M18" s="198"/>
      <c r="N18" s="197"/>
      <c r="O18" s="197" t="s">
        <v>57</v>
      </c>
      <c r="P18" s="197"/>
      <c r="Q18" s="197"/>
      <c r="R18" s="197" t="s">
        <v>57</v>
      </c>
      <c r="S18" s="106"/>
      <c r="T18" s="197"/>
      <c r="U18" s="197"/>
      <c r="V18" s="197" t="s">
        <v>69</v>
      </c>
      <c r="W18" s="197"/>
      <c r="Y18" s="197"/>
      <c r="Z18" s="197"/>
      <c r="AA18" s="197"/>
      <c r="AB18" s="197" t="s">
        <v>69</v>
      </c>
      <c r="AC18" s="197" t="s">
        <v>57</v>
      </c>
      <c r="AE18" s="197"/>
      <c r="AF18" s="197"/>
      <c r="AG18" s="197"/>
      <c r="AH18" s="311"/>
      <c r="AI18" s="312"/>
      <c r="AJ18" s="311"/>
      <c r="AK18" s="313"/>
      <c r="AL18" s="313"/>
      <c r="AM18" s="313"/>
      <c r="AN18" s="313"/>
      <c r="AO18" s="238"/>
      <c r="AP18" s="313">
        <f t="shared" si="3"/>
        <v>0</v>
      </c>
      <c r="AQ18" s="238"/>
      <c r="AR18" s="238">
        <f t="shared" si="4"/>
        <v>0</v>
      </c>
      <c r="AS18" s="238"/>
      <c r="AT18" s="238">
        <f t="shared" si="7"/>
        <v>0</v>
      </c>
      <c r="AU18" s="238">
        <f t="shared" si="8"/>
        <v>0</v>
      </c>
      <c r="AV18" s="238">
        <f t="shared" si="9"/>
        <v>0</v>
      </c>
      <c r="AW18" s="238" t="e">
        <f t="shared" si="10"/>
        <v>#VALUE!</v>
      </c>
      <c r="AX18" s="313" t="e">
        <f>(BI18*('Setting key Duty'!$I$8+'Setting key Duty'!$I$12))+(BG18*'Setting key Duty'!$I$9)+(BB18*('Setting key Duty'!$I$13+'Setting key Duty'!$I$9))+(AZ18*('Setting key Duty'!$I$13+'Setting key Duty'!$I$12+'Setting key Duty'!$I$11))+(BD18*('Setting key Duty'!$I$8+'Setting key Duty'!$I$9+'Setting key Duty'!$I$12))</f>
        <v>#VALUE!</v>
      </c>
      <c r="AY18" s="313">
        <f>COUNTIF(C18:AC18,"*BRT*")</f>
        <v>0</v>
      </c>
      <c r="AZ18" s="313">
        <f t="shared" si="11"/>
        <v>0</v>
      </c>
      <c r="BA18" s="313" t="e">
        <f>AZ18*('Setting key Duty'!$I$13+'Setting key Duty'!$I$12+'Setting key Duty'!$I$11)</f>
        <v>#VALUE!</v>
      </c>
      <c r="BB18" s="313">
        <f t="shared" si="12"/>
        <v>0</v>
      </c>
      <c r="BC18" s="313" t="e">
        <f>BB18*('Setting key Duty'!$I$13+'Setting key Duty'!$I$9)</f>
        <v>#VALUE!</v>
      </c>
      <c r="BD18" s="313">
        <f t="shared" si="13"/>
        <v>0</v>
      </c>
      <c r="BE18" s="313">
        <f>BD18*('Setting key Duty'!$I$8+'Setting key Duty'!$I$9+'Setting key Duty'!$I$12)</f>
        <v>0</v>
      </c>
      <c r="BF18" s="313">
        <f>COUNTIF(AH18,"*$N*")</f>
        <v>0</v>
      </c>
      <c r="BG18" s="313">
        <f>COUNTIF(AH18,"*$PM*")</f>
        <v>0</v>
      </c>
      <c r="BH18" s="313">
        <f>BG18*('Setting key Duty'!$I$9)</f>
        <v>0</v>
      </c>
      <c r="BI18" s="313">
        <f t="shared" si="14"/>
        <v>0</v>
      </c>
      <c r="BJ18" s="313">
        <f>BI18*('Setting key Duty'!$I$12+'Setting key Duty'!$I$8)</f>
        <v>0</v>
      </c>
      <c r="BK18" s="313">
        <f>COUNTIF(C18:AH18,"*$FC*")</f>
        <v>0</v>
      </c>
      <c r="BL18" s="313">
        <f>BK18*('Setting key Duty'!$J$11+'Setting key Duty'!$I$8)</f>
        <v>0</v>
      </c>
      <c r="BM18" s="313">
        <f>COUNTIF($C18:$AC18,BM$4)</f>
        <v>0</v>
      </c>
      <c r="BN18" s="313">
        <f>COUNTIF($C18:$AC18,BN$4)</f>
        <v>0</v>
      </c>
      <c r="BO18" s="313">
        <f>COUNTIF($C18:$AC18,BO$4)</f>
        <v>0</v>
      </c>
      <c r="BP18" s="314"/>
    </row>
    <row r="19" ht="19.5" customHeight="1" spans="1:68">
      <c r="A19" s="309"/>
      <c r="B19" s="373" t="s">
        <v>83</v>
      </c>
      <c r="C19" s="197" t="s">
        <v>57</v>
      </c>
      <c r="D19" s="106"/>
      <c r="F19" s="197" t="s">
        <v>59</v>
      </c>
      <c r="H19" s="197"/>
      <c r="I19" s="197" t="s">
        <v>57</v>
      </c>
      <c r="J19" s="197"/>
      <c r="K19" s="197"/>
      <c r="L19" s="197" t="s">
        <v>58</v>
      </c>
      <c r="M19" s="198"/>
      <c r="N19" s="197"/>
      <c r="O19" s="197" t="s">
        <v>59</v>
      </c>
      <c r="P19" s="197"/>
      <c r="Q19" s="197" t="s">
        <v>55</v>
      </c>
      <c r="R19" s="197"/>
      <c r="S19" s="197"/>
      <c r="T19" s="197" t="s">
        <v>56</v>
      </c>
      <c r="U19" s="197"/>
      <c r="X19" s="197"/>
      <c r="Y19" s="197" t="s">
        <v>57</v>
      </c>
      <c r="AB19" s="197" t="s">
        <v>59</v>
      </c>
      <c r="AC19" s="198"/>
      <c r="AD19" s="197" t="s">
        <v>55</v>
      </c>
      <c r="AE19" s="106"/>
      <c r="AF19" s="197"/>
      <c r="AG19" s="197"/>
      <c r="AH19" s="311"/>
      <c r="AI19" s="312"/>
      <c r="AJ19" s="311"/>
      <c r="AK19" s="313"/>
      <c r="AL19" s="313"/>
      <c r="AM19" s="313"/>
      <c r="AN19" s="313"/>
      <c r="AO19" s="238"/>
      <c r="AP19" s="313">
        <f t="shared" si="3"/>
        <v>0</v>
      </c>
      <c r="AQ19" s="238"/>
      <c r="AR19" s="238">
        <f t="shared" si="4"/>
        <v>0</v>
      </c>
      <c r="AS19" s="238"/>
      <c r="AT19" s="238">
        <f t="shared" si="7"/>
        <v>0</v>
      </c>
      <c r="AU19" s="238">
        <f t="shared" si="8"/>
        <v>0</v>
      </c>
      <c r="AV19" s="238">
        <f t="shared" si="9"/>
        <v>0</v>
      </c>
      <c r="AW19" s="238" t="e">
        <f t="shared" si="10"/>
        <v>#VALUE!</v>
      </c>
      <c r="AX19" s="313" t="e">
        <f>(BI19*('Setting key Duty'!$I$8+'Setting key Duty'!$I$12))+(BG19*'Setting key Duty'!$I$9)+(BB19*('Setting key Duty'!$I$13+'Setting key Duty'!$I$9))+(AZ19*('Setting key Duty'!$I$13+'Setting key Duty'!$I$12+'Setting key Duty'!$I$11))+(BD19*('Setting key Duty'!$I$8+'Setting key Duty'!$I$9+'Setting key Duty'!$I$12))</f>
        <v>#VALUE!</v>
      </c>
      <c r="AY19" s="313">
        <f>COUNTIF(D19:AC19,"*BRT*")</f>
        <v>0</v>
      </c>
      <c r="AZ19" s="313">
        <f t="shared" si="11"/>
        <v>0</v>
      </c>
      <c r="BA19" s="313" t="e">
        <f>AZ19*('Setting key Duty'!$I$13+'Setting key Duty'!$I$12+'Setting key Duty'!$I$11)</f>
        <v>#VALUE!</v>
      </c>
      <c r="BB19" s="313">
        <f t="shared" si="12"/>
        <v>0</v>
      </c>
      <c r="BC19" s="313" t="e">
        <f>BB19*('Setting key Duty'!$I$13+'Setting key Duty'!$I$9)</f>
        <v>#VALUE!</v>
      </c>
      <c r="BD19" s="313">
        <f t="shared" si="13"/>
        <v>0</v>
      </c>
      <c r="BE19" s="313">
        <f>BD19*('Setting key Duty'!$I$8+'Setting key Duty'!$I$9+'Setting key Duty'!$I$12)</f>
        <v>0</v>
      </c>
      <c r="BF19" s="313">
        <f>COUNTIF(AF19:AH19,"*$N*")</f>
        <v>0</v>
      </c>
      <c r="BG19" s="313">
        <f>COUNTIF(AF19:AH19,"*$PM*")</f>
        <v>0</v>
      </c>
      <c r="BH19" s="313">
        <f>BG19*('Setting key Duty'!$I$9)</f>
        <v>0</v>
      </c>
      <c r="BI19" s="313">
        <f t="shared" si="14"/>
        <v>0</v>
      </c>
      <c r="BJ19" s="313">
        <f>BI19*('Setting key Duty'!$I$12+'Setting key Duty'!$I$8)</f>
        <v>0</v>
      </c>
      <c r="BK19" s="313">
        <f>COUNTIF(D19:AH19,"*$FC*")</f>
        <v>0</v>
      </c>
      <c r="BL19" s="313">
        <f>BK19*('Setting key Duty'!$J$11+'Setting key Duty'!$I$8)</f>
        <v>0</v>
      </c>
      <c r="BM19" s="313">
        <f>COUNTIF($D19:$AE19,BM$4)</f>
        <v>0</v>
      </c>
      <c r="BN19" s="313">
        <f>COUNTIF($D19:$AE19,BN$4)</f>
        <v>0</v>
      </c>
      <c r="BO19" s="313">
        <f>COUNTIF($D19:$AE19,BO$4)</f>
        <v>2</v>
      </c>
      <c r="BP19" s="314"/>
    </row>
    <row r="20" ht="19.5" customHeight="1" spans="1:68">
      <c r="A20" s="309"/>
      <c r="B20" s="407" t="s">
        <v>84</v>
      </c>
      <c r="C20" s="198" t="s">
        <v>54</v>
      </c>
      <c r="D20" s="198" t="s">
        <v>54</v>
      </c>
      <c r="E20" s="198" t="s">
        <v>54</v>
      </c>
      <c r="F20" s="197" t="s">
        <v>58</v>
      </c>
      <c r="H20" s="197" t="s">
        <v>61</v>
      </c>
      <c r="I20" s="106"/>
      <c r="J20" s="106"/>
      <c r="K20" s="197" t="s">
        <v>58</v>
      </c>
      <c r="M20" s="106"/>
      <c r="N20" s="197"/>
      <c r="O20" s="197" t="s">
        <v>56</v>
      </c>
      <c r="P20" s="197"/>
      <c r="Q20" s="106"/>
      <c r="R20" s="197" t="s">
        <v>56</v>
      </c>
      <c r="S20" s="197"/>
      <c r="T20" s="197" t="s">
        <v>57</v>
      </c>
      <c r="U20" s="197"/>
      <c r="V20" s="106"/>
      <c r="W20" s="197" t="s">
        <v>57</v>
      </c>
      <c r="X20" s="197"/>
      <c r="Y20" s="197" t="s">
        <v>55</v>
      </c>
      <c r="Z20" s="197" t="s">
        <v>55</v>
      </c>
      <c r="AA20" s="197" t="s">
        <v>55</v>
      </c>
      <c r="AB20" s="197" t="s">
        <v>55</v>
      </c>
      <c r="AC20" s="197" t="s">
        <v>55</v>
      </c>
      <c r="AD20" s="197" t="s">
        <v>55</v>
      </c>
      <c r="AE20" s="197" t="s">
        <v>55</v>
      </c>
      <c r="AF20" s="197" t="s">
        <v>55</v>
      </c>
      <c r="AG20" s="197" t="s">
        <v>55</v>
      </c>
      <c r="AH20" s="311"/>
      <c r="AI20" s="312"/>
      <c r="AJ20" s="311"/>
      <c r="AK20" s="313"/>
      <c r="AL20" s="313"/>
      <c r="AM20" s="313"/>
      <c r="AN20" s="313"/>
      <c r="AO20" s="238"/>
      <c r="AP20" s="313">
        <f t="shared" si="3"/>
        <v>0</v>
      </c>
      <c r="AQ20" s="238"/>
      <c r="AR20" s="238">
        <f t="shared" si="4"/>
        <v>0</v>
      </c>
      <c r="AS20" s="238"/>
      <c r="AT20" s="238">
        <f t="shared" si="7"/>
        <v>0</v>
      </c>
      <c r="AU20" s="238">
        <f t="shared" si="8"/>
        <v>0</v>
      </c>
      <c r="AV20" s="238">
        <f t="shared" si="9"/>
        <v>0</v>
      </c>
      <c r="AW20" s="238" t="e">
        <f t="shared" si="10"/>
        <v>#VALUE!</v>
      </c>
      <c r="AX20" s="313" t="e">
        <f>(BI20*('Setting key Duty'!$I$8+'Setting key Duty'!$I$12))+(BG20*'Setting key Duty'!$I$9)+(BB20*('Setting key Duty'!$I$13+'Setting key Duty'!$I$9))+(AZ20*('Setting key Duty'!$I$13+'Setting key Duty'!$I$12+'Setting key Duty'!$I$11))+(BD20*('Setting key Duty'!$I$8+'Setting key Duty'!$I$9+'Setting key Duty'!$I$12))</f>
        <v>#VALUE!</v>
      </c>
      <c r="AY20" s="313">
        <f>COUNTIF(D20:AB20,"*BRT*")</f>
        <v>0</v>
      </c>
      <c r="AZ20" s="313">
        <f t="shared" si="11"/>
        <v>0</v>
      </c>
      <c r="BA20" s="313" t="e">
        <f>AZ20*('Setting key Duty'!$I$13+'Setting key Duty'!$I$12+'Setting key Duty'!$I$11)</f>
        <v>#VALUE!</v>
      </c>
      <c r="BB20" s="313">
        <f t="shared" si="12"/>
        <v>0</v>
      </c>
      <c r="BC20" s="313" t="e">
        <f>BB20*('Setting key Duty'!$I$13+'Setting key Duty'!$I$9)</f>
        <v>#VALUE!</v>
      </c>
      <c r="BD20" s="313">
        <f t="shared" si="13"/>
        <v>0</v>
      </c>
      <c r="BE20" s="313">
        <f>BD20*('Setting key Duty'!$I$8+'Setting key Duty'!$I$9+'Setting key Duty'!$I$12)</f>
        <v>0</v>
      </c>
      <c r="BF20" s="313">
        <f>COUNTIF(AF20:AH20,"*$N*")</f>
        <v>0</v>
      </c>
      <c r="BG20" s="313">
        <f>COUNTIF(AF20:AH20,"*$PM*")</f>
        <v>0</v>
      </c>
      <c r="BH20" s="313">
        <f>BG20*('Setting key Duty'!$I$9)</f>
        <v>0</v>
      </c>
      <c r="BI20" s="313">
        <f t="shared" si="14"/>
        <v>0</v>
      </c>
      <c r="BJ20" s="313">
        <f>BI20*('Setting key Duty'!$I$12+'Setting key Duty'!$I$8)</f>
        <v>0</v>
      </c>
      <c r="BK20" s="313">
        <f>COUNTIF(D20:AH20,"*$FC*")</f>
        <v>0</v>
      </c>
      <c r="BL20" s="313">
        <f>BK20*('Setting key Duty'!$J$11+'Setting key Duty'!$I$8)</f>
        <v>0</v>
      </c>
      <c r="BM20" s="313">
        <f>COUNTIF($D20:$AE20,BM$4)</f>
        <v>0</v>
      </c>
      <c r="BN20" s="313">
        <f>COUNTIF($D20:$AE20,BN$4)</f>
        <v>0</v>
      </c>
      <c r="BO20" s="313">
        <f>COUNTIF($D20:$AE20,BO$4)</f>
        <v>7</v>
      </c>
      <c r="BP20" s="314"/>
    </row>
    <row r="21" ht="19.5" customHeight="1" spans="1:68">
      <c r="A21" s="309" t="s">
        <v>55</v>
      </c>
      <c r="B21" s="333" t="s">
        <v>85</v>
      </c>
      <c r="C21" s="197" t="s">
        <v>55</v>
      </c>
      <c r="D21" s="197" t="s">
        <v>55</v>
      </c>
      <c r="E21" s="197" t="s">
        <v>55</v>
      </c>
      <c r="F21" s="197" t="s">
        <v>55</v>
      </c>
      <c r="G21" s="198" t="s">
        <v>56</v>
      </c>
      <c r="H21" s="197"/>
      <c r="J21" s="197" t="s">
        <v>59</v>
      </c>
      <c r="K21" s="197"/>
      <c r="L21" s="197"/>
      <c r="M21" s="197"/>
      <c r="N21" s="197" t="s">
        <v>57</v>
      </c>
      <c r="O21" s="106"/>
      <c r="P21" s="197"/>
      <c r="Q21" s="197"/>
      <c r="R21" s="197"/>
      <c r="S21" s="197" t="s">
        <v>57</v>
      </c>
      <c r="T21" s="197"/>
      <c r="U21" s="197"/>
      <c r="V21" s="197"/>
      <c r="W21" s="197" t="s">
        <v>59</v>
      </c>
      <c r="X21" s="197"/>
      <c r="Y21" s="106"/>
      <c r="Z21" s="197" t="s">
        <v>59</v>
      </c>
      <c r="AA21" s="106"/>
      <c r="AB21" s="197" t="s">
        <v>71</v>
      </c>
      <c r="AC21" s="197" t="s">
        <v>71</v>
      </c>
      <c r="AD21" s="106"/>
      <c r="AE21" s="197"/>
      <c r="AF21" s="197"/>
      <c r="AG21" s="197"/>
      <c r="AH21" s="311"/>
      <c r="AI21" s="312"/>
      <c r="AJ21" s="311"/>
      <c r="AK21" s="313"/>
      <c r="AL21" s="313"/>
      <c r="AM21" s="313"/>
      <c r="AN21" s="313"/>
      <c r="AO21" s="238"/>
      <c r="AP21" s="313">
        <f t="shared" si="3"/>
        <v>0</v>
      </c>
      <c r="AQ21" s="238"/>
      <c r="AR21" s="238">
        <f t="shared" si="4"/>
        <v>0</v>
      </c>
      <c r="AS21" s="238"/>
      <c r="AT21" s="238">
        <f t="shared" si="7"/>
        <v>0</v>
      </c>
      <c r="AU21" s="238">
        <f t="shared" si="8"/>
        <v>0</v>
      </c>
      <c r="AV21" s="238">
        <f t="shared" si="9"/>
        <v>0</v>
      </c>
      <c r="AW21" s="238" t="e">
        <f t="shared" si="10"/>
        <v>#VALUE!</v>
      </c>
      <c r="AX21" s="313" t="e">
        <f>(BI21*('Setting key Duty'!$I$8+'Setting key Duty'!$I$12))+(BG21*'Setting key Duty'!$I$9)+(BB21*('Setting key Duty'!$I$13+'Setting key Duty'!$I$9))+(AZ21*('Setting key Duty'!$I$13+'Setting key Duty'!$I$12+'Setting key Duty'!$I$11))+(BD21*('Setting key Duty'!$I$8+'Setting key Duty'!$I$9+'Setting key Duty'!$I$12))</f>
        <v>#VALUE!</v>
      </c>
      <c r="AY21" s="313">
        <f>COUNTIF(D21:AC21,"*BRT*")</f>
        <v>0</v>
      </c>
      <c r="AZ21" s="313">
        <f t="shared" si="11"/>
        <v>0</v>
      </c>
      <c r="BA21" s="313" t="e">
        <f>AZ21*('Setting key Duty'!$I$13+'Setting key Duty'!$I$12+'Setting key Duty'!$I$11)</f>
        <v>#VALUE!</v>
      </c>
      <c r="BB21" s="313">
        <f t="shared" si="12"/>
        <v>0</v>
      </c>
      <c r="BC21" s="313" t="e">
        <f>BB21*('Setting key Duty'!$I$13+'Setting key Duty'!$I$9)</f>
        <v>#VALUE!</v>
      </c>
      <c r="BD21" s="313">
        <f t="shared" si="13"/>
        <v>0</v>
      </c>
      <c r="BE21" s="313">
        <f>BD21*('Setting key Duty'!$I$8+'Setting key Duty'!$I$9+'Setting key Duty'!$I$12)</f>
        <v>0</v>
      </c>
      <c r="BF21" s="313">
        <f>COUNTIF(AH21,"*$N*")</f>
        <v>0</v>
      </c>
      <c r="BG21" s="313">
        <f>COUNTIF(AH21,"*$PM*")</f>
        <v>0</v>
      </c>
      <c r="BH21" s="313">
        <f>BG21*('Setting key Duty'!$I$9)</f>
        <v>0</v>
      </c>
      <c r="BI21" s="313">
        <f t="shared" si="14"/>
        <v>0</v>
      </c>
      <c r="BJ21" s="313">
        <f>BI21*('Setting key Duty'!$I$12+'Setting key Duty'!$I$8)</f>
        <v>0</v>
      </c>
      <c r="BK21" s="313">
        <f>COUNTIF(D21:AH21,"*$FC*")</f>
        <v>0</v>
      </c>
      <c r="BL21" s="313">
        <f>BK21*('Setting key Duty'!$J$11+'Setting key Duty'!$I$8)</f>
        <v>0</v>
      </c>
      <c r="BM21" s="313">
        <f>COUNTIF($D21:$AC21,BM$4)</f>
        <v>0</v>
      </c>
      <c r="BN21" s="313">
        <f>COUNTIF($D21:$AC21,BN$4)</f>
        <v>0</v>
      </c>
      <c r="BO21" s="313">
        <f>COUNTIF($D21:$AC21,BO$4)</f>
        <v>3</v>
      </c>
      <c r="BP21" s="314"/>
    </row>
    <row r="22" ht="19.5" customHeight="1" spans="1:68">
      <c r="A22" s="309"/>
      <c r="B22" s="392" t="s">
        <v>86</v>
      </c>
      <c r="C22" s="198"/>
      <c r="D22" s="197" t="s">
        <v>56</v>
      </c>
      <c r="F22" s="197"/>
      <c r="G22" s="197" t="s">
        <v>57</v>
      </c>
      <c r="H22" s="197"/>
      <c r="I22" s="197" t="s">
        <v>59</v>
      </c>
      <c r="J22" s="198"/>
      <c r="K22" s="197" t="s">
        <v>55</v>
      </c>
      <c r="L22" s="197" t="s">
        <v>55</v>
      </c>
      <c r="M22" s="197" t="s">
        <v>55</v>
      </c>
      <c r="N22" s="197" t="s">
        <v>55</v>
      </c>
      <c r="O22" s="197" t="s">
        <v>55</v>
      </c>
      <c r="P22" s="197" t="s">
        <v>55</v>
      </c>
      <c r="Q22" s="197" t="s">
        <v>55</v>
      </c>
      <c r="R22" s="197" t="s">
        <v>55</v>
      </c>
      <c r="S22" s="197" t="s">
        <v>55</v>
      </c>
      <c r="T22" s="197" t="s">
        <v>55</v>
      </c>
      <c r="U22" s="197" t="s">
        <v>55</v>
      </c>
      <c r="V22" s="197" t="s">
        <v>55</v>
      </c>
      <c r="W22" s="197" t="s">
        <v>55</v>
      </c>
      <c r="X22" s="197" t="s">
        <v>57</v>
      </c>
      <c r="Z22" s="106"/>
      <c r="AA22" s="197" t="s">
        <v>58</v>
      </c>
      <c r="AB22" s="198"/>
      <c r="AC22" s="197" t="s">
        <v>56</v>
      </c>
      <c r="AE22" s="197"/>
      <c r="AF22" s="106"/>
      <c r="AG22" s="197"/>
      <c r="AH22" s="311"/>
      <c r="AI22" s="312"/>
      <c r="AJ22" s="311"/>
      <c r="AK22" s="313"/>
      <c r="AL22" s="313"/>
      <c r="AM22" s="313"/>
      <c r="AN22" s="313"/>
      <c r="AO22" s="238"/>
      <c r="AP22" s="313">
        <f t="shared" si="3"/>
        <v>0</v>
      </c>
      <c r="AQ22" s="238"/>
      <c r="AR22" s="238">
        <f t="shared" si="4"/>
        <v>0</v>
      </c>
      <c r="AS22" s="238"/>
      <c r="AT22" s="238">
        <f t="shared" si="7"/>
        <v>0</v>
      </c>
      <c r="AU22" s="238">
        <f t="shared" si="8"/>
        <v>0</v>
      </c>
      <c r="AV22" s="238">
        <f t="shared" si="9"/>
        <v>0</v>
      </c>
      <c r="AW22" s="238" t="e">
        <f t="shared" si="10"/>
        <v>#VALUE!</v>
      </c>
      <c r="AX22" s="313" t="e">
        <f>(BI22*('Setting key Duty'!$I$8+'Setting key Duty'!$I$12))+(BG22*'Setting key Duty'!$I$9)+(BB22*('Setting key Duty'!$I$13+'Setting key Duty'!$I$9))+(AZ22*('Setting key Duty'!$I$13+'Setting key Duty'!$I$12+'Setting key Duty'!$I$11))+(BD22*('Setting key Duty'!$I$8+'Setting key Duty'!$I$9+'Setting key Duty'!$I$12))</f>
        <v>#VALUE!</v>
      </c>
      <c r="AY22" s="313">
        <f>COUNTIF(D22:AC22,"*BRT*")</f>
        <v>0</v>
      </c>
      <c r="AZ22" s="313">
        <f t="shared" si="11"/>
        <v>0</v>
      </c>
      <c r="BA22" s="313" t="e">
        <f>AZ22*('Setting key Duty'!$I$13+'Setting key Duty'!$I$12+'Setting key Duty'!$I$11)</f>
        <v>#VALUE!</v>
      </c>
      <c r="BB22" s="313">
        <f t="shared" si="12"/>
        <v>0</v>
      </c>
      <c r="BC22" s="313" t="e">
        <f>BB22*('Setting key Duty'!$I$13+'Setting key Duty'!$I$9)</f>
        <v>#VALUE!</v>
      </c>
      <c r="BD22" s="313">
        <f t="shared" si="13"/>
        <v>0</v>
      </c>
      <c r="BE22" s="313">
        <f>BD22*('Setting key Duty'!$I$8+'Setting key Duty'!$I$9+'Setting key Duty'!$I$12)</f>
        <v>0</v>
      </c>
      <c r="BF22" s="313">
        <f>COUNTIF(AE22:AH22,"*$N*")</f>
        <v>0</v>
      </c>
      <c r="BG22" s="313">
        <f>COUNTIF(AE22:AH22,"*$PM*")</f>
        <v>0</v>
      </c>
      <c r="BH22" s="313">
        <f>BG22*('Setting key Duty'!$I$9)</f>
        <v>0</v>
      </c>
      <c r="BI22" s="313">
        <f t="shared" si="14"/>
        <v>0</v>
      </c>
      <c r="BJ22" s="313">
        <f>BI22*('Setting key Duty'!$I$12+'Setting key Duty'!$I$8)</f>
        <v>0</v>
      </c>
      <c r="BK22" s="313">
        <f>COUNTIF(D22:AH22,"*$FC*")</f>
        <v>0</v>
      </c>
      <c r="BL22" s="313">
        <f>BK22*('Setting key Duty'!$J$11+'Setting key Duty'!$I$8)</f>
        <v>0</v>
      </c>
      <c r="BM22" s="313">
        <f>COUNTIF($D22:$AE22,BM$4)</f>
        <v>0</v>
      </c>
      <c r="BN22" s="313">
        <f>COUNTIF($D22:$AE22,BN$4)</f>
        <v>0</v>
      </c>
      <c r="BO22" s="313">
        <f>COUNTIF($D22:$AE22,BO$4)</f>
        <v>13</v>
      </c>
      <c r="BP22" s="314"/>
    </row>
    <row r="23" ht="19.5" customHeight="1" spans="1:68">
      <c r="A23" s="309"/>
      <c r="B23" s="335" t="s">
        <v>87</v>
      </c>
      <c r="C23" s="198" t="s">
        <v>55</v>
      </c>
      <c r="D23" s="197"/>
      <c r="E23" s="197"/>
      <c r="F23" s="324" t="s">
        <v>88</v>
      </c>
      <c r="G23" s="324" t="s">
        <v>88</v>
      </c>
      <c r="H23" s="324" t="s">
        <v>88</v>
      </c>
      <c r="I23" s="324" t="s">
        <v>88</v>
      </c>
      <c r="J23" s="197"/>
      <c r="K23" s="197"/>
      <c r="L23" s="197"/>
      <c r="M23" s="197" t="s">
        <v>59</v>
      </c>
      <c r="O23" s="197" t="s">
        <v>65</v>
      </c>
      <c r="Q23" s="197"/>
      <c r="R23" s="106"/>
      <c r="S23" s="197" t="s">
        <v>56</v>
      </c>
      <c r="T23" s="197"/>
      <c r="U23" s="198"/>
      <c r="V23" s="198"/>
      <c r="W23" s="331" t="s">
        <v>89</v>
      </c>
      <c r="X23" s="198"/>
      <c r="Y23" s="197" t="s">
        <v>59</v>
      </c>
      <c r="AA23" s="198"/>
      <c r="AB23" s="198"/>
      <c r="AC23" s="197" t="s">
        <v>90</v>
      </c>
      <c r="AD23" s="198"/>
      <c r="AE23" s="198"/>
      <c r="AF23" s="197" t="s">
        <v>56</v>
      </c>
      <c r="AH23" s="311"/>
      <c r="AI23" s="312"/>
      <c r="AJ23" s="311"/>
      <c r="AK23" s="313"/>
      <c r="AL23" s="313"/>
      <c r="AM23" s="313"/>
      <c r="AN23" s="313"/>
      <c r="AO23" s="238"/>
      <c r="AP23" s="313">
        <f t="shared" si="3"/>
        <v>0</v>
      </c>
      <c r="AQ23" s="238"/>
      <c r="AR23" s="238">
        <f t="shared" si="4"/>
        <v>0</v>
      </c>
      <c r="AS23" s="238"/>
      <c r="AT23" s="238">
        <f t="shared" si="7"/>
        <v>0</v>
      </c>
      <c r="AU23" s="238">
        <f t="shared" si="8"/>
        <v>0</v>
      </c>
      <c r="AV23" s="238">
        <f t="shared" si="9"/>
        <v>6</v>
      </c>
      <c r="AW23" s="238" t="e">
        <f t="shared" si="10"/>
        <v>#VALUE!</v>
      </c>
      <c r="AX23" s="313" t="e">
        <f>(BI23*('Setting key Duty'!$I$8+'Setting key Duty'!$I$12))+(BG23*'Setting key Duty'!$I$9)+(BB23*('Setting key Duty'!$I$13+'Setting key Duty'!$I$9))+(AZ23*('Setting key Duty'!$I$13+'Setting key Duty'!$I$12+'Setting key Duty'!$I$11))+(BD23*('Setting key Duty'!$I$8+'Setting key Duty'!$I$9+'Setting key Duty'!$I$12))</f>
        <v>#VALUE!</v>
      </c>
      <c r="AY23" s="313">
        <f>COUNTIF(D23:AA23,"*BRT*")</f>
        <v>0</v>
      </c>
      <c r="AZ23" s="313">
        <f t="shared" si="11"/>
        <v>0</v>
      </c>
      <c r="BA23" s="313" t="e">
        <f>AZ23*('Setting key Duty'!$I$13+'Setting key Duty'!$I$12+'Setting key Duty'!$I$11)</f>
        <v>#VALUE!</v>
      </c>
      <c r="BB23" s="313">
        <f t="shared" si="12"/>
        <v>0</v>
      </c>
      <c r="BC23" s="313" t="e">
        <f>BB23*('Setting key Duty'!$I$13+'Setting key Duty'!$I$9)</f>
        <v>#VALUE!</v>
      </c>
      <c r="BD23" s="313">
        <f t="shared" si="13"/>
        <v>2</v>
      </c>
      <c r="BE23" s="313">
        <f>BD23*('Setting key Duty'!$I$8+'Setting key Duty'!$I$9+'Setting key Duty'!$I$12)</f>
        <v>1.125</v>
      </c>
      <c r="BF23" s="313">
        <f>COUNTIF(AH23,"*$N*")</f>
        <v>0</v>
      </c>
      <c r="BG23" s="313">
        <f>COUNTIF(AH23,"*$PM*")</f>
        <v>0</v>
      </c>
      <c r="BH23" s="313">
        <f>BG23*('Setting key Duty'!$I$9)</f>
        <v>0</v>
      </c>
      <c r="BI23" s="313">
        <f t="shared" si="14"/>
        <v>0</v>
      </c>
      <c r="BJ23" s="313">
        <f>BI23*('Setting key Duty'!$I$12+'Setting key Duty'!$I$8)</f>
        <v>0</v>
      </c>
      <c r="BK23" s="313">
        <f>COUNTIF(D23:AH23,"*$FC*")</f>
        <v>4</v>
      </c>
      <c r="BL23" s="313">
        <f>BK23*('Setting key Duty'!$J$11+'Setting key Duty'!$I$8)</f>
        <v>0.5</v>
      </c>
      <c r="BM23" s="313">
        <f>COUNTIF($D23:$AA23,BM$4)</f>
        <v>0</v>
      </c>
      <c r="BN23" s="313">
        <f>COUNTIF($D23:$AA23,BN$4)</f>
        <v>0</v>
      </c>
      <c r="BO23" s="313">
        <f>COUNTIF($D23:$AA23,BO$4)</f>
        <v>0</v>
      </c>
      <c r="BP23" s="314"/>
    </row>
    <row r="24" ht="19.5" customHeight="1" spans="1:68">
      <c r="A24" s="309"/>
      <c r="B24" s="334" t="s">
        <v>91</v>
      </c>
      <c r="C24" s="197"/>
      <c r="D24" s="197" t="s">
        <v>92</v>
      </c>
      <c r="E24" s="197" t="s">
        <v>92</v>
      </c>
      <c r="F24" s="197" t="s">
        <v>92</v>
      </c>
      <c r="G24" s="197" t="s">
        <v>92</v>
      </c>
      <c r="H24" s="197" t="s">
        <v>92</v>
      </c>
      <c r="I24" s="197"/>
      <c r="J24" s="324" t="s">
        <v>93</v>
      </c>
      <c r="K24" s="197"/>
      <c r="L24" s="197"/>
      <c r="N24" s="197" t="s">
        <v>94</v>
      </c>
      <c r="Q24" s="197" t="s">
        <v>95</v>
      </c>
      <c r="R24" s="197" t="s">
        <v>95</v>
      </c>
      <c r="S24" s="197" t="s">
        <v>95</v>
      </c>
      <c r="T24" s="197" t="s">
        <v>95</v>
      </c>
      <c r="U24" s="197" t="s">
        <v>96</v>
      </c>
      <c r="V24" s="197" t="s">
        <v>97</v>
      </c>
      <c r="W24" s="197" t="s">
        <v>98</v>
      </c>
      <c r="X24" s="198"/>
      <c r="Y24" s="197"/>
      <c r="Z24" s="197" t="s">
        <v>58</v>
      </c>
      <c r="AA24" s="197"/>
      <c r="AB24" s="404"/>
      <c r="AC24" s="197"/>
      <c r="AD24" s="1" t="s">
        <v>71</v>
      </c>
      <c r="AE24" s="197"/>
      <c r="AF24" s="197"/>
      <c r="AH24" s="311">
        <f t="shared" ref="AH24:AN24" si="19">COUNTIF($C24:$AF24,AH$4)</f>
        <v>0</v>
      </c>
      <c r="AI24" s="312">
        <f t="shared" si="19"/>
        <v>0</v>
      </c>
      <c r="AJ24" s="311">
        <f t="shared" si="19"/>
        <v>0</v>
      </c>
      <c r="AK24" s="313">
        <f t="shared" si="19"/>
        <v>1</v>
      </c>
      <c r="AL24" s="313">
        <f t="shared" si="19"/>
        <v>1</v>
      </c>
      <c r="AM24" s="313">
        <f t="shared" si="19"/>
        <v>0</v>
      </c>
      <c r="AN24" s="313">
        <f t="shared" si="19"/>
        <v>0</v>
      </c>
      <c r="AO24" s="238"/>
      <c r="AP24" s="313">
        <f t="shared" si="3"/>
        <v>0</v>
      </c>
      <c r="AQ24" s="238"/>
      <c r="AR24" s="238">
        <f t="shared" si="4"/>
        <v>0</v>
      </c>
      <c r="AS24" s="238"/>
      <c r="AT24" s="238">
        <f t="shared" si="7"/>
        <v>0</v>
      </c>
      <c r="AU24" s="238">
        <f t="shared" si="8"/>
        <v>1</v>
      </c>
      <c r="AV24" s="238">
        <f t="shared" si="9"/>
        <v>12</v>
      </c>
      <c r="AW24" s="238" t="e">
        <f t="shared" si="10"/>
        <v>#VALUE!</v>
      </c>
      <c r="AX24" s="313" t="e">
        <f>(BI24*('Setting key Duty'!$I$8+'Setting key Duty'!$I$12))+(BG24*'Setting key Duty'!$I$9)+(BB24*('Setting key Duty'!$I$13+'Setting key Duty'!$I$9))+(AZ24*('Setting key Duty'!$I$13+'Setting key Duty'!$I$12+'Setting key Duty'!$I$11))+(BD24*('Setting key Duty'!$I$8+'Setting key Duty'!$I$9+'Setting key Duty'!$I$12))</f>
        <v>#VALUE!</v>
      </c>
      <c r="AY24" s="313">
        <f>COUNTIF(C24:AC24,"*BRT*")</f>
        <v>0</v>
      </c>
      <c r="AZ24" s="313">
        <f t="shared" si="11"/>
        <v>0</v>
      </c>
      <c r="BA24" s="313" t="e">
        <f>AZ24*('Setting key Duty'!$I$13+'Setting key Duty'!$I$12+'Setting key Duty'!$I$11)</f>
        <v>#VALUE!</v>
      </c>
      <c r="BB24" s="313">
        <f>COUNTIF(I24:AH24,"*$L*")</f>
        <v>0</v>
      </c>
      <c r="BC24" s="313" t="e">
        <f>BB24*('Setting key Duty'!$I$13+'Setting key Duty'!$I$9)</f>
        <v>#VALUE!</v>
      </c>
      <c r="BD24" s="313">
        <f>COUNTIF(I24:AH24,"*$M*")</f>
        <v>1</v>
      </c>
      <c r="BE24" s="313">
        <f>BD24*('Setting key Duty'!$I$8+'Setting key Duty'!$I$9+'Setting key Duty'!$I$12)</f>
        <v>0.5625</v>
      </c>
      <c r="BF24" s="313">
        <f>COUNTIF(I24:AH24,"*$N*")</f>
        <v>0</v>
      </c>
      <c r="BG24" s="313">
        <f>COUNTIF(I24:AH24,"*$PM*")</f>
        <v>2</v>
      </c>
      <c r="BH24" s="313">
        <f>BG24*('Setting key Duty'!$I$9)</f>
        <v>0.25</v>
      </c>
      <c r="BI24" s="313">
        <f>COUNTIF(I24:AH24,"*$AM*")</f>
        <v>0</v>
      </c>
      <c r="BJ24" s="313">
        <f>BI24*('Setting key Duty'!$I$12+'Setting key Duty'!$I$8)</f>
        <v>0</v>
      </c>
      <c r="BK24" s="313">
        <f>COUNTIF(C24:AH24,"*$FC*")</f>
        <v>9</v>
      </c>
      <c r="BL24" s="313">
        <f>BK24*('Setting key Duty'!$J$11+'Setting key Duty'!$I$8)</f>
        <v>1.125</v>
      </c>
      <c r="BM24" s="313">
        <f>COUNTIF($C24:$AF24,BM$4)</f>
        <v>0</v>
      </c>
      <c r="BN24" s="313">
        <f>COUNTIF($C24:$AF24,BN$4)</f>
        <v>0</v>
      </c>
      <c r="BO24" s="313">
        <f>COUNTIF($I24:$AE24,BO$4)</f>
        <v>0</v>
      </c>
      <c r="BP24" s="314"/>
    </row>
    <row r="25" ht="19.5" customHeight="1" spans="1:68">
      <c r="A25" s="309"/>
      <c r="B25" s="373" t="s">
        <v>99</v>
      </c>
      <c r="C25" s="197" t="s">
        <v>100</v>
      </c>
      <c r="D25" s="197"/>
      <c r="E25" s="197"/>
      <c r="F25" s="197" t="s">
        <v>65</v>
      </c>
      <c r="G25" s="324" t="s">
        <v>93</v>
      </c>
      <c r="H25" s="197"/>
      <c r="I25" s="197" t="s">
        <v>101</v>
      </c>
      <c r="J25" s="197" t="s">
        <v>102</v>
      </c>
      <c r="K25" s="106"/>
      <c r="L25" s="197"/>
      <c r="M25" s="198" t="s">
        <v>103</v>
      </c>
      <c r="N25" s="197"/>
      <c r="O25" s="197"/>
      <c r="P25" s="197" t="s">
        <v>104</v>
      </c>
      <c r="Q25" s="197" t="s">
        <v>102</v>
      </c>
      <c r="S25" s="197" t="s">
        <v>58</v>
      </c>
      <c r="T25" s="197"/>
      <c r="V25" s="197" t="s">
        <v>105</v>
      </c>
      <c r="W25" s="197" t="s">
        <v>106</v>
      </c>
      <c r="X25" s="197" t="s">
        <v>93</v>
      </c>
      <c r="Y25" s="197"/>
      <c r="Z25" s="197"/>
      <c r="AA25" s="197" t="s">
        <v>65</v>
      </c>
      <c r="AB25" s="197"/>
      <c r="AC25" s="197" t="s">
        <v>107</v>
      </c>
      <c r="AE25" s="197"/>
      <c r="AF25" s="106"/>
      <c r="AG25" s="197"/>
      <c r="AH25" s="311"/>
      <c r="AI25" s="312"/>
      <c r="AJ25" s="311"/>
      <c r="AK25" s="313"/>
      <c r="AL25" s="313"/>
      <c r="AM25" s="313"/>
      <c r="AN25" s="313"/>
      <c r="AO25" s="238"/>
      <c r="AP25" s="313">
        <f t="shared" si="3"/>
        <v>0</v>
      </c>
      <c r="AQ25" s="238"/>
      <c r="AR25" s="238">
        <f t="shared" si="4"/>
        <v>0</v>
      </c>
      <c r="AS25" s="238"/>
      <c r="AT25" s="238">
        <f t="shared" si="7"/>
        <v>0</v>
      </c>
      <c r="AU25" s="238">
        <f t="shared" si="8"/>
        <v>0</v>
      </c>
      <c r="AV25" s="238">
        <f t="shared" si="9"/>
        <v>9</v>
      </c>
      <c r="AW25" s="238" t="e">
        <f t="shared" ref="AW25:AW31" si="20">AT25+$AX$25</f>
        <v>#VALUE!</v>
      </c>
      <c r="AX25" s="313" t="e">
        <f>(BI25*('Setting key Duty'!$I$8+'Setting key Duty'!$I$12))+(BG25*'Setting key Duty'!$I$9)+(BB25*('Setting key Duty'!$I$13+'Setting key Duty'!$I$9))+(AZ25*('Setting key Duty'!$I$13+'Setting key Duty'!$I$12+'Setting key Duty'!$I$11))+(BD25*('Setting key Duty'!$I$8+'Setting key Duty'!$I$9+'Setting key Duty'!$I$12))</f>
        <v>#VALUE!</v>
      </c>
      <c r="AY25" s="313">
        <f>COUNTIF(C25:AC25,"*BRT*")</f>
        <v>0</v>
      </c>
      <c r="AZ25" s="313">
        <f t="shared" si="11"/>
        <v>1</v>
      </c>
      <c r="BA25" s="313" t="e">
        <f>AZ25*('Setting key Duty'!$I$13+'Setting key Duty'!$I$12+'Setting key Duty'!$I$11)</f>
        <v>#VALUE!</v>
      </c>
      <c r="BB25" s="313">
        <f>COUNTIF(D25:AH25,"*$L*")</f>
        <v>0</v>
      </c>
      <c r="BC25" s="313" t="e">
        <f>BB25*('Setting key Duty'!$I$13+'Setting key Duty'!$I$9)</f>
        <v>#VALUE!</v>
      </c>
      <c r="BD25" s="313">
        <f>COUNTIF(D25:AH25,"*$M*")</f>
        <v>2</v>
      </c>
      <c r="BE25" s="313">
        <f>BD25*('Setting key Duty'!$I$8+'Setting key Duty'!$I$9+'Setting key Duty'!$I$12)</f>
        <v>1.125</v>
      </c>
      <c r="BF25" s="313">
        <f>COUNTIF(D25:AH25,"*$N*")</f>
        <v>0</v>
      </c>
      <c r="BG25" s="313">
        <f>COUNTIF(D25:AH25,"*$PM*")</f>
        <v>0</v>
      </c>
      <c r="BH25" s="313">
        <f>BG25*('Setting key Duty'!$I$9)</f>
        <v>0</v>
      </c>
      <c r="BI25" s="313">
        <f>COUNTIF(D25:AH25,"*$AM*")</f>
        <v>6</v>
      </c>
      <c r="BJ25" s="313">
        <f>BI25*('Setting key Duty'!$I$12+'Setting key Duty'!$I$8)</f>
        <v>2.625</v>
      </c>
      <c r="BK25" s="313">
        <f>COUNTIF(C25:AH25,"*$FC*")</f>
        <v>0</v>
      </c>
      <c r="BL25" s="313">
        <f>BK25*('Setting key Duty'!$J$11+'Setting key Duty'!$I$8)</f>
        <v>0</v>
      </c>
      <c r="BM25" s="313">
        <f>COUNTIF($C25:$AG25,BM$4)</f>
        <v>0</v>
      </c>
      <c r="BN25" s="313">
        <f>COUNTIF($C25:$AG25,BN$4)</f>
        <v>0</v>
      </c>
      <c r="BO25" s="313">
        <f>COUNTIF($D25:$AE25,BO$4)</f>
        <v>0</v>
      </c>
      <c r="BP25" s="314"/>
    </row>
    <row r="26" ht="19.5" customHeight="1" spans="1:68">
      <c r="A26" s="309"/>
      <c r="B26" s="373" t="s">
        <v>108</v>
      </c>
      <c r="C26" s="324" t="s">
        <v>55</v>
      </c>
      <c r="D26" s="324" t="s">
        <v>55</v>
      </c>
      <c r="E26" s="324" t="s">
        <v>55</v>
      </c>
      <c r="F26" s="324" t="s">
        <v>55</v>
      </c>
      <c r="G26" s="324"/>
      <c r="H26" s="197" t="s">
        <v>109</v>
      </c>
      <c r="I26" s="197" t="s">
        <v>110</v>
      </c>
      <c r="J26" s="197" t="s">
        <v>111</v>
      </c>
      <c r="K26" s="317"/>
      <c r="L26" s="324"/>
      <c r="M26" s="197" t="s">
        <v>112</v>
      </c>
      <c r="N26" s="317" t="s">
        <v>93</v>
      </c>
      <c r="O26" s="197" t="s">
        <v>113</v>
      </c>
      <c r="P26" s="197" t="s">
        <v>114</v>
      </c>
      <c r="Q26" s="317" t="s">
        <v>93</v>
      </c>
      <c r="T26" s="317" t="s">
        <v>93</v>
      </c>
      <c r="U26" s="197" t="s">
        <v>115</v>
      </c>
      <c r="V26" s="197" t="s">
        <v>116</v>
      </c>
      <c r="W26" s="197" t="s">
        <v>117</v>
      </c>
      <c r="X26" s="317" t="s">
        <v>55</v>
      </c>
      <c r="Y26" s="106"/>
      <c r="Z26" s="106"/>
      <c r="AA26" s="197" t="s">
        <v>96</v>
      </c>
      <c r="AB26" s="197" t="s">
        <v>118</v>
      </c>
      <c r="AD26" s="197" t="s">
        <v>65</v>
      </c>
      <c r="AE26" s="197"/>
      <c r="AF26" s="317"/>
      <c r="AG26" s="317"/>
      <c r="AH26" s="311"/>
      <c r="AI26" s="312"/>
      <c r="AJ26" s="311"/>
      <c r="AK26" s="313"/>
      <c r="AL26" s="313"/>
      <c r="AM26" s="313"/>
      <c r="AN26" s="313"/>
      <c r="AO26" s="238"/>
      <c r="AP26" s="313">
        <f t="shared" si="3"/>
        <v>0</v>
      </c>
      <c r="AQ26" s="238"/>
      <c r="AR26" s="238">
        <f t="shared" si="4"/>
        <v>0</v>
      </c>
      <c r="AS26" s="238"/>
      <c r="AT26" s="238">
        <f t="shared" si="7"/>
        <v>0</v>
      </c>
      <c r="AU26" s="238">
        <f t="shared" si="8"/>
        <v>0</v>
      </c>
      <c r="AV26" s="238">
        <f t="shared" si="9"/>
        <v>0</v>
      </c>
      <c r="AW26" s="238" t="e">
        <f t="shared" si="20"/>
        <v>#VALUE!</v>
      </c>
      <c r="AX26" s="313" t="e">
        <f>(BI26*('Setting key Duty'!$I$8+'Setting key Duty'!$I$12))+(BG26*'Setting key Duty'!$I$9)+(BB26*('Setting key Duty'!$I$13+'Setting key Duty'!$I$9))+(AZ26*('Setting key Duty'!$I$13+'Setting key Duty'!$I$12+'Setting key Duty'!$I$11))+(BD26*('Setting key Duty'!$I$8+'Setting key Duty'!$I$9+'Setting key Duty'!$I$12))</f>
        <v>#VALUE!</v>
      </c>
      <c r="AY26" s="313"/>
      <c r="AZ26" s="313"/>
      <c r="BA26" s="313"/>
      <c r="BB26" s="313"/>
      <c r="BC26" s="313"/>
      <c r="BD26" s="313"/>
      <c r="BE26" s="313"/>
      <c r="BF26" s="313"/>
      <c r="BG26" s="313"/>
      <c r="BH26" s="313"/>
      <c r="BI26" s="313"/>
      <c r="BJ26" s="313"/>
      <c r="BK26" s="313"/>
      <c r="BL26" s="313"/>
      <c r="BM26" s="313"/>
      <c r="BN26" s="313"/>
      <c r="BO26" s="313"/>
      <c r="BP26" s="314"/>
    </row>
    <row r="27" ht="19.5" customHeight="1" spans="1:68">
      <c r="A27" s="309"/>
      <c r="B27" s="373" t="s">
        <v>119</v>
      </c>
      <c r="C27" s="324" t="s">
        <v>93</v>
      </c>
      <c r="E27" s="317" t="s">
        <v>65</v>
      </c>
      <c r="G27" s="317" t="s">
        <v>65</v>
      </c>
      <c r="I27" s="317" t="s">
        <v>93</v>
      </c>
      <c r="K27" s="317" t="s">
        <v>65</v>
      </c>
      <c r="M27" s="197" t="s">
        <v>65</v>
      </c>
      <c r="N27" s="106"/>
      <c r="P27" s="197" t="s">
        <v>65</v>
      </c>
      <c r="R27" s="197" t="s">
        <v>65</v>
      </c>
      <c r="S27" s="197"/>
      <c r="U27" s="317" t="s">
        <v>65</v>
      </c>
      <c r="V27" s="317" t="s">
        <v>93</v>
      </c>
      <c r="W27" s="197" t="s">
        <v>65</v>
      </c>
      <c r="Y27" s="197" t="s">
        <v>120</v>
      </c>
      <c r="Z27" s="197"/>
      <c r="AC27" s="197" t="s">
        <v>93</v>
      </c>
      <c r="AD27" s="197" t="s">
        <v>93</v>
      </c>
      <c r="AE27" s="197" t="s">
        <v>65</v>
      </c>
      <c r="AF27" s="106"/>
      <c r="AG27" s="317"/>
      <c r="AH27" s="311"/>
      <c r="AI27" s="312"/>
      <c r="AJ27" s="311"/>
      <c r="AK27" s="313"/>
      <c r="AL27" s="313"/>
      <c r="AM27" s="313"/>
      <c r="AN27" s="313"/>
      <c r="AO27" s="238"/>
      <c r="AP27" s="313">
        <f t="shared" si="3"/>
        <v>0</v>
      </c>
      <c r="AQ27" s="238"/>
      <c r="AR27" s="238">
        <f t="shared" si="4"/>
        <v>0</v>
      </c>
      <c r="AS27" s="238"/>
      <c r="AT27" s="238">
        <f t="shared" si="7"/>
        <v>0</v>
      </c>
      <c r="AU27" s="238">
        <f t="shared" si="8"/>
        <v>0</v>
      </c>
      <c r="AV27" s="238">
        <f t="shared" si="9"/>
        <v>0</v>
      </c>
      <c r="AW27" s="238" t="e">
        <f t="shared" si="20"/>
        <v>#VALUE!</v>
      </c>
      <c r="AX27" s="313" t="e">
        <f>(BI27*('Setting key Duty'!$I$8+'Setting key Duty'!$I$12))+(BG27*'Setting key Duty'!$I$9)+(BB27*('Setting key Duty'!$I$13+'Setting key Duty'!$I$9))+(AZ27*('Setting key Duty'!$I$13+'Setting key Duty'!$I$12+'Setting key Duty'!$I$11))+(BD27*('Setting key Duty'!$I$8+'Setting key Duty'!$I$9+'Setting key Duty'!$I$12))</f>
        <v>#VALUE!</v>
      </c>
      <c r="AY27" s="313"/>
      <c r="AZ27" s="313"/>
      <c r="BA27" s="313"/>
      <c r="BB27" s="313"/>
      <c r="BC27" s="313"/>
      <c r="BD27" s="313"/>
      <c r="BE27" s="313"/>
      <c r="BF27" s="313"/>
      <c r="BG27" s="313"/>
      <c r="BH27" s="313"/>
      <c r="BI27" s="313"/>
      <c r="BJ27" s="313"/>
      <c r="BK27" s="313"/>
      <c r="BL27" s="313"/>
      <c r="BM27" s="313"/>
      <c r="BN27" s="313"/>
      <c r="BO27" s="313"/>
      <c r="BP27" s="314"/>
    </row>
    <row r="28" ht="19.5" customHeight="1" spans="1:68">
      <c r="A28" s="309"/>
      <c r="B28" s="373" t="s">
        <v>121</v>
      </c>
      <c r="C28" s="197" t="s">
        <v>55</v>
      </c>
      <c r="D28" s="197" t="s">
        <v>55</v>
      </c>
      <c r="E28" s="197" t="s">
        <v>55</v>
      </c>
      <c r="F28" s="197" t="s">
        <v>97</v>
      </c>
      <c r="G28" s="197" t="s">
        <v>122</v>
      </c>
      <c r="H28" s="324"/>
      <c r="I28" s="317" t="s">
        <v>65</v>
      </c>
      <c r="J28" s="106"/>
      <c r="L28" s="324" t="s">
        <v>65</v>
      </c>
      <c r="N28" s="197" t="s">
        <v>123</v>
      </c>
      <c r="O28" s="106"/>
      <c r="P28" s="317" t="s">
        <v>93</v>
      </c>
      <c r="Q28" s="197" t="s">
        <v>114</v>
      </c>
      <c r="R28" s="324"/>
      <c r="S28" s="324"/>
      <c r="T28" s="317" t="s">
        <v>96</v>
      </c>
      <c r="U28" s="197" t="s">
        <v>124</v>
      </c>
      <c r="V28" s="197" t="s">
        <v>125</v>
      </c>
      <c r="W28" s="317" t="s">
        <v>93</v>
      </c>
      <c r="X28" s="197" t="s">
        <v>126</v>
      </c>
      <c r="Y28" s="197" t="s">
        <v>65</v>
      </c>
      <c r="AA28" s="197"/>
      <c r="AB28" s="197" t="s">
        <v>93</v>
      </c>
      <c r="AC28" s="197" t="s">
        <v>127</v>
      </c>
      <c r="AD28" s="197" t="s">
        <v>96</v>
      </c>
      <c r="AE28" s="197" t="s">
        <v>128</v>
      </c>
      <c r="AF28" s="198"/>
      <c r="AG28" s="106"/>
      <c r="AH28" s="311"/>
      <c r="AI28" s="312"/>
      <c r="AJ28" s="311"/>
      <c r="AK28" s="313"/>
      <c r="AL28" s="313"/>
      <c r="AM28" s="313"/>
      <c r="AN28" s="313"/>
      <c r="AO28" s="238"/>
      <c r="AP28" s="313">
        <f t="shared" si="3"/>
        <v>0</v>
      </c>
      <c r="AQ28" s="238"/>
      <c r="AR28" s="238">
        <f t="shared" si="4"/>
        <v>0</v>
      </c>
      <c r="AS28" s="238"/>
      <c r="AT28" s="238">
        <f t="shared" si="7"/>
        <v>0</v>
      </c>
      <c r="AU28" s="238">
        <f t="shared" si="8"/>
        <v>0</v>
      </c>
      <c r="AV28" s="238">
        <f t="shared" si="9"/>
        <v>0</v>
      </c>
      <c r="AW28" s="238" t="e">
        <f t="shared" si="20"/>
        <v>#VALUE!</v>
      </c>
      <c r="AX28" s="313" t="e">
        <f>(BI28*('Setting key Duty'!$I$8+'Setting key Duty'!$I$12))+(BG28*'Setting key Duty'!$I$9)+(BB28*('Setting key Duty'!$I$13+'Setting key Duty'!$I$9))+(AZ28*('Setting key Duty'!$I$13+'Setting key Duty'!$I$12+'Setting key Duty'!$I$11))+(BD28*('Setting key Duty'!$I$8+'Setting key Duty'!$I$9+'Setting key Duty'!$I$12))</f>
        <v>#VALUE!</v>
      </c>
      <c r="AY28" s="313"/>
      <c r="AZ28" s="313"/>
      <c r="BA28" s="313"/>
      <c r="BB28" s="313"/>
      <c r="BC28" s="313"/>
      <c r="BD28" s="313"/>
      <c r="BE28" s="313"/>
      <c r="BF28" s="313"/>
      <c r="BG28" s="313"/>
      <c r="BH28" s="313"/>
      <c r="BI28" s="313"/>
      <c r="BJ28" s="313"/>
      <c r="BK28" s="313"/>
      <c r="BL28" s="313"/>
      <c r="BM28" s="313"/>
      <c r="BN28" s="313"/>
      <c r="BO28" s="313"/>
      <c r="BP28" s="314"/>
    </row>
    <row r="29" ht="19.5" customHeight="1" spans="1:68">
      <c r="A29" s="309"/>
      <c r="B29" s="373" t="s">
        <v>129</v>
      </c>
      <c r="C29" s="317"/>
      <c r="D29" s="317"/>
      <c r="E29" s="317"/>
      <c r="F29" s="317" t="s">
        <v>130</v>
      </c>
      <c r="G29" s="317" t="s">
        <v>130</v>
      </c>
      <c r="H29" s="317" t="s">
        <v>130</v>
      </c>
      <c r="I29" s="317" t="s">
        <v>130</v>
      </c>
      <c r="J29" s="317" t="s">
        <v>130</v>
      </c>
      <c r="K29" s="317"/>
      <c r="L29" s="317"/>
      <c r="M29" s="317" t="s">
        <v>130</v>
      </c>
      <c r="N29" s="197" t="s">
        <v>131</v>
      </c>
      <c r="O29" s="317" t="s">
        <v>93</v>
      </c>
      <c r="P29" s="197" t="s">
        <v>132</v>
      </c>
      <c r="Q29" s="197" t="s">
        <v>133</v>
      </c>
      <c r="R29" s="197"/>
      <c r="S29" s="197"/>
      <c r="T29" s="317" t="s">
        <v>55</v>
      </c>
      <c r="U29" s="317" t="s">
        <v>130</v>
      </c>
      <c r="V29" s="317" t="s">
        <v>130</v>
      </c>
      <c r="W29" s="197" t="s">
        <v>96</v>
      </c>
      <c r="X29" s="317" t="s">
        <v>130</v>
      </c>
      <c r="Y29" s="197"/>
      <c r="Z29" s="197"/>
      <c r="AA29" s="197" t="s">
        <v>93</v>
      </c>
      <c r="AB29" s="317"/>
      <c r="AC29" s="317" t="s">
        <v>130</v>
      </c>
      <c r="AD29" s="317"/>
      <c r="AE29" s="197" t="s">
        <v>106</v>
      </c>
      <c r="AG29" s="317" t="s">
        <v>65</v>
      </c>
      <c r="AH29" s="311"/>
      <c r="AI29" s="312"/>
      <c r="AJ29" s="311"/>
      <c r="AK29" s="313"/>
      <c r="AL29" s="313"/>
      <c r="AM29" s="313"/>
      <c r="AN29" s="313"/>
      <c r="AO29" s="238"/>
      <c r="AP29" s="313">
        <f t="shared" si="3"/>
        <v>0</v>
      </c>
      <c r="AQ29" s="238"/>
      <c r="AR29" s="238">
        <f t="shared" si="4"/>
        <v>0</v>
      </c>
      <c r="AS29" s="238"/>
      <c r="AT29" s="238">
        <f t="shared" si="7"/>
        <v>0</v>
      </c>
      <c r="AU29" s="238">
        <f t="shared" si="8"/>
        <v>0</v>
      </c>
      <c r="AV29" s="238">
        <f t="shared" si="9"/>
        <v>0</v>
      </c>
      <c r="AW29" s="238" t="e">
        <f t="shared" si="20"/>
        <v>#VALUE!</v>
      </c>
      <c r="AX29" s="313" t="e">
        <f>(BI29*('Setting key Duty'!$I$8+'Setting key Duty'!$I$12))+(BG29*'Setting key Duty'!$I$9)+(BB29*('Setting key Duty'!$I$13+'Setting key Duty'!$I$9))+(AZ29*('Setting key Duty'!$I$13+'Setting key Duty'!$I$12+'Setting key Duty'!$I$11))+(BD29*('Setting key Duty'!$I$8+'Setting key Duty'!$I$9+'Setting key Duty'!$I$12))</f>
        <v>#VALUE!</v>
      </c>
      <c r="AY29" s="313"/>
      <c r="AZ29" s="313"/>
      <c r="BA29" s="313"/>
      <c r="BB29" s="313"/>
      <c r="BC29" s="313"/>
      <c r="BD29" s="313"/>
      <c r="BE29" s="313"/>
      <c r="BF29" s="313"/>
      <c r="BG29" s="313"/>
      <c r="BH29" s="313"/>
      <c r="BI29" s="313"/>
      <c r="BJ29" s="313"/>
      <c r="BK29" s="313"/>
      <c r="BL29" s="313"/>
      <c r="BM29" s="313"/>
      <c r="BN29" s="313"/>
      <c r="BO29" s="313"/>
      <c r="BP29" s="314"/>
    </row>
    <row r="30" ht="19.5" customHeight="1" spans="1:68">
      <c r="A30" s="309"/>
      <c r="B30" s="373" t="s">
        <v>134</v>
      </c>
      <c r="C30" s="324" t="s">
        <v>96</v>
      </c>
      <c r="D30" s="197"/>
      <c r="F30" s="198" t="s">
        <v>96</v>
      </c>
      <c r="G30" s="324"/>
      <c r="H30" s="317" t="s">
        <v>93</v>
      </c>
      <c r="I30" s="197" t="s">
        <v>135</v>
      </c>
      <c r="J30" s="317" t="s">
        <v>65</v>
      </c>
      <c r="K30" s="324"/>
      <c r="L30" s="197"/>
      <c r="M30" s="317" t="s">
        <v>93</v>
      </c>
      <c r="O30" s="197" t="s">
        <v>136</v>
      </c>
      <c r="Q30" s="197" t="s">
        <v>137</v>
      </c>
      <c r="R30" s="197" t="s">
        <v>120</v>
      </c>
      <c r="S30" s="197" t="s">
        <v>65</v>
      </c>
      <c r="T30" s="197" t="s">
        <v>138</v>
      </c>
      <c r="V30" s="197" t="s">
        <v>139</v>
      </c>
      <c r="W30" s="197" t="s">
        <v>140</v>
      </c>
      <c r="Y30" s="106"/>
      <c r="Z30" s="398" t="s">
        <v>65</v>
      </c>
      <c r="AA30" s="197"/>
      <c r="AB30" s="197" t="s">
        <v>71</v>
      </c>
      <c r="AC30" s="197" t="s">
        <v>71</v>
      </c>
      <c r="AD30" s="197" t="s">
        <v>141</v>
      </c>
      <c r="AE30" s="197" t="s">
        <v>96</v>
      </c>
      <c r="AF30" s="197"/>
      <c r="AG30" s="317"/>
      <c r="AH30" s="311"/>
      <c r="AI30" s="312"/>
      <c r="AJ30" s="311"/>
      <c r="AK30" s="313"/>
      <c r="AL30" s="313"/>
      <c r="AM30" s="313"/>
      <c r="AN30" s="313"/>
      <c r="AO30" s="238"/>
      <c r="AP30" s="313">
        <f t="shared" si="3"/>
        <v>0</v>
      </c>
      <c r="AQ30" s="238"/>
      <c r="AR30" s="238">
        <f t="shared" si="4"/>
        <v>0</v>
      </c>
      <c r="AS30" s="238"/>
      <c r="AT30" s="238">
        <f t="shared" si="7"/>
        <v>0</v>
      </c>
      <c r="AU30" s="238">
        <f t="shared" si="8"/>
        <v>0</v>
      </c>
      <c r="AV30" s="238">
        <f t="shared" si="9"/>
        <v>0</v>
      </c>
      <c r="AW30" s="238" t="e">
        <f t="shared" si="20"/>
        <v>#VALUE!</v>
      </c>
      <c r="AX30" s="313" t="e">
        <f>(BI30*('Setting key Duty'!$I$8+'Setting key Duty'!$I$12))+(BG30*'Setting key Duty'!$I$9)+(BB30*('Setting key Duty'!$I$13+'Setting key Duty'!$I$9))+(AZ30*('Setting key Duty'!$I$13+'Setting key Duty'!$I$12+'Setting key Duty'!$I$11))+(BD30*('Setting key Duty'!$I$8+'Setting key Duty'!$I$9+'Setting key Duty'!$I$12))</f>
        <v>#VALUE!</v>
      </c>
      <c r="AY30" s="313"/>
      <c r="AZ30" s="313"/>
      <c r="BA30" s="313"/>
      <c r="BB30" s="313"/>
      <c r="BC30" s="313"/>
      <c r="BD30" s="313"/>
      <c r="BE30" s="313"/>
      <c r="BF30" s="313"/>
      <c r="BG30" s="313"/>
      <c r="BH30" s="313"/>
      <c r="BI30" s="313"/>
      <c r="BJ30" s="313"/>
      <c r="BK30" s="313"/>
      <c r="BL30" s="313"/>
      <c r="BM30" s="313"/>
      <c r="BN30" s="313"/>
      <c r="BO30" s="313"/>
      <c r="BP30" s="314"/>
    </row>
    <row r="31" ht="43.5" customHeight="1" spans="1:68">
      <c r="A31" s="309"/>
      <c r="B31" s="373" t="s">
        <v>142</v>
      </c>
      <c r="C31" s="197" t="s">
        <v>102</v>
      </c>
      <c r="D31" s="317" t="s">
        <v>65</v>
      </c>
      <c r="F31" s="324" t="s">
        <v>93</v>
      </c>
      <c r="H31" s="197" t="s">
        <v>104</v>
      </c>
      <c r="I31" s="197"/>
      <c r="J31" s="197" t="s">
        <v>133</v>
      </c>
      <c r="K31" s="106"/>
      <c r="L31" s="198"/>
      <c r="M31" s="197" t="s">
        <v>143</v>
      </c>
      <c r="N31" s="317" t="s">
        <v>65</v>
      </c>
      <c r="O31" s="317"/>
      <c r="P31" s="197" t="s">
        <v>144</v>
      </c>
      <c r="Q31" s="317" t="s">
        <v>65</v>
      </c>
      <c r="R31" s="317"/>
      <c r="S31" s="198"/>
      <c r="T31" s="317" t="s">
        <v>65</v>
      </c>
      <c r="U31" s="317" t="s">
        <v>93</v>
      </c>
      <c r="V31" s="197" t="s">
        <v>145</v>
      </c>
      <c r="X31" s="317" t="s">
        <v>65</v>
      </c>
      <c r="Y31" s="197"/>
      <c r="Z31" s="317"/>
      <c r="AA31" s="324"/>
      <c r="AB31" s="197" t="s">
        <v>146</v>
      </c>
      <c r="AC31" s="197" t="s">
        <v>147</v>
      </c>
      <c r="AD31" s="317"/>
      <c r="AE31" s="317" t="s">
        <v>93</v>
      </c>
      <c r="AF31" s="317" t="s">
        <v>65</v>
      </c>
      <c r="AH31" s="311"/>
      <c r="AI31" s="312"/>
      <c r="AJ31" s="311"/>
      <c r="AK31" s="313"/>
      <c r="AL31" s="313"/>
      <c r="AM31" s="313"/>
      <c r="AN31" s="313"/>
      <c r="AO31" s="238"/>
      <c r="AP31" s="313">
        <f t="shared" si="3"/>
        <v>0</v>
      </c>
      <c r="AQ31" s="238"/>
      <c r="AR31" s="238">
        <f t="shared" si="4"/>
        <v>0</v>
      </c>
      <c r="AS31" s="238"/>
      <c r="AT31" s="238">
        <f t="shared" si="7"/>
        <v>0</v>
      </c>
      <c r="AU31" s="238">
        <f t="shared" si="8"/>
        <v>0</v>
      </c>
      <c r="AV31" s="238">
        <f t="shared" si="9"/>
        <v>0</v>
      </c>
      <c r="AW31" s="238" t="e">
        <f t="shared" si="20"/>
        <v>#VALUE!</v>
      </c>
      <c r="AX31" s="313" t="e">
        <f>(BI31*('Setting key Duty'!$I$8+'Setting key Duty'!$I$12))+(BG31*'Setting key Duty'!$I$9)+(BB31*('Setting key Duty'!$I$13+'Setting key Duty'!$I$9))+(AZ31*('Setting key Duty'!$I$13+'Setting key Duty'!$I$12+'Setting key Duty'!$I$11))+(BD31*('Setting key Duty'!$I$8+'Setting key Duty'!$I$9+'Setting key Duty'!$I$12))</f>
        <v>#VALUE!</v>
      </c>
      <c r="AY31" s="313"/>
      <c r="AZ31" s="313"/>
      <c r="BA31" s="313"/>
      <c r="BB31" s="313"/>
      <c r="BC31" s="313"/>
      <c r="BD31" s="313"/>
      <c r="BE31" s="313"/>
      <c r="BF31" s="313"/>
      <c r="BG31" s="313"/>
      <c r="BH31" s="313"/>
      <c r="BI31" s="313"/>
      <c r="BJ31" s="313"/>
      <c r="BK31" s="313"/>
      <c r="BL31" s="313"/>
      <c r="BM31" s="313"/>
      <c r="BN31" s="313"/>
      <c r="BO31" s="313"/>
      <c r="BP31" s="314"/>
    </row>
    <row r="32" ht="19.5" customHeight="1" spans="1:68">
      <c r="A32" s="309"/>
      <c r="B32" s="347"/>
      <c r="C32" s="405"/>
      <c r="D32" s="406"/>
      <c r="E32" s="356"/>
      <c r="F32" s="406"/>
      <c r="G32" s="406"/>
      <c r="H32" s="356"/>
      <c r="I32" s="356"/>
      <c r="K32" s="406"/>
      <c r="L32" s="406"/>
      <c r="M32" s="356"/>
      <c r="O32" s="317"/>
      <c r="P32" s="317"/>
      <c r="Q32" s="106"/>
      <c r="S32" s="317"/>
      <c r="T32" s="317"/>
      <c r="U32" s="317"/>
      <c r="V32" s="317"/>
      <c r="X32" s="155"/>
      <c r="Y32" s="324"/>
      <c r="AF32" s="317"/>
      <c r="AG32" s="317"/>
      <c r="AH32" s="311"/>
      <c r="AI32" s="312"/>
      <c r="AJ32" s="311"/>
      <c r="AK32" s="313"/>
      <c r="AL32" s="313"/>
      <c r="AM32" s="313"/>
      <c r="AN32" s="313"/>
      <c r="AO32" s="238"/>
      <c r="AP32" s="313">
        <f t="shared" si="3"/>
        <v>0</v>
      </c>
      <c r="AQ32" s="238"/>
      <c r="AR32" s="238">
        <f t="shared" si="4"/>
        <v>0</v>
      </c>
      <c r="AS32" s="238"/>
      <c r="AT32" s="238">
        <f t="shared" si="7"/>
        <v>0</v>
      </c>
      <c r="AU32" s="238">
        <f t="shared" si="8"/>
        <v>0</v>
      </c>
      <c r="AV32" s="238">
        <f t="shared" si="9"/>
        <v>0</v>
      </c>
      <c r="AW32" s="238" t="e">
        <f>AT32+AX32</f>
        <v>#VALUE!</v>
      </c>
      <c r="AX32" s="313" t="e">
        <f>(BI32*('Setting key Duty'!$I$8+'Setting key Duty'!$I$12))+(BG32*'Setting key Duty'!$I$9)+(BB32*('Setting key Duty'!$I$13+'Setting key Duty'!$I$9))+(AZ32*('Setting key Duty'!$I$13+'Setting key Duty'!$I$12+'Setting key Duty'!$I$11))+(BD32*('Setting key Duty'!$I$8+'Setting key Duty'!$I$9+'Setting key Duty'!$I$12))</f>
        <v>#VALUE!</v>
      </c>
      <c r="AY32" s="313">
        <f>COUNTIF(C32:Y32,"*BRT*")</f>
        <v>0</v>
      </c>
      <c r="AZ32" s="313">
        <f>COUNTIF(A32:AH32,"*$BTP*")</f>
        <v>0</v>
      </c>
      <c r="BA32" s="313" t="e">
        <f>AZ32*('Setting key Duty'!$I$13+'Setting key Duty'!$I$12+'Setting key Duty'!$I$11)</f>
        <v>#VALUE!</v>
      </c>
      <c r="BB32" s="313">
        <f>COUNTIF(D32:AH32,"*$L*")</f>
        <v>0</v>
      </c>
      <c r="BC32" s="313" t="e">
        <f>BB32*('Setting key Duty'!$I$13+'Setting key Duty'!$I$9)</f>
        <v>#VALUE!</v>
      </c>
      <c r="BD32" s="313">
        <f>COUNTIF(D32:AH32,"*$M*")</f>
        <v>0</v>
      </c>
      <c r="BE32" s="313">
        <f>BD32*('Setting key Duty'!$I$8+'Setting key Duty'!$I$9+'Setting key Duty'!$I$12)</f>
        <v>0</v>
      </c>
      <c r="BF32" s="313">
        <f>COUNTIF(D32:AH32,"*$N*")</f>
        <v>0</v>
      </c>
      <c r="BG32" s="313">
        <f>COUNTIF(D32:AH32,"*$PM*")</f>
        <v>0</v>
      </c>
      <c r="BH32" s="313">
        <f>BG32*('Setting key Duty'!$I$9)</f>
        <v>0</v>
      </c>
      <c r="BI32" s="313">
        <f>COUNTIF(D32:AH32,"*$AM*")</f>
        <v>0</v>
      </c>
      <c r="BJ32" s="313">
        <f>BI32*('Setting key Duty'!$I$12+'Setting key Duty'!$I$8)</f>
        <v>0</v>
      </c>
      <c r="BK32" s="313">
        <f>COUNTIF(C32:AH32,"*$FC*")</f>
        <v>0</v>
      </c>
      <c r="BL32" s="313">
        <f>BK32*('Setting key Duty'!$J$11+'Setting key Duty'!$I$8)</f>
        <v>0</v>
      </c>
      <c r="BM32" s="313">
        <f>COUNTIF($C32:$AG32,BM$4)</f>
        <v>0</v>
      </c>
      <c r="BN32" s="313">
        <f>COUNTIF($C32:$AG32,BN$4)</f>
        <v>0</v>
      </c>
      <c r="BO32" s="313">
        <f>COUNTIF($D32:$AE32,BO$4)</f>
        <v>0</v>
      </c>
      <c r="BP32" s="314"/>
    </row>
    <row r="33" ht="19.5" customHeight="1" spans="1:68">
      <c r="A33" s="309"/>
      <c r="B33" s="354" t="s">
        <v>148</v>
      </c>
      <c r="C33" s="349"/>
      <c r="D33" s="317"/>
      <c r="E33" s="317"/>
      <c r="F33" s="317"/>
      <c r="G33" s="317"/>
      <c r="H33" s="317"/>
      <c r="I33" s="317"/>
      <c r="J33" s="317"/>
      <c r="K33" s="317"/>
      <c r="L33" s="317"/>
      <c r="N33" s="317"/>
      <c r="O33" s="317"/>
      <c r="P33" s="317"/>
      <c r="Q33" s="106"/>
      <c r="R33" s="106"/>
      <c r="S33" s="317"/>
      <c r="T33" s="317"/>
      <c r="U33" s="317"/>
      <c r="V33" s="317"/>
      <c r="W33" s="317"/>
      <c r="X33" s="317"/>
      <c r="Y33" s="317"/>
      <c r="Z33" s="317"/>
      <c r="AA33" s="317"/>
      <c r="AB33" s="317"/>
      <c r="AC33" s="317"/>
      <c r="AD33" s="317"/>
      <c r="AE33" s="317"/>
      <c r="AF33" s="317"/>
      <c r="AG33" s="317"/>
      <c r="AH33" s="311">
        <f t="shared" ref="AH33:AN33" si="21">COUNTIF($C33:$AG33,AH$4)</f>
        <v>0</v>
      </c>
      <c r="AI33" s="312">
        <f t="shared" si="21"/>
        <v>0</v>
      </c>
      <c r="AJ33" s="311">
        <f t="shared" si="21"/>
        <v>0</v>
      </c>
      <c r="AK33" s="344">
        <f t="shared" si="21"/>
        <v>0</v>
      </c>
      <c r="AL33" s="344">
        <f t="shared" si="21"/>
        <v>0</v>
      </c>
      <c r="AM33" s="344">
        <f t="shared" si="21"/>
        <v>0</v>
      </c>
      <c r="AN33" s="344">
        <f t="shared" si="21"/>
        <v>0</v>
      </c>
      <c r="AO33" s="246"/>
      <c r="AP33" s="313">
        <f t="shared" si="3"/>
        <v>0</v>
      </c>
      <c r="AQ33" s="246"/>
      <c r="AR33" s="238">
        <f t="shared" si="4"/>
        <v>0</v>
      </c>
      <c r="AS33" s="246"/>
      <c r="AT33" s="246">
        <f t="shared" si="7"/>
        <v>0</v>
      </c>
      <c r="AU33" s="238">
        <f t="shared" si="8"/>
        <v>0</v>
      </c>
      <c r="AV33" s="238">
        <f t="shared" si="9"/>
        <v>0</v>
      </c>
      <c r="AW33" s="238" t="e">
        <f>AT33+AX33</f>
        <v>#VALUE!</v>
      </c>
      <c r="AX33" s="313" t="e">
        <f>(BI33*('Setting key Duty'!$I$8+'Setting key Duty'!$I$12))+(BG33*'Setting key Duty'!$I$9)+(BB33*('Setting key Duty'!$I$13+'Setting key Duty'!$I$9))+(AZ33*('Setting key Duty'!$I$13+'Setting key Duty'!$I$12+'Setting key Duty'!$I$11))+(BD33*('Setting key Duty'!$I$8+'Setting key Duty'!$I$9+'Setting key Duty'!$I$12))</f>
        <v>#VALUE!</v>
      </c>
      <c r="AY33" s="313">
        <f>COUNTIF(C33:AG33,"*BRT*")</f>
        <v>0</v>
      </c>
      <c r="AZ33" s="313">
        <f>COUNTIF(D33:AH33,"*$BTP*")</f>
        <v>0</v>
      </c>
      <c r="BA33" s="313" t="e">
        <f>AZ33*('Setting key Duty'!$I$13+'Setting key Duty'!$I$12+'Setting key Duty'!$I$11)</f>
        <v>#VALUE!</v>
      </c>
      <c r="BB33" s="313">
        <f>COUNTIF(D33:AH33,"*$L*")</f>
        <v>0</v>
      </c>
      <c r="BC33" s="313" t="e">
        <f>BB33*('Setting key Duty'!$I$13+'Setting key Duty'!$I$9)</f>
        <v>#VALUE!</v>
      </c>
      <c r="BD33" s="313">
        <f>COUNTIF(D33:AH33,"*$M*")</f>
        <v>0</v>
      </c>
      <c r="BE33" s="313">
        <f>BD33*('Setting key Duty'!$I$8+'Setting key Duty'!$I$9+'Setting key Duty'!$I$12)</f>
        <v>0</v>
      </c>
      <c r="BF33" s="313">
        <f>COUNTIF(D33:AH33,"*$N*")</f>
        <v>0</v>
      </c>
      <c r="BG33" s="313">
        <f>COUNTIF(D33:AH33,"*$PM*")</f>
        <v>0</v>
      </c>
      <c r="BH33" s="313">
        <f>BG33*('Setting key Duty'!$I$9)</f>
        <v>0</v>
      </c>
      <c r="BI33" s="313">
        <f>COUNTIF(D33:AH33,"*$AM*")</f>
        <v>0</v>
      </c>
      <c r="BJ33" s="313">
        <f>BI33*('Setting key Duty'!$I$12+'Setting key Duty'!$I$8)</f>
        <v>0</v>
      </c>
      <c r="BK33" s="313">
        <f>COUNTIF(C33:AH33,"*$FC*")</f>
        <v>0</v>
      </c>
      <c r="BL33" s="313">
        <f>BK33*('Setting key Duty'!$J$11+'Setting key Duty'!$I$8)</f>
        <v>0</v>
      </c>
      <c r="BM33" s="344">
        <f>COUNTIF($C33:$AG33,BM$4)</f>
        <v>0</v>
      </c>
      <c r="BN33" s="344">
        <f>COUNTIF($C33:$AG33,BN$4)</f>
        <v>0</v>
      </c>
      <c r="BO33" s="344">
        <f>COUNTIF($C33:$AG33,BO$4)</f>
        <v>0</v>
      </c>
      <c r="BP33" s="345"/>
    </row>
    <row r="34" ht="19.5" customHeight="1" spans="1:68">
      <c r="A34" s="309"/>
      <c r="B34" s="357"/>
      <c r="C34" s="358"/>
      <c r="D34" s="359"/>
      <c r="E34" s="359"/>
      <c r="F34" s="359"/>
      <c r="G34" s="359"/>
      <c r="H34" s="358"/>
      <c r="I34" s="358"/>
      <c r="J34" s="358"/>
      <c r="K34" s="358"/>
      <c r="L34" s="358"/>
      <c r="M34" s="358"/>
      <c r="N34" s="358"/>
      <c r="O34" s="358"/>
      <c r="P34" s="358"/>
      <c r="Q34" s="358"/>
      <c r="R34" s="358"/>
      <c r="S34" s="358"/>
      <c r="T34" s="358"/>
      <c r="U34" s="358"/>
      <c r="V34" s="358"/>
      <c r="W34" s="358"/>
      <c r="X34" s="358"/>
      <c r="Y34" s="358"/>
      <c r="Z34" s="358"/>
      <c r="AA34" s="358"/>
      <c r="AB34" s="358"/>
      <c r="AC34" s="358"/>
      <c r="AD34" s="358"/>
      <c r="AE34" s="358"/>
      <c r="AF34" s="358"/>
      <c r="AG34" s="358"/>
      <c r="AH34" s="361"/>
      <c r="AI34" s="362"/>
      <c r="AJ34" s="361"/>
      <c r="AK34" s="363"/>
      <c r="AL34" s="363"/>
      <c r="AM34" s="363"/>
      <c r="AN34" s="363"/>
      <c r="AO34" s="253"/>
      <c r="AP34" s="253"/>
      <c r="AQ34" s="253"/>
      <c r="AR34" s="253">
        <f t="shared" si="4"/>
        <v>0</v>
      </c>
      <c r="AS34" s="253"/>
      <c r="AT34" s="253">
        <f t="shared" si="7"/>
        <v>0</v>
      </c>
      <c r="AU34" s="253"/>
      <c r="AV34" s="253"/>
      <c r="AW34" s="253"/>
      <c r="AX34" s="363"/>
      <c r="AY34" s="363"/>
      <c r="AZ34" s="363"/>
      <c r="BA34" s="363"/>
      <c r="BB34" s="363"/>
      <c r="BC34" s="363"/>
      <c r="BD34" s="363"/>
      <c r="BE34" s="363"/>
      <c r="BF34" s="363"/>
      <c r="BG34" s="363"/>
      <c r="BH34" s="363"/>
      <c r="BI34" s="363"/>
      <c r="BJ34" s="363"/>
      <c r="BK34" s="363"/>
      <c r="BL34" s="363"/>
      <c r="BM34" s="363"/>
      <c r="BN34" s="363"/>
      <c r="BO34" s="363"/>
      <c r="BP34" s="364"/>
    </row>
    <row r="35" ht="19.5" customHeight="1" spans="1:68">
      <c r="A35" s="309"/>
      <c r="B35" s="365" t="s">
        <v>57</v>
      </c>
      <c r="C35" s="366" t="str">
        <f t="shared" ref="C35:L35" si="22">VLOOKUP("DM",C4:C33,1,FALSE)</f>
        <v>DM</v>
      </c>
      <c r="D35" s="366" t="str">
        <f t="shared" si="22"/>
        <v>DM</v>
      </c>
      <c r="E35" s="366" t="str">
        <f t="shared" si="22"/>
        <v>DM</v>
      </c>
      <c r="F35" s="366" t="str">
        <f t="shared" si="22"/>
        <v>DM</v>
      </c>
      <c r="G35" s="366" t="str">
        <f t="shared" si="22"/>
        <v>DM</v>
      </c>
      <c r="H35" s="366" t="str">
        <f t="shared" si="22"/>
        <v>DM</v>
      </c>
      <c r="I35" s="366" t="str">
        <f t="shared" si="22"/>
        <v>DM</v>
      </c>
      <c r="J35" s="366" t="str">
        <f t="shared" si="22"/>
        <v>DM</v>
      </c>
      <c r="K35" s="366" t="str">
        <f t="shared" si="22"/>
        <v>DM</v>
      </c>
      <c r="L35" s="366" t="str">
        <f t="shared" si="22"/>
        <v>DM</v>
      </c>
      <c r="M35" s="366" t="str">
        <f>VLOOKUP("DM",M4:M32,1,FALSE)</f>
        <v>DM</v>
      </c>
      <c r="N35" s="366" t="str">
        <f>VLOOKUP("DM",N4:N33,1,FALSE)</f>
        <v>DM</v>
      </c>
      <c r="O35" s="366" t="str">
        <f>VLOOKUP("DM",O4:O33,1,FALSE)</f>
        <v>DM</v>
      </c>
      <c r="P35" s="366" t="str">
        <f>VLOOKUP("DM",P4:P33,1,FALSE)</f>
        <v>DM</v>
      </c>
      <c r="Q35" s="366" t="str">
        <f>VLOOKUP("DM",Q4:Q32,1,FALSE)</f>
        <v>DM</v>
      </c>
      <c r="R35" s="366" t="str">
        <f>VLOOKUP("DM",R4:R31,1,FALSE)</f>
        <v>DM</v>
      </c>
      <c r="S35" s="366" t="str">
        <f>VLOOKUP("DM",S4:S33,1,FALSE)</f>
        <v>DM</v>
      </c>
      <c r="T35" s="366" t="str">
        <f>VLOOKUP("DM",T4:T33,1,FALSE)</f>
        <v>DM</v>
      </c>
      <c r="U35" s="366" t="str">
        <f>VLOOKUP("DM",U4:U33,1,FALSE)</f>
        <v>DM</v>
      </c>
      <c r="V35" s="366" t="str">
        <f>VLOOKUP("DM",V4:V30,1,FALSE)</f>
        <v>DM</v>
      </c>
      <c r="W35" s="366" t="str">
        <f>VLOOKUP("DM",W4:W30,1,FALSE)</f>
        <v>DM</v>
      </c>
      <c r="X35" s="366" t="str">
        <f>VLOOKUP("DM",X4:X33,1,FALSE)</f>
        <v>DM</v>
      </c>
      <c r="Y35" s="366" t="str">
        <f>VLOOKUP("DM",Y4:Y33,1,FALSE)</f>
        <v>DM</v>
      </c>
      <c r="Z35" s="366" t="str">
        <f>VLOOKUP("DM",Z4:Z33,1,FALSE)</f>
        <v>DM</v>
      </c>
      <c r="AA35" s="366" t="str">
        <f>VLOOKUP("DM",AA5:AA33,1,FALSE)</f>
        <v>DM</v>
      </c>
      <c r="AB35" s="366" t="str">
        <f t="shared" ref="AB35:AG35" si="23">VLOOKUP("DM",AB4:AB33,1,FALSE)</f>
        <v>DM</v>
      </c>
      <c r="AC35" s="366" t="str">
        <f t="shared" si="23"/>
        <v>DM</v>
      </c>
      <c r="AD35" s="366" t="str">
        <f t="shared" si="23"/>
        <v>DM</v>
      </c>
      <c r="AE35" s="366" t="str">
        <f t="shared" si="23"/>
        <v>DM</v>
      </c>
      <c r="AF35" s="366" t="str">
        <f t="shared" si="23"/>
        <v>DM</v>
      </c>
      <c r="AG35" s="366" t="str">
        <f t="shared" si="23"/>
        <v>DM</v>
      </c>
      <c r="AH35" s="311"/>
      <c r="AI35" s="312"/>
      <c r="AJ35" s="311"/>
      <c r="AK35" s="313"/>
      <c r="AL35" s="313"/>
      <c r="AM35" s="313"/>
      <c r="AN35" s="313"/>
      <c r="AO35" s="313"/>
      <c r="AP35" s="313"/>
      <c r="AQ35" s="313"/>
      <c r="AR35" s="313"/>
      <c r="AS35" s="313"/>
      <c r="AT35" s="313"/>
      <c r="AU35" s="313"/>
      <c r="AV35" s="313"/>
      <c r="AW35" s="313"/>
      <c r="AX35" s="313"/>
      <c r="AY35" s="313"/>
      <c r="AZ35" s="313"/>
      <c r="BA35" s="313"/>
      <c r="BB35" s="313"/>
      <c r="BC35" s="313"/>
      <c r="BD35" s="313"/>
      <c r="BE35" s="313"/>
      <c r="BF35" s="313"/>
      <c r="BG35" s="313"/>
      <c r="BH35" s="313"/>
      <c r="BI35" s="313"/>
      <c r="BJ35" s="313"/>
      <c r="BK35" s="313"/>
      <c r="BL35" s="313"/>
      <c r="BM35" s="313"/>
      <c r="BN35" s="313"/>
      <c r="BO35" s="313"/>
      <c r="BP35" s="314"/>
    </row>
    <row r="36" ht="19.5" customHeight="1" spans="1:68">
      <c r="A36" s="309" t="e">
        <f>LTE()</f>
        <v>#NAME?</v>
      </c>
      <c r="B36" s="368" t="s">
        <v>56</v>
      </c>
      <c r="C36" s="366" t="str">
        <f>VLOOKUP("CS1",C5:C33,1,FALSE)</f>
        <v>CS1</v>
      </c>
      <c r="D36" s="366" t="str">
        <f>VLOOKUP("CS1",D7:D33,1,FALSE)</f>
        <v>CS1</v>
      </c>
      <c r="E36" s="366" t="str">
        <f>VLOOKUP("CS1",E6:E33,1,FALSE)</f>
        <v>CS1</v>
      </c>
      <c r="F36" s="366" t="str">
        <f>VLOOKUP("CS1",F6:F33,1,FALSE)</f>
        <v>CS1</v>
      </c>
      <c r="G36" s="366" t="str">
        <f>VLOOKUP("CS1",G6:G33,1,FALSE)</f>
        <v>CS1</v>
      </c>
      <c r="H36" s="366" t="str">
        <f>VLOOKUP("CS1",H5:H33,1,FALSE)</f>
        <v>CS1</v>
      </c>
      <c r="I36" s="366" t="str">
        <f>VLOOKUP("CS1",I6:I33,1,FALSE)</f>
        <v>CS1</v>
      </c>
      <c r="J36" s="366" t="str">
        <f>VLOOKUP("CS1",J4:J33,1,FALSE)</f>
        <v>CS1</v>
      </c>
      <c r="K36" s="366" t="str">
        <f>VLOOKUP("CS1",K6:K33,1,FALSE)</f>
        <v>CS1</v>
      </c>
      <c r="L36" s="366" t="str">
        <f>VLOOKUP("CS1",L10:L33,1,FALSE)</f>
        <v>CS1</v>
      </c>
      <c r="M36" s="366" t="str">
        <f>VLOOKUP("CS1",M5:M32,1,FALSE)</f>
        <v>CS1</v>
      </c>
      <c r="N36" s="366" t="str">
        <f>VLOOKUP("CS1",N5:N33,1,FALSE)</f>
        <v>CS1</v>
      </c>
      <c r="O36" s="366" t="str">
        <f>VLOOKUP("CS1",O5:O33,1,FALSE)</f>
        <v>CS1</v>
      </c>
      <c r="P36" s="366" t="str">
        <f>VLOOKUP("CS1",P12:P33,1,FALSE)</f>
        <v>CS1</v>
      </c>
      <c r="Q36" s="366" t="str">
        <f>VLOOKUP("CS1",Q7:Q32,1,FALSE)</f>
        <v>CS1</v>
      </c>
      <c r="R36" s="366" t="str">
        <f>VLOOKUP("CS1",R6:R31,1,FALSE)</f>
        <v>CS1</v>
      </c>
      <c r="S36" s="366" t="str">
        <f>VLOOKUP("CS1",S5:S33,1,FALSE)</f>
        <v>CS1</v>
      </c>
      <c r="T36" s="366" t="str">
        <f>VLOOKUP("CS1",T6:T33,1,FALSE)</f>
        <v>CS1</v>
      </c>
      <c r="U36" s="366" t="str">
        <f>VLOOKUP("CS1",U7:U33,1,FALSE)</f>
        <v>CS1</v>
      </c>
      <c r="V36" s="366" t="str">
        <f>VLOOKUP("CS1",V7:V30,1,FALSE)</f>
        <v>CS1</v>
      </c>
      <c r="W36" s="366" t="str">
        <f>VLOOKUP("CS1",W1:W30,1,FALSE)</f>
        <v>CS1</v>
      </c>
      <c r="X36" s="366" t="str">
        <f>VLOOKUP("CS1",X1:X33,1,FALSE)</f>
        <v>CS1</v>
      </c>
      <c r="Y36" s="366" t="str">
        <f>VLOOKUP("CS1",Y5:Y33,1,FALSE)</f>
        <v>CS1</v>
      </c>
      <c r="Z36" s="366" t="str">
        <f>VLOOKUP("CS1",Z6:Z33,1,FALSE)</f>
        <v>CS1</v>
      </c>
      <c r="AA36" s="366" t="str">
        <f>VLOOKUP("CS1",AA5:AA33,1,FALSE)</f>
        <v>CS1</v>
      </c>
      <c r="AB36" s="366" t="str">
        <f>VLOOKUP("CS1",AB7:AB33,1,FALSE)</f>
        <v>CS1</v>
      </c>
      <c r="AC36" s="366" t="str">
        <f>VLOOKUP("CS1",AC6:AC33,1,FALSE)</f>
        <v>CS1</v>
      </c>
      <c r="AD36" s="366" t="str">
        <f>VLOOKUP("CS1",AD6:AD33,1,FALSE)</f>
        <v>CS1</v>
      </c>
      <c r="AE36" s="366" t="str">
        <f>VLOOKUP("CS1",AE6:AE33,1,FALSE)</f>
        <v>CS1</v>
      </c>
      <c r="AF36" s="366" t="str">
        <f>VLOOKUP("CS1",AF5:AF33,1,FALSE)</f>
        <v>CS1</v>
      </c>
      <c r="AG36" s="366" t="str">
        <f>VLOOKUP("CS1",AG6:AG33,1,FALSE)</f>
        <v>CS1</v>
      </c>
      <c r="AH36" s="311"/>
      <c r="AI36" s="312"/>
      <c r="AJ36" s="311"/>
      <c r="AK36" s="313"/>
      <c r="AL36" s="313"/>
      <c r="AM36" s="313"/>
      <c r="AN36" s="313"/>
      <c r="AO36" s="313"/>
      <c r="AP36" s="313"/>
      <c r="AQ36" s="313"/>
      <c r="AR36" s="313"/>
      <c r="AS36" s="313"/>
      <c r="AT36" s="313"/>
      <c r="AU36" s="313"/>
      <c r="AV36" s="313"/>
      <c r="AW36" s="313"/>
      <c r="AX36" s="313"/>
      <c r="AY36" s="313"/>
      <c r="AZ36" s="313"/>
      <c r="BA36" s="313"/>
      <c r="BB36" s="313"/>
      <c r="BC36" s="313"/>
      <c r="BD36" s="313"/>
      <c r="BE36" s="313"/>
      <c r="BF36" s="313"/>
      <c r="BG36" s="313"/>
      <c r="BH36" s="313"/>
      <c r="BI36" s="313"/>
      <c r="BJ36" s="313"/>
      <c r="BK36" s="313"/>
      <c r="BL36" s="313"/>
      <c r="BM36" s="313"/>
      <c r="BN36" s="313"/>
      <c r="BO36" s="313"/>
      <c r="BP36" s="314"/>
    </row>
    <row r="37" ht="19.5" customHeight="1" spans="1:68">
      <c r="A37" s="309"/>
      <c r="B37" s="369" t="s">
        <v>59</v>
      </c>
      <c r="C37" s="366" t="str">
        <f>VLOOKUP("CS2",C6:C33,1,FALSE)</f>
        <v>CS2</v>
      </c>
      <c r="D37" s="366" t="str">
        <f>VLOOKUP("CS2",D7:D33,1,FALSE)</f>
        <v>CS2</v>
      </c>
      <c r="E37" s="366" t="str">
        <f>VLOOKUP("CS2",E6:E33,1,FALSE)</f>
        <v>CS2</v>
      </c>
      <c r="F37" s="366" t="str">
        <f>VLOOKUP("CS2",F6:F33,1,FALSE)</f>
        <v>CS2</v>
      </c>
      <c r="G37" s="366" t="str">
        <f>VLOOKUP("CS2",G6:G33,1,FALSE)</f>
        <v>CS2</v>
      </c>
      <c r="H37" s="366" t="str">
        <f>VLOOKUP("CS2",H6:H33,1,FALSE)</f>
        <v>CS2</v>
      </c>
      <c r="I37" s="366" t="str">
        <f>VLOOKUP("CS2",I6:I33,1,FALSE)</f>
        <v>CS2</v>
      </c>
      <c r="J37" s="366" t="str">
        <f>VLOOKUP("CS2",J4:J33,1,FALSE)</f>
        <v>CS2</v>
      </c>
      <c r="K37" s="366" t="str">
        <f>VLOOKUP("CS2",K6:K33,1,FALSE)</f>
        <v>CS2</v>
      </c>
      <c r="L37" s="366" t="str">
        <f>VLOOKUP("CS2",L4:L33,1,FALSE)</f>
        <v>CS2</v>
      </c>
      <c r="M37" s="366" t="str">
        <f>VLOOKUP("CS2",M6:M32,1,FALSE)</f>
        <v>CS2</v>
      </c>
      <c r="N37" s="366" t="str">
        <f>VLOOKUP("CS2",N5:N33,1,FALSE)</f>
        <v>CS2</v>
      </c>
      <c r="O37" s="366" t="str">
        <f>VLOOKUP("CS2",O10:O33,1,FALSE)</f>
        <v>CS2</v>
      </c>
      <c r="P37" s="366" t="str">
        <f>VLOOKUP("CS2",P6:P33,1,FALSE)</f>
        <v>CS2</v>
      </c>
      <c r="Q37" s="366" t="str">
        <f>VLOOKUP("CS2",Q7:Q32,1,FALSE)</f>
        <v>CS2</v>
      </c>
      <c r="R37" s="366" t="str">
        <f>VLOOKUP("CS2",R6:R31,1,FALSE)</f>
        <v>CS2</v>
      </c>
      <c r="S37" s="366" t="str">
        <f>VLOOKUP("CS2",S5:S33,1,FALSE)</f>
        <v>CS2</v>
      </c>
      <c r="T37" s="366" t="str">
        <f>VLOOKUP("CS2",T1:T33,1,FALSE)</f>
        <v>CS2</v>
      </c>
      <c r="U37" s="366" t="str">
        <f>VLOOKUP("CS2",U1:U33,1,FALSE)</f>
        <v>CS2</v>
      </c>
      <c r="V37" s="366" t="str">
        <f>VLOOKUP("CS2",V1:V30,1,FALSE)</f>
        <v>CS2</v>
      </c>
      <c r="W37" s="366" t="str">
        <f>VLOOKUP("CS2",W9:W30,1,FALSE)</f>
        <v>CS2</v>
      </c>
      <c r="X37" s="366" t="str">
        <f>VLOOKUP("CS2",X7:X33,1,FALSE)</f>
        <v>CS2</v>
      </c>
      <c r="Y37" s="366" t="str">
        <f>VLOOKUP("CS2",Y5:Y33,1,FALSE)</f>
        <v>CS2</v>
      </c>
      <c r="Z37" s="366" t="str">
        <f>VLOOKUP("CS2",Z6:Z33,1,FALSE)</f>
        <v>CS2</v>
      </c>
      <c r="AA37" s="366" t="str">
        <f>VLOOKUP("CS2",AA5:AA33,1,FALSE)</f>
        <v>CS2</v>
      </c>
      <c r="AB37" s="366" t="str">
        <f>VLOOKUP("CS2",AB1:AB33,1,FALSE)</f>
        <v>CS2</v>
      </c>
      <c r="AC37" s="366" t="str">
        <f>VLOOKUP("CS2",AC6:AC33,1,FALSE)</f>
        <v>CS2</v>
      </c>
      <c r="AD37" s="366" t="str">
        <f>VLOOKUP("CS2",AD6:AD33,1,FALSE)</f>
        <v>CS2</v>
      </c>
      <c r="AE37" s="366" t="str">
        <f>VLOOKUP("CS2",AE6:AE33,1,FALSE)</f>
        <v>CS2</v>
      </c>
      <c r="AF37" s="366" t="str">
        <f>VLOOKUP("CS2",AF5:AF33,1,FALSE)</f>
        <v>CS2</v>
      </c>
      <c r="AG37" s="366" t="str">
        <f>VLOOKUP("CS2",AG6:AG33,1,FALSE)</f>
        <v>CS2</v>
      </c>
      <c r="AH37" s="311"/>
      <c r="AI37" s="312"/>
      <c r="AJ37" s="311"/>
      <c r="AK37" s="313"/>
      <c r="AL37" s="313"/>
      <c r="AM37" s="313"/>
      <c r="AN37" s="313"/>
      <c r="AO37" s="313"/>
      <c r="AP37" s="313"/>
      <c r="AQ37" s="313"/>
      <c r="AR37" s="313"/>
      <c r="AS37" s="313"/>
      <c r="AT37" s="313"/>
      <c r="AU37" s="313"/>
      <c r="AV37" s="313"/>
      <c r="AW37" s="313"/>
      <c r="AX37" s="313"/>
      <c r="AY37" s="313"/>
      <c r="AZ37" s="313"/>
      <c r="BA37" s="313"/>
      <c r="BB37" s="313"/>
      <c r="BC37" s="313"/>
      <c r="BD37" s="313"/>
      <c r="BE37" s="313"/>
      <c r="BF37" s="313"/>
      <c r="BG37" s="313"/>
      <c r="BH37" s="313"/>
      <c r="BI37" s="313"/>
      <c r="BJ37" s="313"/>
      <c r="BK37" s="313"/>
      <c r="BL37" s="313"/>
      <c r="BM37" s="313"/>
      <c r="BN37" s="313"/>
      <c r="BO37" s="313"/>
      <c r="BP37" s="314"/>
    </row>
    <row r="38" ht="19.5" customHeight="1" spans="1:68">
      <c r="A38" s="309"/>
      <c r="B38" s="370" t="s">
        <v>58</v>
      </c>
      <c r="C38" s="366" t="str">
        <f>VLOOKUP("SB1",C6:C33,1,FALSE)</f>
        <v>SB1</v>
      </c>
      <c r="D38" s="366" t="str">
        <f>VLOOKUP("SB1",D3:D33,1,FALSE)</f>
        <v>SB1</v>
      </c>
      <c r="E38" s="366" t="str">
        <f>VLOOKUP("SB1",E6:E33,1,FALSE)</f>
        <v>SB1</v>
      </c>
      <c r="F38" s="366" t="str">
        <f>VLOOKUP("SB1",F6:F33,1,FALSE)</f>
        <v>SB1</v>
      </c>
      <c r="G38" s="366" t="str">
        <f>VLOOKUP("SB1",G6:G33,1,FALSE)</f>
        <v>SB1</v>
      </c>
      <c r="H38" s="366" t="str">
        <f>VLOOKUP("SB1",H6:H33,1,FALSE)</f>
        <v>SB1</v>
      </c>
      <c r="I38" s="366" t="str">
        <f>VLOOKUP("SB1",I6:I33,1,FALSE)</f>
        <v>SB1</v>
      </c>
      <c r="J38" s="366" t="str">
        <f>VLOOKUP("SB1",J4:J33,1,FALSE)</f>
        <v>SB1</v>
      </c>
      <c r="K38" s="366" t="str">
        <f>VLOOKUP("SB1",K6:K33,1,FALSE)</f>
        <v>SB1</v>
      </c>
      <c r="L38" s="366" t="str">
        <f>VLOOKUP("SB1",L5:L33,1,FALSE)</f>
        <v>SB1</v>
      </c>
      <c r="M38" s="366" t="str">
        <f>VLOOKUP("SB1",M6:M32,1,FALSE)</f>
        <v>SB1</v>
      </c>
      <c r="N38" s="366" t="str">
        <f>VLOOKUP("SB1",N5:N33,1,FALSE)</f>
        <v>SB1</v>
      </c>
      <c r="O38" s="366" t="str">
        <f>VLOOKUP("SB1",O5:O33,1,FALSE)</f>
        <v>SB1</v>
      </c>
      <c r="P38" s="366" t="str">
        <f>VLOOKUP("SB1",P6:P33,1,FALSE)</f>
        <v>SB1</v>
      </c>
      <c r="Q38" s="366" t="str">
        <f>VLOOKUP("SB1",Q7:Q32,1,FALSE)</f>
        <v>SB1</v>
      </c>
      <c r="R38" s="366" t="str">
        <f>VLOOKUP("SB1",R6:R31,1,FALSE)</f>
        <v>SB1</v>
      </c>
      <c r="S38" s="366" t="str">
        <f>VLOOKUP("SB1",S5:S33,1,FALSE)</f>
        <v>SB1</v>
      </c>
      <c r="T38" s="366" t="str">
        <f>VLOOKUP("SB1",T6:T33,1,FALSE)</f>
        <v>SB1</v>
      </c>
      <c r="U38" s="366" t="str">
        <f>VLOOKUP("SB1",U7:U33,1,FALSE)</f>
        <v>SB1</v>
      </c>
      <c r="V38" s="366" t="str">
        <f>VLOOKUP("SB1",V6:V30,1,FALSE)</f>
        <v>SB1</v>
      </c>
      <c r="W38" s="366" t="str">
        <f>VLOOKUP("SB1",W9:W30,1,FALSE)</f>
        <v>SB1</v>
      </c>
      <c r="X38" s="366" t="e">
        <f>VLOOKUP("SB1",X7:X33,1,FALSE)</f>
        <v>#N/A</v>
      </c>
      <c r="Y38" s="366" t="e">
        <f>VLOOKUP("SB1",Y5:Y33,1,FALSE)</f>
        <v>#N/A</v>
      </c>
      <c r="Z38" s="366" t="str">
        <f>VLOOKUP("SB1",Z6:Z33,1,FALSE)</f>
        <v>SB1</v>
      </c>
      <c r="AA38" s="366" t="str">
        <f>VLOOKUP("SB1",AA5:AA33,1,FALSE)</f>
        <v>SB1</v>
      </c>
      <c r="AB38" s="366" t="str">
        <f>VLOOKUP("SB1",AB7:AB33,1,FALSE)</f>
        <v>SB1</v>
      </c>
      <c r="AC38" s="366" t="str">
        <f>VLOOKUP("SB1",AC1:AC33,1,FALSE)</f>
        <v>SB1</v>
      </c>
      <c r="AD38" s="366" t="str">
        <f>VLOOKUP("SB1",AD6:AD33,1,FALSE)</f>
        <v>SB1</v>
      </c>
      <c r="AE38" s="366" t="e">
        <f>VLOOKUP("SB1",AE6:AE33,1,FALSE)</f>
        <v>#N/A</v>
      </c>
      <c r="AF38" s="366" t="e">
        <f>VLOOKUP("SB1",AF5:AF33,1,FALSE)</f>
        <v>#N/A</v>
      </c>
      <c r="AG38" s="366" t="str">
        <f>VLOOKUP("SB1",AG6:AG33,1,FALSE)</f>
        <v>SB1</v>
      </c>
      <c r="AH38" s="311"/>
      <c r="AI38" s="312"/>
      <c r="AJ38" s="311"/>
      <c r="AK38" s="313"/>
      <c r="AL38" s="313"/>
      <c r="AM38" s="313"/>
      <c r="AN38" s="313"/>
      <c r="AO38" s="313"/>
      <c r="AP38" s="313"/>
      <c r="AQ38" s="313"/>
      <c r="AR38" s="313"/>
      <c r="AS38" s="313"/>
      <c r="AT38" s="313"/>
      <c r="AU38" s="313"/>
      <c r="AV38" s="313"/>
      <c r="AW38" s="313"/>
      <c r="AX38" s="313"/>
      <c r="AY38" s="313"/>
      <c r="AZ38" s="313"/>
      <c r="BA38" s="313"/>
      <c r="BB38" s="313"/>
      <c r="BC38" s="313"/>
      <c r="BD38" s="313"/>
      <c r="BE38" s="313"/>
      <c r="BF38" s="313"/>
      <c r="BG38" s="313"/>
      <c r="BH38" s="313"/>
      <c r="BI38" s="313"/>
      <c r="BJ38" s="313"/>
      <c r="BK38" s="313"/>
      <c r="BL38" s="313"/>
      <c r="BM38" s="313"/>
      <c r="BN38" s="313"/>
      <c r="BO38" s="313"/>
      <c r="BP38" s="314"/>
    </row>
    <row r="39" ht="19.5" customHeight="1" spans="1:68">
      <c r="A39" s="309"/>
      <c r="B39" s="371" t="s">
        <v>93</v>
      </c>
      <c r="C39" s="366" t="str">
        <f>VLOOKUP("SB2",C6:C33,1,FALSE)</f>
        <v>SB2</v>
      </c>
      <c r="D39" s="366" t="e">
        <f>VLOOKUP("SB2",D7:D33,1,FALSE)</f>
        <v>#N/A</v>
      </c>
      <c r="E39" s="366" t="e">
        <f>VLOOKUP("SB2",E6:E33,1,FALSE)</f>
        <v>#N/A</v>
      </c>
      <c r="F39" s="366" t="str">
        <f>VLOOKUP("SB2",F9:F33,1,FALSE)</f>
        <v>SB2</v>
      </c>
      <c r="G39" s="366" t="str">
        <f>VLOOKUP("SB2",G6:G33,1,FALSE)</f>
        <v>SB2</v>
      </c>
      <c r="H39" s="366" t="str">
        <f>VLOOKUP("SB2",H6:H33,1,FALSE)</f>
        <v>SB2</v>
      </c>
      <c r="I39" s="366" t="str">
        <f>VLOOKUP("SB2",I6:I33,1,FALSE)</f>
        <v>SB2</v>
      </c>
      <c r="J39" s="366" t="str">
        <f>VLOOKUP("SB2",J4:J33,1,FALSE)</f>
        <v>SB2</v>
      </c>
      <c r="K39" s="366" t="e">
        <f>VLOOKUP("SB2",K6:K33,1,FALSE)</f>
        <v>#N/A</v>
      </c>
      <c r="L39" s="366" t="e">
        <f>VLOOKUP("SB2",L11:L33,1,FALSE)</f>
        <v>#N/A</v>
      </c>
      <c r="M39" s="366" t="str">
        <f>VLOOKUP("SB2",M6:M32,1,FALSE)</f>
        <v>SB2</v>
      </c>
      <c r="N39" s="366" t="str">
        <f>VLOOKUP("SB2",N5:N33,1,FALSE)</f>
        <v>SB2</v>
      </c>
      <c r="O39" s="366" t="str">
        <f>VLOOKUP("SB2",O5:O33,1,FALSE)</f>
        <v>SB2</v>
      </c>
      <c r="P39" s="366" t="str">
        <f>VLOOKUP("SB2",P6:P33,1,FALSE)</f>
        <v>SB2</v>
      </c>
      <c r="Q39" s="366" t="str">
        <f>VLOOKUP("SB2",Q9:Q32,1,FALSE)</f>
        <v>SB2</v>
      </c>
      <c r="R39" s="366" t="e">
        <f>VLOOKUP("SB2",R6:R31,1,FALSE)</f>
        <v>#N/A</v>
      </c>
      <c r="S39" s="366" t="e">
        <f>VLOOKUP("SB2",S10:S33,1,FALSE)</f>
        <v>#N/A</v>
      </c>
      <c r="T39" s="366" t="str">
        <f>VLOOKUP("SB2",T6:T33,1,FALSE)</f>
        <v>SB2</v>
      </c>
      <c r="U39" s="366" t="str">
        <f>VLOOKUP("SB2",U7:U33,1,FALSE)</f>
        <v>SB2</v>
      </c>
      <c r="V39" s="366" t="str">
        <f>VLOOKUP("SB2",V7:V30,1,FALSE)</f>
        <v>SB2</v>
      </c>
      <c r="W39" s="366" t="str">
        <f>VLOOKUP("SB2",W9:W30,1,FALSE)</f>
        <v>SB2</v>
      </c>
      <c r="X39" s="366" t="str">
        <f>VLOOKUP("SB2",X7:X33,1,FALSE)</f>
        <v>SB2</v>
      </c>
      <c r="Y39" s="366" t="e">
        <f>VLOOKUP("SB2",Y5:Y33,1,FALSE)</f>
        <v>#N/A</v>
      </c>
      <c r="Z39" s="366" t="e">
        <f>VLOOKUP("SB2",Z6:Z33,1,FALSE)</f>
        <v>#N/A</v>
      </c>
      <c r="AA39" s="366" t="str">
        <f>VLOOKUP("SB2",AA10:AA33,1,FALSE)</f>
        <v>SB2</v>
      </c>
      <c r="AB39" s="366" t="str">
        <f>VLOOKUP("SB2",AB7:AB33,1,FALSE)</f>
        <v>SB2</v>
      </c>
      <c r="AC39" s="366" t="str">
        <f>VLOOKUP("SB2",AC10:AC33,1,FALSE)</f>
        <v>SB2</v>
      </c>
      <c r="AD39" s="366" t="str">
        <f>VLOOKUP("SB2",AD6:AD33,1,FALSE)</f>
        <v>SB2</v>
      </c>
      <c r="AE39" s="366" t="str">
        <f>VLOOKUP("SB2",AE6:AE33,1,FALSE)</f>
        <v>SB2</v>
      </c>
      <c r="AF39" s="366" t="e">
        <f>VLOOKUP("SB2",AF5:AF33,1,FALSE)</f>
        <v>#N/A</v>
      </c>
      <c r="AG39" s="366" t="e">
        <f>VLOOKUP("SB2",AG6:AG33,1,FALSE)</f>
        <v>#N/A</v>
      </c>
      <c r="AH39" s="311"/>
      <c r="AI39" s="312"/>
      <c r="AJ39" s="311"/>
      <c r="AK39" s="313"/>
      <c r="AL39" s="313"/>
      <c r="AM39" s="313"/>
      <c r="AN39" s="313"/>
      <c r="AO39" s="313"/>
      <c r="AP39" s="313"/>
      <c r="AQ39" s="313"/>
      <c r="AR39" s="313"/>
      <c r="AS39" s="313"/>
      <c r="AT39" s="313"/>
      <c r="AU39" s="313"/>
      <c r="AV39" s="313"/>
      <c r="AW39" s="313"/>
      <c r="AX39" s="313"/>
      <c r="AY39" s="313"/>
      <c r="AZ39" s="313"/>
      <c r="BA39" s="313"/>
      <c r="BB39" s="313"/>
      <c r="BC39" s="313"/>
      <c r="BD39" s="313"/>
      <c r="BE39" s="313"/>
      <c r="BF39" s="313"/>
      <c r="BG39" s="313"/>
      <c r="BH39" s="313"/>
      <c r="BI39" s="313"/>
      <c r="BJ39" s="313"/>
      <c r="BK39" s="313"/>
      <c r="BL39" s="313"/>
      <c r="BM39" s="313"/>
      <c r="BN39" s="313"/>
      <c r="BO39" s="313"/>
      <c r="BP39" s="314"/>
    </row>
    <row r="40" ht="19.5" customHeight="1" spans="1:68">
      <c r="A40" s="309"/>
      <c r="B40" s="372" t="s">
        <v>65</v>
      </c>
      <c r="C40" s="366" t="str">
        <f>VLOOKUP("AE",C6:C33,1,FALSE)</f>
        <v>AE</v>
      </c>
      <c r="D40" s="366" t="str">
        <f>VLOOKUP("AE",D7:D33,1,FALSE)</f>
        <v>AE</v>
      </c>
      <c r="E40" s="366" t="str">
        <f>VLOOKUP("AE",E6:E33,1,FALSE)</f>
        <v>AE</v>
      </c>
      <c r="F40" s="366" t="str">
        <f>VLOOKUP("AE",F9:F33,1,FALSE)</f>
        <v>AE</v>
      </c>
      <c r="G40" s="366" t="str">
        <f>VLOOKUP("AE",G6:G33,1,FALSE)</f>
        <v>AE</v>
      </c>
      <c r="H40" s="366" t="str">
        <f>VLOOKUP("AE",H6:H33,1,FALSE)</f>
        <v>AE</v>
      </c>
      <c r="I40" s="366" t="str">
        <f>VLOOKUP("AE",I6:I33,1,FALSE)</f>
        <v>AE</v>
      </c>
      <c r="J40" s="366" t="str">
        <f>VLOOKUP("AE",J4:J33,1,FALSE)</f>
        <v>AE</v>
      </c>
      <c r="K40" s="366" t="str">
        <f>VLOOKUP("AE",K6:K33,1,FALSE)</f>
        <v>AE</v>
      </c>
      <c r="L40" s="366" t="str">
        <f>VLOOKUP("AE",L11:L33,1,FALSE)</f>
        <v>AE</v>
      </c>
      <c r="M40" s="366" t="str">
        <f>VLOOKUP("AE",M6:M32,1,FALSE)</f>
        <v>AE</v>
      </c>
      <c r="N40" s="366" t="str">
        <f>VLOOKUP("AE",N5:N33,1,FALSE)</f>
        <v>AE</v>
      </c>
      <c r="O40" s="366" t="str">
        <f>VLOOKUP("AE",O5:O33,1,FALSE)</f>
        <v>AE</v>
      </c>
      <c r="P40" s="366" t="str">
        <f>VLOOKUP("AE",P6:P33,1,FALSE)</f>
        <v>AE</v>
      </c>
      <c r="Q40" s="366" t="str">
        <f>VLOOKUP("AE",Q9:Q32,1,FALSE)</f>
        <v>AE</v>
      </c>
      <c r="R40" s="366" t="str">
        <f>VLOOKUP("AE",R6:R31,1,FALSE)</f>
        <v>AE</v>
      </c>
      <c r="S40" s="366" t="str">
        <f>VLOOKUP("AE",S10:S33,1,FALSE)</f>
        <v>AE</v>
      </c>
      <c r="T40" s="366" t="str">
        <f>VLOOKUP("AE",T6:T33,1,FALSE)</f>
        <v>AE</v>
      </c>
      <c r="U40" s="366" t="str">
        <f>VLOOKUP("AE",U7:U33,1,FALSE)</f>
        <v>AE</v>
      </c>
      <c r="V40" s="366" t="str">
        <f>VLOOKUP("AE",V7:V30,1,FALSE)</f>
        <v>AE</v>
      </c>
      <c r="W40" s="366" t="str">
        <f>VLOOKUP("AE",W9:W30,1,FALSE)</f>
        <v>AE</v>
      </c>
      <c r="X40" s="366" t="str">
        <f>VLOOKUP("AE",X7:X33,1,FALSE)</f>
        <v>AE</v>
      </c>
      <c r="Y40" s="366" t="str">
        <f>VLOOKUP("AE",Y5:Y33,1,FALSE)</f>
        <v>AE</v>
      </c>
      <c r="Z40" s="366" t="str">
        <f>VLOOKUP("AE",Z6:Z33,1,FALSE)</f>
        <v>AE</v>
      </c>
      <c r="AA40" s="366" t="str">
        <f>VLOOKUP("AE",AA10:AA33,1,FALSE)</f>
        <v>AE</v>
      </c>
      <c r="AB40" s="366" t="str">
        <f>VLOOKUP("AE",AB7:AB33,1,FALSE)</f>
        <v>AE</v>
      </c>
      <c r="AC40" s="366" t="str">
        <f>VLOOKUP("AE",AC10:AC33,1,FALSE)</f>
        <v>AE</v>
      </c>
      <c r="AD40" s="366" t="str">
        <f>VLOOKUP("AE",AD6:AD33,1,FALSE)</f>
        <v>AE</v>
      </c>
      <c r="AE40" s="366" t="str">
        <f>VLOOKUP("AE",AE6:AE33,1,FALSE)</f>
        <v>AE</v>
      </c>
      <c r="AF40" s="366" t="str">
        <f>VLOOKUP("AE",AF5:AF33,1,FALSE)</f>
        <v>AE</v>
      </c>
      <c r="AG40" s="366" t="str">
        <f>VLOOKUP("AE",AG6:AG33,1,FALSE)</f>
        <v>AE</v>
      </c>
      <c r="AH40" s="311"/>
      <c r="AI40" s="312"/>
      <c r="AJ40" s="311"/>
      <c r="AK40" s="313"/>
      <c r="AL40" s="313"/>
      <c r="AM40" s="313"/>
      <c r="AN40" s="313"/>
      <c r="AO40" s="313"/>
      <c r="AP40" s="313"/>
      <c r="AQ40" s="313"/>
      <c r="AR40" s="313"/>
      <c r="AS40" s="313"/>
      <c r="AT40" s="313"/>
      <c r="AU40" s="313"/>
      <c r="AV40" s="313"/>
      <c r="AW40" s="313"/>
      <c r="AX40" s="313"/>
      <c r="AY40" s="313"/>
      <c r="AZ40" s="313"/>
      <c r="BA40" s="313"/>
      <c r="BB40" s="313"/>
      <c r="BC40" s="313"/>
      <c r="BD40" s="313"/>
      <c r="BE40" s="313"/>
      <c r="BF40" s="313"/>
      <c r="BG40" s="313"/>
      <c r="BH40" s="313"/>
      <c r="BI40" s="313"/>
      <c r="BJ40" s="313"/>
      <c r="BK40" s="313"/>
      <c r="BL40" s="313"/>
      <c r="BM40" s="313"/>
      <c r="BN40" s="313"/>
      <c r="BO40" s="313"/>
      <c r="BP40" s="314"/>
    </row>
  </sheetData>
  <mergeCells count="1">
    <mergeCell ref="C1:S1"/>
  </mergeCells>
  <conditionalFormatting sqref="D14">
    <cfRule type="expression" dxfId="135" priority="6">
      <formula>WEEKDAY($A14,2)&gt;5</formula>
    </cfRule>
  </conditionalFormatting>
  <conditionalFormatting sqref="F25">
    <cfRule type="expression" dxfId="136" priority="2">
      <formula>WEEKDAY(I$3,2)&gt;5</formula>
    </cfRule>
    <cfRule type="expression" dxfId="136" priority="3">
      <formula>WEEKDAY(H$3,2)&gt;5</formula>
    </cfRule>
  </conditionalFormatting>
  <conditionalFormatting sqref="K26">
    <cfRule type="expression" dxfId="136" priority="4">
      <formula>WEEKDAY(M$3,2)&gt;5</formula>
    </cfRule>
  </conditionalFormatting>
  <conditionalFormatting sqref="N31">
    <cfRule type="expression" dxfId="136" priority="5">
      <formula>WEEKDAY(O$3,2)&gt;5</formula>
    </cfRule>
  </conditionalFormatting>
  <conditionalFormatting sqref="Q31">
    <cfRule type="expression" dxfId="136" priority="1">
      <formula>WEEKDAY(R$3,2)&gt;5</formula>
    </cfRule>
  </conditionalFormatting>
  <conditionalFormatting sqref="O8:O9">
    <cfRule type="expression" dxfId="136" priority="7">
      <formula>WEEKDAY(J$3,2)&gt;5</formula>
    </cfRule>
    <cfRule type="expression" dxfId="136" priority="8">
      <formula>WEEKDAY(I$3,2)&gt;5</formula>
    </cfRule>
  </conditionalFormatting>
  <conditionalFormatting sqref="T2:X33 Z2:Z33 C3:S33 Y3:Y33 AA3:AG33">
    <cfRule type="expression" dxfId="136" priority="68">
      <formula>WEEKDAY(T$3,2)&gt;5</formula>
    </cfRule>
  </conditionalFormatting>
  <conditionalFormatting sqref="J4:J40 AA4:AA40 C5:I40 K5:Z40 AB5:AG40">
    <cfRule type="cellIs" dxfId="137" priority="53" operator="equal">
      <formula>"B"</formula>
    </cfRule>
    <cfRule type="cellIs" dxfId="137" priority="54" operator="equal">
      <formula>"AL"</formula>
    </cfRule>
    <cfRule type="cellIs" dxfId="138" priority="55" operator="equal">
      <formula>"DM"</formula>
    </cfRule>
    <cfRule type="cellIs" dxfId="139" priority="56" operator="equal">
      <formula>"CS1"</formula>
    </cfRule>
    <cfRule type="cellIs" dxfId="140" priority="57" operator="equal">
      <formula>"CS2"</formula>
    </cfRule>
    <cfRule type="cellIs" dxfId="141" priority="58" operator="equal">
      <formula>"SB1"</formula>
    </cfRule>
    <cfRule type="cellIs" dxfId="142" priority="59" operator="equal">
      <formula>"SB2"</formula>
    </cfRule>
    <cfRule type="cellIs" dxfId="143" priority="60" operator="equal">
      <formula>"AE"</formula>
    </cfRule>
  </conditionalFormatting>
  <conditionalFormatting sqref="J4:J33 AA4:AA33 C5:I33 K5:Z33 AB5:AG33">
    <cfRule type="cellIs" dxfId="137" priority="62" operator="equal">
      <formula>"DB"</formula>
    </cfRule>
    <cfRule type="containsText" dxfId="144" priority="63" operator="between" text="$AM">
      <formula>NOT(ISERROR(SEARCH("$AM",C4)))</formula>
    </cfRule>
    <cfRule type="containsText" dxfId="145" priority="64" operator="between" text="$PM">
      <formula>NOT(ISERROR(SEARCH("$PM",C4)))</formula>
    </cfRule>
    <cfRule type="containsText" dxfId="146" priority="65" operator="between" text="$L">
      <formula>NOT(ISERROR(SEARCH("$L",C4)))</formula>
    </cfRule>
    <cfRule type="containsText" dxfId="147" priority="66" operator="between" text="$BTP">
      <formula>NOT(ISERROR(SEARCH("$BTP",C4)))</formula>
    </cfRule>
    <cfRule type="containsText" dxfId="148" priority="67" operator="between" text="$M">
      <formula>NOT(ISERROR(SEARCH("$M",C4)))</formula>
    </cfRule>
    <cfRule type="containsText" dxfId="149" priority="69" operator="between" text="$N">
      <formula>NOT(ISERROR(SEARCH("$N",C4)))</formula>
    </cfRule>
    <cfRule type="containsText" dxfId="150" priority="70" operator="between" text="$FC">
      <formula>NOT(ISERROR(SEARCH("$FC",C4)))</formula>
    </cfRule>
    <cfRule type="containsText" dxfId="151" priority="71" operator="between" text="OAL">
      <formula>NOT(ISERROR(SEARCH("OAL",C4)))</formula>
    </cfRule>
    <cfRule type="containsText" dxfId="152" priority="72" operator="between" text="S+">
      <formula>NOT(ISERROR(SEARCH("S+",C4)))</formula>
    </cfRule>
    <cfRule type="containsText" dxfId="153" priority="73" operator="between" text="EX-D">
      <formula>NOT(ISERROR(SEARCH("EX-D",C4)))</formula>
    </cfRule>
  </conditionalFormatting>
  <conditionalFormatting sqref="J4:J10 C5:D10 E5:E18 F5:F25 G5:G24 H5:H6 I5:I26 K5:K10 L5:L25 M5:M15 N5:N23 O5:O13 P5:P9 Q5:Q6 R5:R16 S5:S17 T5:T15 U5:U7 V5 W5:X6 Y5:Y25 Z5:Z7 AA5:AA26 AD5:AD28 AE5:AE30 AF5:AF18 AG5:AG23 AB6:AC28 V7:V10 H8:H26 Q8:Q18 W8:W30 X8:X14 Z9:Z13 U10:U18 C12:D23 J12:J19 K12:K24 P12:P29 V12:V17 O15:O20 Z15:Z21 X16:X28 M17:M19 T17:T26 R18 V19:V28 E20:E21 R20:R31 S20:S25 U20:U24 AF20:AF23 J21:J26 M21:M23 Q21:Q26 O22:O23 E23:E24 Z23:Z29 C25:D26 M25:M27 N25:N29 AG25 K26 O26 U26 S27 Y27:Y29 AF27:AF28 C28:G28 Q28:Q32 T28:U28 AA28:AA30 K29 M29:M30 O29:O30 S29:S30 D30 I30 J30:J31 L30 T30:T31 V30:V31 AB30:AB32 AC30:AD30 AF30 C31 H31 N31 P31 U31 X31:Y31 M32 S32 Z32:AA32 AC32:AE32">
    <cfRule type="containsText" dxfId="154" priority="74" operator="between" text="VACC">
      <formula>NOT(ISERROR(SEARCH("VACC",C4)))</formula>
    </cfRule>
  </conditionalFormatting>
  <conditionalFormatting sqref="C5:C26 D5:D10 E5:E21 F5:F25 G5:G24 H5:H6 I5:I26 J5:J10 K5:K26 L5:L25 M5:M15 N5:N23 O5:O13 P5:P9 Q5:Q6 R5:R31 S5:S25 T5:T15 U5:U7 V5 W5:X6 Y5:Y25 Z5:Z29 AA5:AA26 AC5:AD28 AE5:AE30 AF5:AF24 AG5:AG25 AB6:AB28 V7:V10 H8:H26 Q8:Q19 W8:W27 X8:X28 U10:U24 P11:P29 D12:D26 J12:J19 V12:V28 O15:O23 M17:M19 T17:T26 J21:J26 M21:M23 Q21:Q26 E23:E25 M25:M30 N25:N29 O25:O26 U26 S27 Y27:Y29 AF27:AF28 C28:G28 Q28:Q32 U28 AA28:AA30 I29:I30 K29 O29:O30 S29:S30 W29:W30 D30 J30:J31 L30 T30:T31 V30:V31 AB30:AB32 AC30:AD30 AF30 C31 H31 N31 P31 U31 X31:Y31 Z31:Z32 M32 AA32 AC32:AE32">
    <cfRule type="cellIs" dxfId="137" priority="32" operator="equal">
      <formula>"B"</formula>
    </cfRule>
    <cfRule type="cellIs" dxfId="137" priority="33" operator="equal">
      <formula>"AL"</formula>
    </cfRule>
    <cfRule type="cellIs" dxfId="138" priority="34" operator="equal">
      <formula>"DM"</formula>
    </cfRule>
    <cfRule type="cellIs" dxfId="139" priority="35" operator="equal">
      <formula>"CS1"</formula>
    </cfRule>
    <cfRule type="cellIs" dxfId="140" priority="36" operator="equal">
      <formula>"CS2"</formula>
    </cfRule>
    <cfRule type="cellIs" dxfId="141" priority="37" operator="equal">
      <formula>"SB1"</formula>
    </cfRule>
    <cfRule type="cellIs" dxfId="142" priority="38" operator="equal">
      <formula>"SB2"</formula>
    </cfRule>
    <cfRule type="cellIs" dxfId="143" priority="39" operator="equal">
      <formula>"AE"</formula>
    </cfRule>
    <cfRule type="cellIs" dxfId="137" priority="41" operator="equal">
      <formula>"DB"</formula>
    </cfRule>
    <cfRule type="containsText" dxfId="144" priority="42" operator="between" text="$AM">
      <formula>NOT(ISERROR(SEARCH("$AM",C5)))</formula>
    </cfRule>
    <cfRule type="containsText" dxfId="145" priority="43" operator="between" text="$PM">
      <formula>NOT(ISERROR(SEARCH("$PM",C5)))</formula>
    </cfRule>
    <cfRule type="containsText" dxfId="146" priority="44" operator="between" text="$L">
      <formula>NOT(ISERROR(SEARCH("$L",C5)))</formula>
    </cfRule>
    <cfRule type="containsText" dxfId="147" priority="45" operator="between" text="$BTP">
      <formula>NOT(ISERROR(SEARCH("$BTP",C5)))</formula>
    </cfRule>
    <cfRule type="containsText" dxfId="148" priority="46" operator="between" text="$M">
      <formula>NOT(ISERROR(SEARCH("$M",C5)))</formula>
    </cfRule>
    <cfRule type="containsText" dxfId="149" priority="47" operator="between" text="$N">
      <formula>NOT(ISERROR(SEARCH("$N",C5)))</formula>
    </cfRule>
    <cfRule type="containsText" dxfId="150" priority="48" operator="between" text="$FC">
      <formula>NOT(ISERROR(SEARCH("$FC",C5)))</formula>
    </cfRule>
    <cfRule type="containsText" dxfId="151" priority="49" operator="between" text="OAL">
      <formula>NOT(ISERROR(SEARCH("OAL",C5)))</formula>
    </cfRule>
    <cfRule type="containsText" dxfId="152" priority="50" operator="between" text="S+">
      <formula>NOT(ISERROR(SEARCH("S+",C5)))</formula>
    </cfRule>
    <cfRule type="containsText" dxfId="153" priority="51" operator="between" text="EX-D">
      <formula>NOT(ISERROR(SEARCH("EX-D",C5)))</formula>
    </cfRule>
  </conditionalFormatting>
  <conditionalFormatting sqref="C5:C26 D5:D10 E5:E18 F5:F25 G5:G24 H5:H6 I5:I26 J5:J10 K5:K26 L5:L25 M5:M15 N5:N23 O5:O13 P5:P9 Q5:Q6 R5:R18 S5:S25 T5:T15 U5:U7 V5 W5:X6 Y5:Y25 Z5:Z29 AA5:AA26 AC5:AD28 AE5:AE30 AF5:AG23 AB6:AB28 V7:V10 H8:H26 Q8:Q19 W8:W30 X8:X28 U10:U24 P11:P29 D12:D26 J12:J19 V12:V28 O15:O23 M17:M19 T17:T26 E20:E21 R20:R31 J21:J26 M21:M23 Q21:Q26 E23:E25 M25:M27 N25:N29 AG25 O26 U26 Y27:Y29 AF27:AF28 C28:G28 Q28:Q32 U28 AA28:AA30 I29:I30 K29 M29:M30 O29:O30 S29:S30 D30 J30:J31 L30 T30:T31 V30:V31 AB30:AB32 AC30:AD30 AF30 C31 H31 N31 P31 U31 X31:Y31 Z31:Z32 M32 AA32 AC32:AE32">
    <cfRule type="containsText" dxfId="154" priority="40" operator="between" text="VACC">
      <formula>NOT(ISERROR(SEARCH("VACC",C5)))</formula>
    </cfRule>
  </conditionalFormatting>
  <conditionalFormatting sqref="C5:C10 D5:D7 E5:E14 G5:G14 H5:H6 I5:I19 J5:J10 K5:K26 L5:L25 M5:M11 N5:N23 O5:O13 P5:P9 Q5 R5:R18 S5:S17 T5:T15 U5:U7 W5:W6 X5 Y5:Y25 Z5:Z7 AC5:AD28 AE5:AE30 AF5:AF11 AG5:AG15 F6:F9 AA6:AA17 AB6:AB14 V7:V10 H8:H19 Q8:Q19 W8:W27 X8:X25 Z9:Z13 D10 U10:U24 P11:P29 C12:C23 D12:D13 F12:F14 J12:J19 V12:V18 M13:M15 AF13 O15:O23 Z15:Z21 AF15:AF18 D16:D23 F16:F18 G16:G19 E17 M17:M19 T17:T26 AB17:AB28 AG18:AG23 S19:S25 AA19:AA20 E20:F21 R20:R25 V20:V28 AF20:AF23 G21:G24 H21:J26 M21:M23 Q21:Q26 AA22:AA26 E23 F23:F25 Z23:Z29 D25:D26 E25 M25:M27 N25:N29 C26 O26 U26 R27:R31 X27:X28 Y27:Y29 AF27:AF28 C28:G28 Q28 U28 AA28:AA30 I29:I30 K29 O29:O30 S29:S30 W29:W30 D30 J30:J31 L30:M30 Q30:Q32 T30:T31 V30:V31 AB30:AB32 AC30:AD30 AF30 C31 H31 N31 P31 U31 X31:Y31 M32 Z32:AA32 AC32:AE32">
    <cfRule type="expression" dxfId="136" priority="52">
      <formula>WEEKDAY(#REF!,2)&gt;5</formula>
    </cfRule>
  </conditionalFormatting>
  <conditionalFormatting sqref="BO5:BP33">
    <cfRule type="cellIs" dxfId="155" priority="61" operator="lessThan">
      <formula>1</formula>
    </cfRule>
  </conditionalFormatting>
  <conditionalFormatting sqref="E6 T7 F8:F9 C13 T13:T14 U13 X13:Z13 O16 C17 P17 H19 T20 G22 E23 U24 AE24 H25 AB26">
    <cfRule type="expression" dxfId="136" priority="29">
      <formula>WEEKDAY(G$3,2)&gt;5</formula>
    </cfRule>
  </conditionalFormatting>
  <conditionalFormatting sqref="E6 T7 F12 T13:T14 U13 X13:Z13 O16 P17 H19 T20 G21:G22 E23 U24 AE24 H25 AB26 F28">
    <cfRule type="expression" dxfId="136" priority="30">
      <formula>WEEKDAY(F$3,2)&gt;5</formula>
    </cfRule>
  </conditionalFormatting>
  <conditionalFormatting sqref="C8:C9 F8:F9 C12:C13 E12 I12 C17">
    <cfRule type="expression" dxfId="136" priority="31">
      <formula>WEEKDAY(E$3,2)&gt;5</formula>
    </cfRule>
  </conditionalFormatting>
  <conditionalFormatting sqref="C24:C25 C28:E28 R28:R30 Y28:AA29 I29 K29 S29 D30">
    <cfRule type="expression" dxfId="136" priority="28">
      <formula>WEEKDAY(#REF!,2)&gt;5</formula>
    </cfRule>
  </conditionalFormatting>
  <conditionalFormatting sqref="Q26 T26 O27 V27 C28:E29 H28:H29 P28 R28:R30 S28:T29 W28 Y28:AA29 F29:G29 I29:M29 O29 U29:V29 X29 AB29:AC29 U31 X31">
    <cfRule type="cellIs" dxfId="137" priority="9" operator="equal">
      <formula>"B"</formula>
    </cfRule>
    <cfRule type="cellIs" dxfId="137" priority="10" operator="equal">
      <formula>"AL"</formula>
    </cfRule>
    <cfRule type="cellIs" dxfId="138" priority="11" operator="equal">
      <formula>"DM"</formula>
    </cfRule>
    <cfRule type="cellIs" dxfId="139" priority="12" operator="equal">
      <formula>"CS1"</formula>
    </cfRule>
    <cfRule type="cellIs" dxfId="140" priority="13" operator="equal">
      <formula>"CS2"</formula>
    </cfRule>
    <cfRule type="cellIs" dxfId="141" priority="14" operator="equal">
      <formula>"SB1"</formula>
    </cfRule>
    <cfRule type="cellIs" dxfId="142" priority="15" operator="equal">
      <formula>"SB2"</formula>
    </cfRule>
    <cfRule type="cellIs" dxfId="143" priority="16" operator="equal">
      <formula>"AE"</formula>
    </cfRule>
    <cfRule type="cellIs" dxfId="137" priority="17" operator="equal">
      <formula>"DB"</formula>
    </cfRule>
    <cfRule type="containsText" dxfId="144" priority="18" operator="between" text="$AM">
      <formula>NOT(ISERROR(SEARCH("$AM",C26)))</formula>
    </cfRule>
    <cfRule type="containsText" dxfId="145" priority="19" operator="between" text="$PM">
      <formula>NOT(ISERROR(SEARCH("$PM",C26)))</formula>
    </cfRule>
    <cfRule type="containsText" dxfId="146" priority="20" operator="between" text="$L">
      <formula>NOT(ISERROR(SEARCH("$L",C26)))</formula>
    </cfRule>
    <cfRule type="containsText" dxfId="147" priority="21" operator="between" text="$BTP">
      <formula>NOT(ISERROR(SEARCH("$BTP",C26)))</formula>
    </cfRule>
    <cfRule type="containsText" dxfId="148" priority="22" operator="between" text="$M">
      <formula>NOT(ISERROR(SEARCH("$M",C26)))</formula>
    </cfRule>
    <cfRule type="containsText" dxfId="149" priority="23" operator="between" text="$N">
      <formula>NOT(ISERROR(SEARCH("$N",C26)))</formula>
    </cfRule>
    <cfRule type="containsText" dxfId="150" priority="24" operator="between" text="$FC">
      <formula>NOT(ISERROR(SEARCH("$FC",C26)))</formula>
    </cfRule>
    <cfRule type="containsText" dxfId="151" priority="25" operator="between" text="OAL">
      <formula>NOT(ISERROR(SEARCH("OAL",C26)))</formula>
    </cfRule>
    <cfRule type="containsText" dxfId="152" priority="26" operator="between" text="S+">
      <formula>NOT(ISERROR(SEARCH("S+",C26)))</formula>
    </cfRule>
    <cfRule type="containsText" dxfId="153" priority="27" operator="between" text="EX-D">
      <formula>NOT(ISERROR(SEARCH("EX-D",C26)))</formula>
    </cfRule>
  </conditionalFormatting>
  <dataValidations count="2">
    <dataValidation type="list" allowBlank="1" sqref="C5:E5 H5:I5 K5 M5:O5 Q5:Y5 C6 E6:F6 H6 J6:P6 S6:U6 W6 C7:E7 G7 I7:L7 N7:P7 R7:V7 V8 X8 AA8:AE8 AG8 V9:AB9 C10:E10 I10:O10 Q10:AB10 E11 N11:O11 Q11:R11 U11 W11:AG11 C12:J12 N12:Q12 S12:T12 X12:AB12 AD12:AE12 AG12 C13:L13 N13 P13 R13 T13:V13 X13:AC13 AE13:AG13 C14:M14 O14:U14 X14:AE14 AG14 C15:D15 H15:V15 Y15 AA15:AC15 AF15:AG15 J16:L16 N16:O16 Q16 U16:AA16 AC16:AG16 J17:P17 R17:U17 W17 Z17:AB17 AD17:AE17 C18:D18 H18:R18 T18:W18 Y18:AC18 AE18:AG18 C19 H19:U19 X19:Y19 AB19:AD19 AF19:AG19 C20:F20 H20 K20 N20:P20 R20:U20 W20:AG20 C21:H21 J21:N21 P21:X21 Z21 AB21:AC21 AE21:AG21 C22:D22 F22:X22 AA22:AC22 AE22 AG22 C23:M23 O23 Q23 S23:Y23 AA23:AF23 C24:L24 N24 Q24:AC24 AE24:AF24 C25:J25 L25:Q25 S25:T25 V25:AC25 AE25 AG25 C26:Q26 T26:X26 AA26:AB26 AD26:AG26 C27 E27 G27 I27 K27 M27 P27 R27:S27 U27:W27 Y27:Z27 AC27:AE27 AG27 C28:I28 L28 N28 P28:Y28 AA28:AF28 C29:AE29 AG29 F30:M30 O30 Q30:T30 V30:W30 Z30:AG30 F31 H31:J31 L31:V31 X31:AF31 C32:I32 K32:M32 O32:P32 S32:V32 Y32 AF32:AG32 C33:L33 N33:P33 S33:AG33 F8:F9 F18:F19 G10:G11 L11:L12 T8:T9 C8:D9 C30:D31 C16:H17 I8:K9 M8:R9 Y6:AA7 AD5:AG7 AD9:AG10" showDropDown="1">
      <formula1>'Setting key Duty'!$B$7:$B$56</formula1>
    </dataValidation>
    <dataValidation type="list" allowBlank="1" sqref="C34:AG40" showDropDown="1">
      <formula1>'Setting key Duty'!$B$7:$B$23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BP46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C5" sqref="C5"/>
    </sheetView>
  </sheetViews>
  <sheetFormatPr defaultColWidth="12.6285714285714" defaultRowHeight="15.75" customHeight="1"/>
  <cols>
    <col min="1" max="1" width="2.13333333333333" customWidth="1"/>
    <col min="2" max="2" width="29.752380952381" customWidth="1"/>
    <col min="3" max="11" width="9.24761904761905" customWidth="1"/>
    <col min="12" max="12" width="9.38095238095238" customWidth="1"/>
    <col min="13" max="13" width="10.6285714285714" customWidth="1"/>
    <col min="14" max="14" width="9.24761904761905" customWidth="1"/>
    <col min="15" max="15" width="10" customWidth="1"/>
    <col min="16" max="17" width="9.24761904761905" customWidth="1"/>
    <col min="18" max="18" width="9.62857142857143" customWidth="1"/>
    <col min="19" max="19" width="9.13333333333333" customWidth="1"/>
    <col min="20" max="26" width="9.24761904761905" customWidth="1"/>
    <col min="27" max="27" width="10.5047619047619" customWidth="1"/>
    <col min="28" max="30" width="9.24761904761905" customWidth="1"/>
    <col min="31" max="31" width="10.5047619047619" customWidth="1"/>
    <col min="32" max="32" width="9.38095238095238" customWidth="1"/>
    <col min="33" max="33" width="9.24761904761905" customWidth="1"/>
    <col min="34" max="40" width="9.38095238095238" hidden="1" customWidth="1" outlineLevel="1"/>
    <col min="41" max="41" width="6.75238095238095" customWidth="1" collapsed="1"/>
    <col min="42" max="42" width="8.87619047619048" customWidth="1" outlineLevel="1"/>
    <col min="43" max="43" width="7.87619047619048" customWidth="1" outlineLevel="1"/>
    <col min="44" max="44" width="9.13333333333333" customWidth="1" outlineLevel="1"/>
    <col min="45" max="45" width="8.24761904761905" customWidth="1" outlineLevel="1"/>
    <col min="46" max="46" width="5.5047619047619" customWidth="1" outlineLevel="1"/>
    <col min="47" max="49" width="9.38095238095238" customWidth="1"/>
    <col min="50" max="57" width="9.38095238095238" customWidth="1" outlineLevel="1"/>
    <col min="58" max="58" width="10" customWidth="1" outlineLevel="1"/>
    <col min="59" max="64" width="9.38095238095238" customWidth="1" outlineLevel="1"/>
    <col min="65" max="65" width="9.38095238095238" customWidth="1"/>
    <col min="66" max="66" width="9.5047619047619" customWidth="1"/>
    <col min="67" max="68" width="9.38095238095238" customWidth="1"/>
  </cols>
  <sheetData>
    <row r="1" ht="3" customHeight="1" spans="1:68">
      <c r="A1" s="284">
        <v>65</v>
      </c>
      <c r="B1" s="285" t="s">
        <v>0</v>
      </c>
      <c r="C1" s="286" t="str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>
  Enter DM for DM, CS1 for CS1, CS2 for CS2, and SB1 for SB1. Use the 'Setting key' tab to customise. Change Date on highlighted cell
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90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0"/>
      <c r="BE1" s="290"/>
      <c r="BF1" s="290"/>
      <c r="BG1" s="290"/>
      <c r="BH1" s="290"/>
      <c r="BI1" s="290"/>
      <c r="BJ1" s="290"/>
      <c r="BK1" s="290"/>
      <c r="BL1" s="290"/>
      <c r="BM1" s="290"/>
      <c r="BN1" s="290"/>
      <c r="BO1" s="290"/>
      <c r="BP1" s="291"/>
    </row>
    <row r="2" ht="26.25" customHeight="1" spans="1:68">
      <c r="A2" s="292"/>
      <c r="B2" s="24" t="s">
        <v>1</v>
      </c>
      <c r="C2" s="167"/>
      <c r="D2" s="167"/>
      <c r="E2" s="167"/>
      <c r="F2" s="167" t="s">
        <v>149</v>
      </c>
      <c r="G2" s="167" t="s">
        <v>149</v>
      </c>
      <c r="H2" s="167"/>
      <c r="I2" s="167" t="s">
        <v>150</v>
      </c>
      <c r="J2" s="167" t="s">
        <v>150</v>
      </c>
      <c r="K2" s="167" t="s">
        <v>151</v>
      </c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 t="s">
        <v>152</v>
      </c>
      <c r="Z2" s="167" t="s">
        <v>152</v>
      </c>
      <c r="AA2" s="294" t="s">
        <v>153</v>
      </c>
      <c r="AB2" s="167" t="s">
        <v>152</v>
      </c>
      <c r="AC2" s="167" t="s">
        <v>152</v>
      </c>
      <c r="AD2" s="167"/>
      <c r="AE2" s="167"/>
      <c r="AF2" s="167" t="s">
        <v>154</v>
      </c>
      <c r="AG2" s="167" t="s">
        <v>155</v>
      </c>
      <c r="AH2" s="218"/>
      <c r="AI2" s="218"/>
      <c r="AJ2" s="218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  <c r="AX2" s="295"/>
      <c r="AY2" s="295"/>
      <c r="AZ2" s="296" t="s">
        <v>16</v>
      </c>
      <c r="BA2" s="296"/>
      <c r="BB2" s="296" t="s">
        <v>17</v>
      </c>
      <c r="BC2" s="296"/>
      <c r="BD2" s="296" t="s">
        <v>18</v>
      </c>
      <c r="BE2" s="296"/>
      <c r="BF2" s="296"/>
      <c r="BG2" s="296" t="s">
        <v>19</v>
      </c>
      <c r="BH2" s="296"/>
      <c r="BI2" s="296" t="s">
        <v>20</v>
      </c>
      <c r="BJ2" s="296"/>
      <c r="BK2" s="296"/>
      <c r="BL2" s="296"/>
      <c r="BM2" s="295"/>
      <c r="BN2" s="295"/>
      <c r="BO2" s="295"/>
      <c r="BP2" s="297"/>
    </row>
    <row r="3" ht="26.25" customHeight="1" spans="1:68">
      <c r="A3" s="292"/>
      <c r="B3" s="24" t="s">
        <v>21</v>
      </c>
      <c r="C3" s="388">
        <v>45627</v>
      </c>
      <c r="D3" s="299">
        <f t="shared" ref="D3:AG3" si="0">C3+1</f>
        <v>45628</v>
      </c>
      <c r="E3" s="299">
        <f t="shared" si="0"/>
        <v>45629</v>
      </c>
      <c r="F3" s="299">
        <f t="shared" si="0"/>
        <v>45630</v>
      </c>
      <c r="G3" s="299">
        <f t="shared" si="0"/>
        <v>45631</v>
      </c>
      <c r="H3" s="299">
        <f t="shared" si="0"/>
        <v>45632</v>
      </c>
      <c r="I3" s="299">
        <f t="shared" si="0"/>
        <v>45633</v>
      </c>
      <c r="J3" s="299">
        <f t="shared" si="0"/>
        <v>45634</v>
      </c>
      <c r="K3" s="299">
        <f t="shared" si="0"/>
        <v>45635</v>
      </c>
      <c r="L3" s="299">
        <f t="shared" si="0"/>
        <v>45636</v>
      </c>
      <c r="M3" s="299">
        <f t="shared" si="0"/>
        <v>45637</v>
      </c>
      <c r="N3" s="299">
        <f t="shared" si="0"/>
        <v>45638</v>
      </c>
      <c r="O3" s="299">
        <f t="shared" si="0"/>
        <v>45639</v>
      </c>
      <c r="P3" s="299">
        <f t="shared" si="0"/>
        <v>45640</v>
      </c>
      <c r="Q3" s="299">
        <f t="shared" si="0"/>
        <v>45641</v>
      </c>
      <c r="R3" s="299">
        <f t="shared" si="0"/>
        <v>45642</v>
      </c>
      <c r="S3" s="299">
        <f t="shared" si="0"/>
        <v>45643</v>
      </c>
      <c r="T3" s="299">
        <f t="shared" si="0"/>
        <v>45644</v>
      </c>
      <c r="U3" s="299">
        <f t="shared" si="0"/>
        <v>45645</v>
      </c>
      <c r="V3" s="299">
        <f t="shared" si="0"/>
        <v>45646</v>
      </c>
      <c r="W3" s="299">
        <f t="shared" si="0"/>
        <v>45647</v>
      </c>
      <c r="X3" s="299">
        <f t="shared" si="0"/>
        <v>45648</v>
      </c>
      <c r="Y3" s="299">
        <f t="shared" si="0"/>
        <v>45649</v>
      </c>
      <c r="Z3" s="299">
        <f t="shared" si="0"/>
        <v>45650</v>
      </c>
      <c r="AA3" s="299">
        <f t="shared" si="0"/>
        <v>45651</v>
      </c>
      <c r="AB3" s="299">
        <f t="shared" si="0"/>
        <v>45652</v>
      </c>
      <c r="AC3" s="299">
        <f t="shared" si="0"/>
        <v>45653</v>
      </c>
      <c r="AD3" s="299">
        <f t="shared" si="0"/>
        <v>45654</v>
      </c>
      <c r="AE3" s="299">
        <f t="shared" si="0"/>
        <v>45655</v>
      </c>
      <c r="AF3" s="299">
        <f t="shared" si="0"/>
        <v>45656</v>
      </c>
      <c r="AG3" s="299">
        <f t="shared" si="0"/>
        <v>45657</v>
      </c>
      <c r="AH3" s="221" t="str">
        <f>'Setting key Duty'!$C7</f>
        <v>DM</v>
      </c>
      <c r="AI3" s="222" t="str">
        <f>'Setting key Duty'!$C8</f>
        <v>CS1</v>
      </c>
      <c r="AJ3" s="223" t="str">
        <f>'Setting key Duty'!$C9</f>
        <v>CS2</v>
      </c>
      <c r="AK3" s="302" t="str">
        <f>'Setting key Duty'!$C11</f>
        <v>SB1</v>
      </c>
      <c r="AL3" s="302" t="str">
        <f>'Setting key Duty'!$C12</f>
        <v>SB2</v>
      </c>
      <c r="AM3" s="302" t="str">
        <f>'Setting key Duty'!$C13</f>
        <v>AE</v>
      </c>
      <c r="AN3" s="302" t="str">
        <f>'Setting key Duty'!C14</f>
        <v>EM</v>
      </c>
      <c r="AO3" s="223"/>
      <c r="AP3" s="223" t="s">
        <v>22</v>
      </c>
      <c r="AQ3" s="223" t="s">
        <v>23</v>
      </c>
      <c r="AR3" s="223" t="s">
        <v>24</v>
      </c>
      <c r="AS3" s="223" t="s">
        <v>25</v>
      </c>
      <c r="AT3" s="223" t="s">
        <v>26</v>
      </c>
      <c r="AU3" s="223" t="s">
        <v>27</v>
      </c>
      <c r="AV3" s="223" t="s">
        <v>28</v>
      </c>
      <c r="AW3" s="223" t="s">
        <v>29</v>
      </c>
      <c r="AX3" s="223" t="s">
        <v>30</v>
      </c>
      <c r="AY3" s="223" t="s">
        <v>31</v>
      </c>
      <c r="AZ3" s="302" t="s">
        <v>32</v>
      </c>
      <c r="BA3" s="302" t="s">
        <v>33</v>
      </c>
      <c r="BB3" s="302" t="s">
        <v>34</v>
      </c>
      <c r="BC3" s="302" t="s">
        <v>35</v>
      </c>
      <c r="BD3" s="302" t="s">
        <v>36</v>
      </c>
      <c r="BE3" s="302" t="s">
        <v>37</v>
      </c>
      <c r="BF3" s="302" t="s">
        <v>38</v>
      </c>
      <c r="BG3" s="302" t="s">
        <v>39</v>
      </c>
      <c r="BH3" s="302" t="s">
        <v>40</v>
      </c>
      <c r="BI3" s="302" t="s">
        <v>41</v>
      </c>
      <c r="BJ3" s="302" t="s">
        <v>42</v>
      </c>
      <c r="BK3" s="302" t="str">
        <f>'Setting key Duty'!C52</f>
        <v>Field Camp</v>
      </c>
      <c r="BL3" s="302" t="s">
        <v>43</v>
      </c>
      <c r="BM3" s="302" t="str">
        <f>'Setting key Duty'!$C15</f>
        <v>Block</v>
      </c>
      <c r="BN3" s="302" t="str">
        <f>'Setting key Duty'!C17</f>
        <v>Reserve</v>
      </c>
      <c r="BO3" s="302" t="str">
        <f>'Setting key Duty'!$C22</f>
        <v>AL</v>
      </c>
      <c r="BP3" s="297"/>
    </row>
    <row r="4" ht="18" customHeight="1" spans="1:68">
      <c r="A4" s="303"/>
      <c r="B4" s="260" t="s">
        <v>156</v>
      </c>
      <c r="C4" s="305" t="str">
        <f t="shared" ref="C4:AG4" si="1">TEXT(C3,"ddd")</f>
        <v>Sun</v>
      </c>
      <c r="D4" s="305" t="str">
        <f t="shared" si="1"/>
        <v>Mon</v>
      </c>
      <c r="E4" s="305" t="str">
        <f t="shared" si="1"/>
        <v>Tue</v>
      </c>
      <c r="F4" s="305" t="str">
        <f t="shared" si="1"/>
        <v>Wed</v>
      </c>
      <c r="G4" s="305" t="str">
        <f t="shared" si="1"/>
        <v>Thu</v>
      </c>
      <c r="H4" s="305" t="str">
        <f t="shared" si="1"/>
        <v>Fri</v>
      </c>
      <c r="I4" s="305" t="str">
        <f t="shared" si="1"/>
        <v>Sat</v>
      </c>
      <c r="J4" s="305" t="str">
        <f t="shared" si="1"/>
        <v>Sun</v>
      </c>
      <c r="K4" s="305" t="str">
        <f t="shared" si="1"/>
        <v>Mon</v>
      </c>
      <c r="L4" s="305" t="str">
        <f t="shared" si="1"/>
        <v>Tue</v>
      </c>
      <c r="M4" s="305" t="str">
        <f t="shared" si="1"/>
        <v>Wed</v>
      </c>
      <c r="N4" s="305" t="str">
        <f t="shared" si="1"/>
        <v>Thu</v>
      </c>
      <c r="O4" s="305" t="str">
        <f t="shared" si="1"/>
        <v>Fri</v>
      </c>
      <c r="P4" s="305" t="str">
        <f t="shared" si="1"/>
        <v>Sat</v>
      </c>
      <c r="Q4" s="305" t="str">
        <f t="shared" si="1"/>
        <v>Sun</v>
      </c>
      <c r="R4" s="305" t="str">
        <f t="shared" si="1"/>
        <v>Mon</v>
      </c>
      <c r="S4" s="305" t="str">
        <f t="shared" si="1"/>
        <v>Tue</v>
      </c>
      <c r="T4" s="305" t="str">
        <f t="shared" si="1"/>
        <v>Wed</v>
      </c>
      <c r="U4" s="305" t="str">
        <f t="shared" si="1"/>
        <v>Thu</v>
      </c>
      <c r="V4" s="305" t="str">
        <f t="shared" si="1"/>
        <v>Fri</v>
      </c>
      <c r="W4" s="305" t="str">
        <f t="shared" si="1"/>
        <v>Sat</v>
      </c>
      <c r="X4" s="305" t="str">
        <f t="shared" si="1"/>
        <v>Sun</v>
      </c>
      <c r="Y4" s="305" t="str">
        <f t="shared" si="1"/>
        <v>Mon</v>
      </c>
      <c r="Z4" s="305" t="str">
        <f t="shared" si="1"/>
        <v>Tue</v>
      </c>
      <c r="AA4" s="305" t="str">
        <f t="shared" si="1"/>
        <v>Wed</v>
      </c>
      <c r="AB4" s="305" t="str">
        <f t="shared" si="1"/>
        <v>Thu</v>
      </c>
      <c r="AC4" s="305" t="str">
        <f t="shared" si="1"/>
        <v>Fri</v>
      </c>
      <c r="AD4" s="305" t="str">
        <f t="shared" si="1"/>
        <v>Sat</v>
      </c>
      <c r="AE4" s="305" t="str">
        <f t="shared" si="1"/>
        <v>Sun</v>
      </c>
      <c r="AF4" s="305" t="str">
        <f t="shared" si="1"/>
        <v>Mon</v>
      </c>
      <c r="AG4" s="305" t="str">
        <f t="shared" si="1"/>
        <v>Tue</v>
      </c>
      <c r="AH4" s="227" t="str">
        <f>'Setting key Duty'!$B7</f>
        <v>DM</v>
      </c>
      <c r="AI4" s="228" t="str">
        <f>'Setting key Duty'!$B8</f>
        <v>CS1</v>
      </c>
      <c r="AJ4" s="229" t="str">
        <f>'Setting key Duty'!$B9</f>
        <v>CS2</v>
      </c>
      <c r="AK4" s="307" t="str">
        <f>'Setting key Duty'!$B11</f>
        <v>SB1</v>
      </c>
      <c r="AL4" s="307" t="str">
        <f>'Setting key Duty'!$B12</f>
        <v>SB2</v>
      </c>
      <c r="AM4" s="307" t="str">
        <f>'Setting key Duty'!$B13</f>
        <v>AE</v>
      </c>
      <c r="AN4" s="307" t="str">
        <f>'Setting key Duty'!B14</f>
        <v>EM</v>
      </c>
      <c r="AO4" s="307"/>
      <c r="AP4" s="307"/>
      <c r="AQ4" s="307"/>
      <c r="AR4" s="307"/>
      <c r="AS4" s="307"/>
      <c r="AT4" s="307"/>
      <c r="AU4" s="307"/>
      <c r="AV4" s="307"/>
      <c r="AW4" s="307"/>
      <c r="AX4" s="307"/>
      <c r="AY4" s="307" t="s">
        <v>45</v>
      </c>
      <c r="AZ4" s="307" t="s">
        <v>46</v>
      </c>
      <c r="BA4" s="307"/>
      <c r="BB4" s="307" t="s">
        <v>47</v>
      </c>
      <c r="BC4" s="307"/>
      <c r="BD4" s="307" t="s">
        <v>48</v>
      </c>
      <c r="BE4" s="307"/>
      <c r="BF4" s="307" t="s">
        <v>49</v>
      </c>
      <c r="BG4" s="307" t="s">
        <v>50</v>
      </c>
      <c r="BH4" s="307"/>
      <c r="BI4" s="307" t="s">
        <v>51</v>
      </c>
      <c r="BJ4" s="307"/>
      <c r="BK4" s="307" t="str">
        <f>'Setting key Duty'!B52</f>
        <v>$FC</v>
      </c>
      <c r="BL4" s="307"/>
      <c r="BM4" s="307">
        <f>'Setting key Duty'!$B15</f>
        <v>0</v>
      </c>
      <c r="BN4" s="307" t="str">
        <f>'Setting key Duty'!B17</f>
        <v>RESERVE</v>
      </c>
      <c r="BO4" s="307" t="str">
        <f>'Setting key Duty'!$B22</f>
        <v>AL</v>
      </c>
      <c r="BP4" s="308"/>
    </row>
    <row r="5" ht="19.5" customHeight="1" spans="1:68">
      <c r="A5" s="309" t="s">
        <v>52</v>
      </c>
      <c r="B5" s="332" t="s">
        <v>53</v>
      </c>
      <c r="C5" s="197"/>
      <c r="D5" s="197" t="s">
        <v>157</v>
      </c>
      <c r="E5" s="197" t="s">
        <v>57</v>
      </c>
      <c r="F5" s="197" t="s">
        <v>158</v>
      </c>
      <c r="G5" s="197" t="s">
        <v>159</v>
      </c>
      <c r="H5" s="197" t="s">
        <v>160</v>
      </c>
      <c r="I5" s="197" t="s">
        <v>150</v>
      </c>
      <c r="J5" s="197" t="s">
        <v>161</v>
      </c>
      <c r="K5" s="197" t="s">
        <v>158</v>
      </c>
      <c r="L5" s="197" t="s">
        <v>71</v>
      </c>
      <c r="M5" s="197" t="s">
        <v>162</v>
      </c>
      <c r="N5" s="197"/>
      <c r="O5" s="197" t="s">
        <v>55</v>
      </c>
      <c r="P5" s="197"/>
      <c r="Q5" s="197"/>
      <c r="R5" s="197" t="s">
        <v>158</v>
      </c>
      <c r="S5" s="197" t="s">
        <v>71</v>
      </c>
      <c r="T5" s="197" t="s">
        <v>71</v>
      </c>
      <c r="U5" s="197" t="s">
        <v>71</v>
      </c>
      <c r="V5" s="197" t="s">
        <v>54</v>
      </c>
      <c r="W5" s="197" t="s">
        <v>54</v>
      </c>
      <c r="X5" s="197" t="s">
        <v>54</v>
      </c>
      <c r="Y5" s="197" t="s">
        <v>54</v>
      </c>
      <c r="Z5" s="197" t="s">
        <v>57</v>
      </c>
      <c r="AA5" s="396"/>
      <c r="AB5" s="197" t="s">
        <v>57</v>
      </c>
      <c r="AC5" s="197"/>
      <c r="AD5" s="197" t="s">
        <v>54</v>
      </c>
      <c r="AE5" s="197" t="s">
        <v>54</v>
      </c>
      <c r="AF5" s="197" t="s">
        <v>54</v>
      </c>
      <c r="AG5" s="197" t="s">
        <v>54</v>
      </c>
      <c r="AH5" s="311">
        <f t="shared" ref="AH5:AN5" si="2">COUNTIF($C5:$AE5,AH$4)</f>
        <v>3</v>
      </c>
      <c r="AI5" s="312">
        <f t="shared" si="2"/>
        <v>0</v>
      </c>
      <c r="AJ5" s="311">
        <f t="shared" si="2"/>
        <v>0</v>
      </c>
      <c r="AK5" s="313">
        <f t="shared" si="2"/>
        <v>0</v>
      </c>
      <c r="AL5" s="313">
        <f t="shared" si="2"/>
        <v>0</v>
      </c>
      <c r="AM5" s="313">
        <f t="shared" si="2"/>
        <v>0</v>
      </c>
      <c r="AN5" s="313">
        <f t="shared" si="2"/>
        <v>0</v>
      </c>
      <c r="AO5" s="238"/>
      <c r="AP5" s="313">
        <f t="shared" ref="AP5:AP31" si="3">SUMPRODUCT(--WEEKDAY(C$3:AG$3,2)&lt;6,--((C5:AG5="DM"))+(C5:AG5="CS1")+((C5:AG5="CS2"))+(C5:AG5="SB1")+(C5:AG5="AE")+(C5:AG5="EM"))</f>
        <v>0</v>
      </c>
      <c r="AQ5" s="238"/>
      <c r="AR5" s="238">
        <f t="shared" ref="AR5:AR31" si="4">SUMPRODUCT(--WEEKDAY(C$3:AG$3,2)&gt;5,--((C5:AG5="DM"))+(C5:AG5="CS1")+((C5:AG5="CS2"))+(C5:AG5="SB1")+(C5:AG5="AE")+(C5:AG5="EM"))</f>
        <v>0</v>
      </c>
      <c r="AS5" s="238"/>
      <c r="AT5" s="238">
        <f>(AP5-AQ5)/2+(AR5-AS5)</f>
        <v>0</v>
      </c>
      <c r="AU5" s="238">
        <f>AH5+AI5+AJ5+AK5+AM5+AN5</f>
        <v>3</v>
      </c>
      <c r="AV5" s="238">
        <f>BF5+BG5+BI5+BD5+BB5+AZ5+BK5</f>
        <v>0</v>
      </c>
      <c r="AW5" s="238" t="e">
        <f>AT5+AX5</f>
        <v>#VALUE!</v>
      </c>
      <c r="AX5" s="313" t="e">
        <f>(BI5*('Setting key Duty'!$I$8+'Setting key Duty'!$I$12))+(BG5*'Setting key Duty'!$I$9)+(BB5*('Setting key Duty'!$I$13+'Setting key Duty'!$I$9))+(AZ5*('Setting key Duty'!$I$13+'Setting key Duty'!$I$12+'Setting key Duty'!$I$11))+(BD5*('Setting key Duty'!$I$8+'Setting key Duty'!$I$9+'Setting key Duty'!$I$12))</f>
        <v>#VALUE!</v>
      </c>
      <c r="AY5" s="313">
        <f>COUNTIF(C5:AE5,"*BRT*")</f>
        <v>0</v>
      </c>
      <c r="AZ5" s="313">
        <f>COUNTIF(A5:AH5,"*$BTP*")</f>
        <v>0</v>
      </c>
      <c r="BA5" s="313" t="e">
        <f>AZ5*('Setting key Duty'!$I$13+'Setting key Duty'!$I$12+'Setting key Duty'!$I$11)</f>
        <v>#VALUE!</v>
      </c>
      <c r="BB5" s="313">
        <f>COUNTIF(A5:AH5,"*$L*")</f>
        <v>0</v>
      </c>
      <c r="BC5" s="313" t="e">
        <f>BB5*('Setting key Duty'!$I$13+'Setting key Duty'!$I$9)</f>
        <v>#VALUE!</v>
      </c>
      <c r="BD5" s="313">
        <f>COUNTIF(A5:AH5,"*$M*")</f>
        <v>0</v>
      </c>
      <c r="BE5" s="313">
        <f>BD5*('Setting key Duty'!$I$8+'Setting key Duty'!$I$9+'Setting key Duty'!$I$12)</f>
        <v>0</v>
      </c>
      <c r="BF5" s="313">
        <f>COUNTIF(AF5:AH5,"*$N*")</f>
        <v>0</v>
      </c>
      <c r="BG5" s="313">
        <f>COUNTIF(AF5:AH5,"*$PM*")</f>
        <v>0</v>
      </c>
      <c r="BH5" s="313">
        <f>BG5*('Setting key Duty'!$I$9)</f>
        <v>0</v>
      </c>
      <c r="BI5" s="313">
        <f>COUNTIF(A5:AH5,"*$AM*")</f>
        <v>0</v>
      </c>
      <c r="BJ5" s="313">
        <f>BI5*('Setting key Duty'!$I$12+'Setting key Duty'!$I$8)</f>
        <v>0</v>
      </c>
      <c r="BK5" s="313">
        <f>COUNTIF(C5:AH5,"*$FC*")</f>
        <v>0</v>
      </c>
      <c r="BL5" s="313">
        <f>BK5*('Setting key Duty'!$J$11+'Setting key Duty'!$I$8)</f>
        <v>0</v>
      </c>
      <c r="BM5" s="313">
        <f>COUNTIF($C5:$AE5,BM$4)</f>
        <v>0</v>
      </c>
      <c r="BN5" s="313">
        <f>COUNTIF($C5:$AE5,BN$4)</f>
        <v>0</v>
      </c>
      <c r="BO5" s="313">
        <f>COUNTIF($C5:$AE5,BO$4)</f>
        <v>1</v>
      </c>
      <c r="BP5" s="314"/>
    </row>
    <row r="6" ht="36" customHeight="1" spans="1:68">
      <c r="A6" s="309"/>
      <c r="B6" s="375" t="s">
        <v>60</v>
      </c>
      <c r="D6" s="197" t="s">
        <v>54</v>
      </c>
      <c r="E6" s="197" t="s">
        <v>71</v>
      </c>
      <c r="F6" s="197" t="s">
        <v>71</v>
      </c>
      <c r="G6" s="197" t="s">
        <v>71</v>
      </c>
      <c r="H6" s="197" t="s">
        <v>71</v>
      </c>
      <c r="I6" s="197" t="s">
        <v>71</v>
      </c>
      <c r="J6" s="197" t="s">
        <v>71</v>
      </c>
      <c r="K6" s="197" t="s">
        <v>71</v>
      </c>
      <c r="L6" s="197" t="s">
        <v>71</v>
      </c>
      <c r="M6" s="197" t="s">
        <v>71</v>
      </c>
      <c r="N6" s="197" t="s">
        <v>56</v>
      </c>
      <c r="O6" s="197"/>
      <c r="P6" s="197" t="s">
        <v>59</v>
      </c>
      <c r="Q6" s="106"/>
      <c r="R6" s="197" t="s">
        <v>56</v>
      </c>
      <c r="T6" s="197" t="s">
        <v>56</v>
      </c>
      <c r="U6" s="197" t="s">
        <v>55</v>
      </c>
      <c r="W6" s="197" t="s">
        <v>59</v>
      </c>
      <c r="Y6" s="197" t="s">
        <v>55</v>
      </c>
      <c r="Z6" s="198" t="s">
        <v>55</v>
      </c>
      <c r="AA6" s="396"/>
      <c r="AC6" s="197"/>
      <c r="AD6" s="197" t="s">
        <v>54</v>
      </c>
      <c r="AE6" s="197" t="s">
        <v>54</v>
      </c>
      <c r="AF6" s="197" t="s">
        <v>54</v>
      </c>
      <c r="AG6" s="197" t="s">
        <v>54</v>
      </c>
      <c r="AH6" s="311">
        <f t="shared" ref="AH6:AN6" si="5">COUNTIF($D6:$AE6,AH$4)</f>
        <v>0</v>
      </c>
      <c r="AI6" s="312">
        <f t="shared" si="5"/>
        <v>3</v>
      </c>
      <c r="AJ6" s="311">
        <f t="shared" si="5"/>
        <v>2</v>
      </c>
      <c r="AK6" s="313">
        <f t="shared" si="5"/>
        <v>0</v>
      </c>
      <c r="AL6" s="313">
        <f t="shared" si="5"/>
        <v>0</v>
      </c>
      <c r="AM6" s="313">
        <f t="shared" si="5"/>
        <v>0</v>
      </c>
      <c r="AN6" s="313">
        <f t="shared" si="5"/>
        <v>0</v>
      </c>
      <c r="AO6" s="238"/>
      <c r="AP6" s="313">
        <f t="shared" si="3"/>
        <v>0</v>
      </c>
      <c r="AQ6" s="238"/>
      <c r="AR6" s="238">
        <f t="shared" si="4"/>
        <v>0</v>
      </c>
      <c r="AS6" s="238"/>
      <c r="AT6" s="238">
        <f>(AP6-AQ6)/2+(AR6-AS6)</f>
        <v>0</v>
      </c>
      <c r="AU6" s="238">
        <f>AH6+AI6+AJ6+AK6+AM6+AN6</f>
        <v>5</v>
      </c>
      <c r="AV6" s="238" t="e">
        <f>AT6+AX6</f>
        <v>#VALUE!</v>
      </c>
      <c r="AW6" s="238" t="e">
        <f>AT6+AX6</f>
        <v>#VALUE!</v>
      </c>
      <c r="AX6" s="313" t="e">
        <f>(BI6*('Setting key Duty'!$I$8+'Setting key Duty'!$I$12))+(BG6*'Setting key Duty'!$I$9)+(BB6*('Setting key Duty'!$I$13+'Setting key Duty'!$I$9))+(AZ6*('Setting key Duty'!$I$13+'Setting key Duty'!$I$12+'Setting key Duty'!$I$11))+(BD6*('Setting key Duty'!$I$8+'Setting key Duty'!$I$9+'Setting key Duty'!$I$12))</f>
        <v>#VALUE!</v>
      </c>
      <c r="AY6" s="313">
        <f>COUNTIF(D6:AE6,"*BRT*")</f>
        <v>0</v>
      </c>
      <c r="AZ6" s="313">
        <f>COUNTIF(A6:AH6,"*$BTP*")</f>
        <v>0</v>
      </c>
      <c r="BA6" s="313" t="e">
        <f>AZ6*('Setting key Duty'!$I$13+'Setting key Duty'!$I$12+'Setting key Duty'!$I$11)</f>
        <v>#VALUE!</v>
      </c>
      <c r="BB6" s="313">
        <f>COUNTIF(A6:AH6,"*$L*")</f>
        <v>0</v>
      </c>
      <c r="BC6" s="313" t="e">
        <f>BB6*('Setting key Duty'!$I$13+'Setting key Duty'!$I$9)</f>
        <v>#VALUE!</v>
      </c>
      <c r="BD6" s="313">
        <f>COUNTIF(A6:AH6,"*$M*")</f>
        <v>0</v>
      </c>
      <c r="BE6" s="313">
        <f>BD6*('Setting key Duty'!$I$8+'Setting key Duty'!$I$9+'Setting key Duty'!$I$12)</f>
        <v>0</v>
      </c>
      <c r="BF6" s="313">
        <f>COUNTIF(AF6:AH6,"*$N*")</f>
        <v>0</v>
      </c>
      <c r="BG6" s="313">
        <f>COUNTIF(AF6:AH6,"*$PM*")</f>
        <v>0</v>
      </c>
      <c r="BH6" s="313">
        <f>BG6*('Setting key Duty'!$I$9)</f>
        <v>0</v>
      </c>
      <c r="BI6" s="313">
        <f>COUNTIF(A6:AH6,"*$AM*")</f>
        <v>0</v>
      </c>
      <c r="BJ6" s="313">
        <f>BI6*('Setting key Duty'!$I$12+'Setting key Duty'!$I$8)</f>
        <v>0</v>
      </c>
      <c r="BK6" s="313">
        <f>COUNTIF(D6:AH6,"*$FC*")</f>
        <v>0</v>
      </c>
      <c r="BL6" s="313">
        <f>BK6*('Setting key Duty'!$J$11+'Setting key Duty'!$I$8)</f>
        <v>0</v>
      </c>
      <c r="BM6" s="313">
        <f>COUNTIF($D6:$AE6,BM$4)</f>
        <v>0</v>
      </c>
      <c r="BN6" s="313">
        <f>COUNTIF($D6:$AE6,BN$4)</f>
        <v>0</v>
      </c>
      <c r="BO6" s="313">
        <f>COUNTIF($D6:$AE6,BO$4)</f>
        <v>3</v>
      </c>
      <c r="BP6" s="314"/>
    </row>
    <row r="7" ht="19.5" customHeight="1" spans="1:68">
      <c r="A7" s="309"/>
      <c r="B7" s="334" t="s">
        <v>62</v>
      </c>
      <c r="C7" s="197" t="s">
        <v>57</v>
      </c>
      <c r="D7" s="106"/>
      <c r="E7" s="197" t="s">
        <v>58</v>
      </c>
      <c r="F7" s="197" t="s">
        <v>93</v>
      </c>
      <c r="G7" s="197" t="s">
        <v>71</v>
      </c>
      <c r="H7" s="317" t="s">
        <v>59</v>
      </c>
      <c r="J7" s="197"/>
      <c r="K7" s="197"/>
      <c r="L7" s="197" t="s">
        <v>59</v>
      </c>
      <c r="M7" s="106"/>
      <c r="N7" s="197"/>
      <c r="O7" s="197"/>
      <c r="P7" s="197"/>
      <c r="Q7" s="197" t="s">
        <v>57</v>
      </c>
      <c r="R7" s="197"/>
      <c r="S7" s="197" t="s">
        <v>56</v>
      </c>
      <c r="T7" s="197"/>
      <c r="U7" s="197"/>
      <c r="V7" s="197"/>
      <c r="W7" s="197" t="s">
        <v>54</v>
      </c>
      <c r="X7" s="197" t="s">
        <v>54</v>
      </c>
      <c r="Y7" s="197" t="s">
        <v>54</v>
      </c>
      <c r="Z7" s="197" t="s">
        <v>54</v>
      </c>
      <c r="AA7" s="396" t="s">
        <v>54</v>
      </c>
      <c r="AB7" s="197" t="s">
        <v>54</v>
      </c>
      <c r="AC7" s="197" t="s">
        <v>54</v>
      </c>
      <c r="AD7" s="197" t="s">
        <v>54</v>
      </c>
      <c r="AE7" s="197" t="s">
        <v>54</v>
      </c>
      <c r="AF7" s="197" t="s">
        <v>54</v>
      </c>
      <c r="AG7" s="197" t="s">
        <v>54</v>
      </c>
      <c r="AH7" s="311">
        <f t="shared" ref="AH7:AN7" si="6">COUNTIF($C7:$D7,AH$4)</f>
        <v>1</v>
      </c>
      <c r="AI7" s="312">
        <f t="shared" si="6"/>
        <v>0</v>
      </c>
      <c r="AJ7" s="311">
        <f t="shared" si="6"/>
        <v>0</v>
      </c>
      <c r="AK7" s="313">
        <f t="shared" si="6"/>
        <v>0</v>
      </c>
      <c r="AL7" s="313">
        <f t="shared" si="6"/>
        <v>0</v>
      </c>
      <c r="AM7" s="313">
        <f t="shared" si="6"/>
        <v>0</v>
      </c>
      <c r="AN7" s="313">
        <f t="shared" si="6"/>
        <v>0</v>
      </c>
      <c r="AO7" s="238"/>
      <c r="AP7" s="313">
        <f t="shared" si="3"/>
        <v>0</v>
      </c>
      <c r="AQ7" s="238"/>
      <c r="AR7" s="238">
        <f t="shared" si="4"/>
        <v>0</v>
      </c>
      <c r="AS7" s="238"/>
      <c r="AT7" s="238">
        <f>(AP7-AQ7)/2+(AR7-AS7)</f>
        <v>0</v>
      </c>
      <c r="AU7" s="238">
        <f>AH7+AI7+AJ7+AK7+AM7+AN7</f>
        <v>1</v>
      </c>
      <c r="AV7" s="238">
        <f>BF7+BG7+BI7+BD7+BB7+AZ7+BK7</f>
        <v>0</v>
      </c>
      <c r="AW7" s="238" t="e">
        <f>AT7+AX7</f>
        <v>#VALUE!</v>
      </c>
      <c r="AX7" s="313" t="e">
        <f>(BI7*('Setting key Duty'!$I$8+'Setting key Duty'!$I$12))+(BG7*'Setting key Duty'!$I$9)+(BB7*('Setting key Duty'!$I$13+'Setting key Duty'!$I$9))+(AZ7*('Setting key Duty'!$I$13+'Setting key Duty'!$I$12+'Setting key Duty'!$I$11))+(BD7*('Setting key Duty'!$I$8+'Setting key Duty'!$I$9+'Setting key Duty'!$I$12))</f>
        <v>#VALUE!</v>
      </c>
      <c r="AY7" s="313">
        <f>COUNTIF(C7:D7,"*BRT*")</f>
        <v>0</v>
      </c>
      <c r="AZ7" s="313">
        <f>COUNTIF(A7:AH7,"*$BTP*")</f>
        <v>0</v>
      </c>
      <c r="BA7" s="313" t="e">
        <f>AZ7*('Setting key Duty'!$I$13+'Setting key Duty'!$I$12+'Setting key Duty'!$I$11)</f>
        <v>#VALUE!</v>
      </c>
      <c r="BB7" s="313">
        <f>COUNTIF(A7:AH7,"*$L*")</f>
        <v>0</v>
      </c>
      <c r="BC7" s="313" t="e">
        <f>BB7*('Setting key Duty'!$I$13+'Setting key Duty'!$I$9)</f>
        <v>#VALUE!</v>
      </c>
      <c r="BD7" s="313">
        <f>COUNTIF(A7:AH7,"*$M*")</f>
        <v>0</v>
      </c>
      <c r="BE7" s="313">
        <f>BD7*('Setting key Duty'!$I$8+'Setting key Duty'!$I$9+'Setting key Duty'!$I$12)</f>
        <v>0</v>
      </c>
      <c r="BF7" s="313">
        <f>COUNTIF(A7:AH7,"*$N*")</f>
        <v>0</v>
      </c>
      <c r="BG7" s="313">
        <f>COUNTIF(AG7:AH7,"*$PM*")</f>
        <v>0</v>
      </c>
      <c r="BH7" s="313">
        <f>BG7*('Setting key Duty'!$I$9)</f>
        <v>0</v>
      </c>
      <c r="BI7" s="313">
        <f>COUNTIF(A7:AH7,"*$AM*")</f>
        <v>0</v>
      </c>
      <c r="BJ7" s="313">
        <f>BI7*('Setting key Duty'!$I$12+'Setting key Duty'!$I$8)</f>
        <v>0</v>
      </c>
      <c r="BK7" s="313">
        <f>COUNTIF(C7:AH7,"*$FC*")</f>
        <v>0</v>
      </c>
      <c r="BL7" s="313">
        <f>BK7*('Setting key Duty'!$J$11+'Setting key Duty'!$I$8)</f>
        <v>0</v>
      </c>
      <c r="BM7" s="313">
        <f>COUNTIF($C7:$D7,BM$4)</f>
        <v>0</v>
      </c>
      <c r="BN7" s="313">
        <f>COUNTIF($C7:$D7,BN$4)</f>
        <v>0</v>
      </c>
      <c r="BO7" s="313">
        <f>COUNTIF($C7:$D7,BO$4)</f>
        <v>0</v>
      </c>
      <c r="BP7" s="314"/>
    </row>
    <row r="8" ht="19.5" customHeight="1" spans="1:68">
      <c r="A8" s="309"/>
      <c r="B8" s="334" t="s">
        <v>63</v>
      </c>
      <c r="C8" s="197" t="s">
        <v>56</v>
      </c>
      <c r="D8" s="106"/>
      <c r="E8" s="106"/>
      <c r="F8" s="324" t="s">
        <v>57</v>
      </c>
      <c r="J8" s="197" t="s">
        <v>57</v>
      </c>
      <c r="K8" s="197"/>
      <c r="M8" s="106"/>
      <c r="N8" s="197" t="s">
        <v>57</v>
      </c>
      <c r="O8" s="197"/>
      <c r="P8" s="197"/>
      <c r="Q8" s="197"/>
      <c r="R8" s="197" t="s">
        <v>55</v>
      </c>
      <c r="S8" s="106"/>
      <c r="T8" s="197"/>
      <c r="U8" s="197" t="s">
        <v>59</v>
      </c>
      <c r="V8" s="197" t="s">
        <v>163</v>
      </c>
      <c r="W8" s="197"/>
      <c r="X8" s="197"/>
      <c r="Y8" s="197" t="s">
        <v>55</v>
      </c>
      <c r="Z8" s="197"/>
      <c r="AA8" s="396"/>
      <c r="AC8" s="197"/>
      <c r="AD8" s="197"/>
      <c r="AE8" s="197"/>
      <c r="AF8" s="197" t="s">
        <v>57</v>
      </c>
      <c r="AG8" s="197"/>
      <c r="AH8" s="311"/>
      <c r="AI8" s="312"/>
      <c r="AJ8" s="311"/>
      <c r="AK8" s="313"/>
      <c r="AL8" s="313"/>
      <c r="AM8" s="313"/>
      <c r="AN8" s="313"/>
      <c r="AO8" s="238"/>
      <c r="AP8" s="313">
        <f t="shared" si="3"/>
        <v>0</v>
      </c>
      <c r="AQ8" s="238"/>
      <c r="AR8" s="238">
        <f t="shared" si="4"/>
        <v>0</v>
      </c>
      <c r="AS8" s="238"/>
      <c r="AT8" s="238"/>
      <c r="AU8" s="238"/>
      <c r="AV8" s="238"/>
      <c r="AW8" s="238"/>
      <c r="AX8" s="313"/>
      <c r="AY8" s="313"/>
      <c r="AZ8" s="313"/>
      <c r="BA8" s="313"/>
      <c r="BB8" s="313"/>
      <c r="BC8" s="313"/>
      <c r="BD8" s="313"/>
      <c r="BE8" s="313"/>
      <c r="BF8" s="313"/>
      <c r="BG8" s="313"/>
      <c r="BH8" s="313"/>
      <c r="BI8" s="313"/>
      <c r="BJ8" s="313"/>
      <c r="BK8" s="313"/>
      <c r="BL8" s="313"/>
      <c r="BM8" s="313"/>
      <c r="BN8" s="313"/>
      <c r="BO8" s="313"/>
      <c r="BP8" s="314"/>
    </row>
    <row r="9" ht="19.5" customHeight="1" spans="1:68">
      <c r="A9" s="309"/>
      <c r="B9" s="394" t="s">
        <v>64</v>
      </c>
      <c r="C9" s="197" t="s">
        <v>59</v>
      </c>
      <c r="D9" s="197"/>
      <c r="E9" s="106"/>
      <c r="F9" s="197" t="s">
        <v>65</v>
      </c>
      <c r="G9" s="106"/>
      <c r="H9" s="197" t="s">
        <v>56</v>
      </c>
      <c r="I9" s="197"/>
      <c r="J9" s="197" t="s">
        <v>56</v>
      </c>
      <c r="K9" s="197" t="s">
        <v>55</v>
      </c>
      <c r="L9" s="197" t="s">
        <v>56</v>
      </c>
      <c r="M9" s="106"/>
      <c r="N9" s="197" t="s">
        <v>164</v>
      </c>
      <c r="O9" s="197" t="s">
        <v>54</v>
      </c>
      <c r="P9" s="197" t="s">
        <v>54</v>
      </c>
      <c r="Q9" s="197" t="s">
        <v>54</v>
      </c>
      <c r="R9" s="197" t="s">
        <v>54</v>
      </c>
      <c r="S9" s="197" t="s">
        <v>55</v>
      </c>
      <c r="T9" s="197"/>
      <c r="U9" s="106"/>
      <c r="V9" s="197" t="s">
        <v>55</v>
      </c>
      <c r="W9" s="197"/>
      <c r="X9" s="197"/>
      <c r="Y9" s="197"/>
      <c r="Z9" s="197"/>
      <c r="AA9" s="396" t="s">
        <v>56</v>
      </c>
      <c r="AB9" s="198"/>
      <c r="AD9" s="197" t="s">
        <v>57</v>
      </c>
      <c r="AE9" s="197"/>
      <c r="AG9" s="197" t="s">
        <v>57</v>
      </c>
      <c r="AH9" s="311"/>
      <c r="AI9" s="312"/>
      <c r="AJ9" s="311"/>
      <c r="AK9" s="313"/>
      <c r="AL9" s="313"/>
      <c r="AM9" s="313"/>
      <c r="AN9" s="313"/>
      <c r="AO9" s="238"/>
      <c r="AP9" s="313">
        <f t="shared" si="3"/>
        <v>0</v>
      </c>
      <c r="AQ9" s="238"/>
      <c r="AR9" s="238">
        <f t="shared" si="4"/>
        <v>0</v>
      </c>
      <c r="AS9" s="238"/>
      <c r="AT9" s="238">
        <f t="shared" ref="AT9:AT31" si="7">(AP9-AQ9)/2+(AR9-AS9)</f>
        <v>0</v>
      </c>
      <c r="AU9" s="238">
        <f t="shared" ref="AU9:AU31" si="8">AH9+AI9+AJ9+AK9+AM9+AN9</f>
        <v>0</v>
      </c>
      <c r="AV9" s="238">
        <f t="shared" ref="AV9:AV31" si="9">BF9+BG9+BI9+BD9+BB9+AZ9+BK9</f>
        <v>0</v>
      </c>
      <c r="AW9" s="238" t="e">
        <f t="shared" ref="AW9:AW24" si="10">AT9+AX9</f>
        <v>#VALUE!</v>
      </c>
      <c r="AX9" s="313" t="e">
        <f>(BI9*('Setting key Duty'!$I$8+'Setting key Duty'!$I$12))+(BG9*'Setting key Duty'!$I$9)+(BB9*('Setting key Duty'!$I$13+'Setting key Duty'!$I$9))+(AZ9*('Setting key Duty'!$I$13+'Setting key Duty'!$I$12+'Setting key Duty'!$I$11))+(BD9*('Setting key Duty'!$I$8+'Setting key Duty'!$I$9+'Setting key Duty'!$I$12))</f>
        <v>#VALUE!</v>
      </c>
      <c r="AY9" s="313">
        <f>COUNTIF(D9:Z9,"*BRT*")</f>
        <v>0</v>
      </c>
      <c r="AZ9" s="313">
        <f t="shared" ref="AZ9:AZ25" si="11">COUNTIF(A9:AH9,"*$BTP*")</f>
        <v>0</v>
      </c>
      <c r="BA9" s="313" t="e">
        <f>AZ9*('Setting key Duty'!$I$13+'Setting key Duty'!$I$12+'Setting key Duty'!$I$11)</f>
        <v>#VALUE!</v>
      </c>
      <c r="BB9" s="313">
        <f t="shared" ref="BB9:BB23" si="12">COUNTIF(A9:AH9,"*$L*")</f>
        <v>0</v>
      </c>
      <c r="BC9" s="313" t="e">
        <f>BB9*('Setting key Duty'!$I$13+'Setting key Duty'!$I$9)</f>
        <v>#VALUE!</v>
      </c>
      <c r="BD9" s="313">
        <f t="shared" ref="BD9:BD23" si="13">COUNTIF(A9:AH9,"*$M*")</f>
        <v>0</v>
      </c>
      <c r="BE9" s="313">
        <f>BD9*('Setting key Duty'!$I$8+'Setting key Duty'!$I$9+'Setting key Duty'!$I$12)</f>
        <v>0</v>
      </c>
      <c r="BF9" s="313">
        <f>COUNTIF(AH9,"*$N*")</f>
        <v>0</v>
      </c>
      <c r="BG9" s="313">
        <f>COUNTIF(AH9,"*$PM*")</f>
        <v>0</v>
      </c>
      <c r="BH9" s="313">
        <f>BG9*('Setting key Duty'!$I$9)</f>
        <v>0</v>
      </c>
      <c r="BI9" s="313">
        <f t="shared" ref="BI9:BI23" si="14">COUNTIF(A9:AH9,"*$AM*")</f>
        <v>0</v>
      </c>
      <c r="BJ9" s="313">
        <f>BI9*('Setting key Duty'!$I$12+'Setting key Duty'!$I$8)</f>
        <v>0</v>
      </c>
      <c r="BK9" s="313">
        <f>COUNTIF(D9:AH9,"*$FC*")</f>
        <v>0</v>
      </c>
      <c r="BL9" s="313">
        <f>BK9*('Setting key Duty'!$J$11+'Setting key Duty'!$I$8)</f>
        <v>0</v>
      </c>
      <c r="BM9" s="313">
        <f>COUNTIF($D9:$Z9,BM$4)</f>
        <v>0</v>
      </c>
      <c r="BN9" s="313">
        <f>COUNTIF($D9:$Z9,BN$4)</f>
        <v>0</v>
      </c>
      <c r="BO9" s="313">
        <f>COUNTIF($D9:$Z9,BO$4)</f>
        <v>3</v>
      </c>
      <c r="BP9" s="314"/>
    </row>
    <row r="10" ht="36.75" spans="1:68">
      <c r="A10" s="309"/>
      <c r="B10" s="375" t="s">
        <v>66</v>
      </c>
      <c r="C10" s="197"/>
      <c r="D10" s="197" t="s">
        <v>57</v>
      </c>
      <c r="E10" s="197"/>
      <c r="F10" s="197" t="s">
        <v>58</v>
      </c>
      <c r="G10" s="197" t="s">
        <v>159</v>
      </c>
      <c r="H10" s="197" t="s">
        <v>160</v>
      </c>
      <c r="I10" s="197" t="s">
        <v>150</v>
      </c>
      <c r="J10" s="197" t="s">
        <v>161</v>
      </c>
      <c r="K10" s="197" t="s">
        <v>55</v>
      </c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396"/>
      <c r="AB10" s="197"/>
      <c r="AC10" s="197"/>
      <c r="AD10" s="197"/>
      <c r="AE10" s="197"/>
      <c r="AF10" s="197"/>
      <c r="AG10" s="197"/>
      <c r="AH10" s="311">
        <f t="shared" ref="AH10:AN10" si="15">COUNTIF($C10:$AE10,AH$4)</f>
        <v>1</v>
      </c>
      <c r="AI10" s="312">
        <f t="shared" si="15"/>
        <v>0</v>
      </c>
      <c r="AJ10" s="311">
        <f t="shared" si="15"/>
        <v>0</v>
      </c>
      <c r="AK10" s="313">
        <f t="shared" si="15"/>
        <v>1</v>
      </c>
      <c r="AL10" s="313">
        <f t="shared" si="15"/>
        <v>0</v>
      </c>
      <c r="AM10" s="313">
        <f t="shared" si="15"/>
        <v>0</v>
      </c>
      <c r="AN10" s="313">
        <f t="shared" si="15"/>
        <v>0</v>
      </c>
      <c r="AO10" s="238"/>
      <c r="AP10" s="313">
        <f t="shared" si="3"/>
        <v>0</v>
      </c>
      <c r="AQ10" s="238"/>
      <c r="AR10" s="238">
        <f t="shared" si="4"/>
        <v>0</v>
      </c>
      <c r="AS10" s="238"/>
      <c r="AT10" s="238">
        <f t="shared" si="7"/>
        <v>0</v>
      </c>
      <c r="AU10" s="238">
        <f t="shared" si="8"/>
        <v>2</v>
      </c>
      <c r="AV10" s="238">
        <f t="shared" si="9"/>
        <v>0</v>
      </c>
      <c r="AW10" s="238" t="e">
        <f t="shared" si="10"/>
        <v>#VALUE!</v>
      </c>
      <c r="AX10" s="313" t="e">
        <f>(BI10*('Setting key Duty'!$I$8+'Setting key Duty'!$I$12))+(BG10*'Setting key Duty'!$I$9)+(BB10*('Setting key Duty'!$I$13+'Setting key Duty'!$I$9))+(AZ10*('Setting key Duty'!$I$13+'Setting key Duty'!$I$12+'Setting key Duty'!$I$11))+(BD10*('Setting key Duty'!$I$8+'Setting key Duty'!$I$9+'Setting key Duty'!$I$12))</f>
        <v>#VALUE!</v>
      </c>
      <c r="AY10" s="313">
        <f>COUNTIF(C10:AE10,"*BRT*")</f>
        <v>0</v>
      </c>
      <c r="AZ10" s="313">
        <f t="shared" si="11"/>
        <v>0</v>
      </c>
      <c r="BA10" s="313" t="e">
        <f>AZ10*('Setting key Duty'!$I$13+'Setting key Duty'!$I$12+'Setting key Duty'!$I$11)</f>
        <v>#VALUE!</v>
      </c>
      <c r="BB10" s="313">
        <f t="shared" si="12"/>
        <v>0</v>
      </c>
      <c r="BC10" s="313" t="e">
        <f>BB10*('Setting key Duty'!$I$13+'Setting key Duty'!$I$9)</f>
        <v>#VALUE!</v>
      </c>
      <c r="BD10" s="313">
        <f t="shared" si="13"/>
        <v>0</v>
      </c>
      <c r="BE10" s="313">
        <f>BD10*('Setting key Duty'!$I$8+'Setting key Duty'!$I$9+'Setting key Duty'!$I$12)</f>
        <v>0</v>
      </c>
      <c r="BF10" s="313">
        <f>COUNTIF(A10:AH10,"*$N*")</f>
        <v>0</v>
      </c>
      <c r="BG10" s="313">
        <f>COUNTIF(AF10:AH10,"*$PM*")</f>
        <v>0</v>
      </c>
      <c r="BH10" s="313">
        <f>BG10*('Setting key Duty'!$I$9)</f>
        <v>0</v>
      </c>
      <c r="BI10" s="313">
        <f t="shared" si="14"/>
        <v>0</v>
      </c>
      <c r="BJ10" s="313">
        <f>BI10*('Setting key Duty'!$I$12+'Setting key Duty'!$I$8)</f>
        <v>0</v>
      </c>
      <c r="BK10" s="313">
        <f>COUNTIF(C10:AH10,"*$FC*")</f>
        <v>0</v>
      </c>
      <c r="BL10" s="313">
        <f>BK10*('Setting key Duty'!$J$11+'Setting key Duty'!$I$8)</f>
        <v>0</v>
      </c>
      <c r="BM10" s="313">
        <f>COUNTIF($C10:$AE10,BM$4)</f>
        <v>0</v>
      </c>
      <c r="BN10" s="313">
        <f>COUNTIF($C10:$AE10,BN$4)</f>
        <v>0</v>
      </c>
      <c r="BO10" s="313">
        <f>COUNTIF($C10:$AE10,BO$4)</f>
        <v>1</v>
      </c>
      <c r="BP10" s="314"/>
    </row>
    <row r="11" ht="19.5" customHeight="1" spans="1:68">
      <c r="A11" s="309"/>
      <c r="B11" s="334" t="s">
        <v>68</v>
      </c>
      <c r="C11" s="197"/>
      <c r="D11" s="197" t="s">
        <v>157</v>
      </c>
      <c r="E11" s="324" t="s">
        <v>59</v>
      </c>
      <c r="F11" s="106"/>
      <c r="G11" s="197" t="s">
        <v>56</v>
      </c>
      <c r="H11" s="197" t="s">
        <v>158</v>
      </c>
      <c r="K11" s="197" t="s">
        <v>59</v>
      </c>
      <c r="L11" s="197"/>
      <c r="M11" s="197" t="s">
        <v>59</v>
      </c>
      <c r="N11" s="197"/>
      <c r="O11" s="317" t="s">
        <v>54</v>
      </c>
      <c r="P11" s="317" t="s">
        <v>54</v>
      </c>
      <c r="Q11" s="317" t="s">
        <v>54</v>
      </c>
      <c r="R11" s="317" t="s">
        <v>55</v>
      </c>
      <c r="S11" s="197"/>
      <c r="V11" s="106"/>
      <c r="W11" s="197"/>
      <c r="X11" s="197" t="s">
        <v>59</v>
      </c>
      <c r="Y11" s="197"/>
      <c r="Z11" s="197" t="s">
        <v>59</v>
      </c>
      <c r="AA11" s="396"/>
      <c r="AB11" s="197"/>
      <c r="AC11" s="197"/>
      <c r="AD11" s="197"/>
      <c r="AE11" s="197" t="s">
        <v>59</v>
      </c>
      <c r="AF11" s="198"/>
      <c r="AG11" s="197" t="s">
        <v>56</v>
      </c>
      <c r="AH11" s="311"/>
      <c r="AI11" s="312"/>
      <c r="AJ11" s="311"/>
      <c r="AK11" s="313"/>
      <c r="AL11" s="313"/>
      <c r="AM11" s="313"/>
      <c r="AN11" s="313"/>
      <c r="AO11" s="238"/>
      <c r="AP11" s="313">
        <f t="shared" si="3"/>
        <v>0</v>
      </c>
      <c r="AQ11" s="238"/>
      <c r="AR11" s="238">
        <f t="shared" si="4"/>
        <v>0</v>
      </c>
      <c r="AS11" s="238"/>
      <c r="AT11" s="238">
        <f t="shared" si="7"/>
        <v>0</v>
      </c>
      <c r="AU11" s="238">
        <f t="shared" si="8"/>
        <v>0</v>
      </c>
      <c r="AV11" s="238">
        <f t="shared" si="9"/>
        <v>0</v>
      </c>
      <c r="AW11" s="238" t="e">
        <f t="shared" si="10"/>
        <v>#VALUE!</v>
      </c>
      <c r="AX11" s="313" t="e">
        <f>(BI11*('Setting key Duty'!$I$8+'Setting key Duty'!$I$12))+(BG11*'Setting key Duty'!$I$9)+(BB11*('Setting key Duty'!$I$13+'Setting key Duty'!$I$9))+(AZ11*('Setting key Duty'!$I$13+'Setting key Duty'!$I$12+'Setting key Duty'!$I$11))+(BD11*('Setting key Duty'!$I$8+'Setting key Duty'!$I$9+'Setting key Duty'!$I$12))</f>
        <v>#VALUE!</v>
      </c>
      <c r="AY11" s="313" t="e">
        <f>COUNTIF(#REF!,"*BRT*")</f>
        <v>#REF!</v>
      </c>
      <c r="AZ11" s="313">
        <f t="shared" si="11"/>
        <v>0</v>
      </c>
      <c r="BA11" s="313" t="e">
        <f>AZ11*('Setting key Duty'!$I$13+'Setting key Duty'!$I$12+'Setting key Duty'!$I$11)</f>
        <v>#VALUE!</v>
      </c>
      <c r="BB11" s="313">
        <f t="shared" si="12"/>
        <v>0</v>
      </c>
      <c r="BC11" s="313" t="e">
        <f>BB11*('Setting key Duty'!$I$13+'Setting key Duty'!$I$9)</f>
        <v>#VALUE!</v>
      </c>
      <c r="BD11" s="313">
        <f t="shared" si="13"/>
        <v>0</v>
      </c>
      <c r="BE11" s="313">
        <f>BD11*('Setting key Duty'!$I$8+'Setting key Duty'!$I$9+'Setting key Duty'!$I$12)</f>
        <v>0</v>
      </c>
      <c r="BF11" s="313">
        <f>COUNTIF(AH11,"*$N*")</f>
        <v>0</v>
      </c>
      <c r="BG11" s="313">
        <f>COUNTIF(AH11,"*$PM*")</f>
        <v>0</v>
      </c>
      <c r="BH11" s="313">
        <f>BG11*('Setting key Duty'!$I$9)</f>
        <v>0</v>
      </c>
      <c r="BI11" s="313">
        <f t="shared" si="14"/>
        <v>0</v>
      </c>
      <c r="BJ11" s="313">
        <f>BI11*('Setting key Duty'!$I$12+'Setting key Duty'!$I$8)</f>
        <v>0</v>
      </c>
      <c r="BK11" s="313">
        <f>COUNTIF(E11:AH11,"*$FC*")</f>
        <v>0</v>
      </c>
      <c r="BL11" s="313">
        <f>BK11*('Setting key Duty'!$J$11+'Setting key Duty'!$I$8)</f>
        <v>0</v>
      </c>
      <c r="BM11" s="313" t="e">
        <f>COUNTIF(#REF!,BM$4)</f>
        <v>#REF!</v>
      </c>
      <c r="BN11" s="313" t="e">
        <f>COUNTIF(#REF!,BN$4)</f>
        <v>#REF!</v>
      </c>
      <c r="BO11" s="313" t="e">
        <f>COUNTIF(#REF!,BO$4)</f>
        <v>#REF!</v>
      </c>
      <c r="BP11" s="314"/>
    </row>
    <row r="12" ht="19.5" customHeight="1" spans="1:68">
      <c r="A12" s="309"/>
      <c r="B12" s="332" t="s">
        <v>70</v>
      </c>
      <c r="C12" s="198"/>
      <c r="D12" s="197" t="s">
        <v>56</v>
      </c>
      <c r="E12" s="197"/>
      <c r="F12" s="197" t="s">
        <v>165</v>
      </c>
      <c r="G12" s="197" t="s">
        <v>65</v>
      </c>
      <c r="H12" s="197"/>
      <c r="J12" s="197" t="s">
        <v>166</v>
      </c>
      <c r="K12" s="106"/>
      <c r="L12" s="106"/>
      <c r="M12" s="197" t="s">
        <v>56</v>
      </c>
      <c r="O12" s="317" t="s">
        <v>54</v>
      </c>
      <c r="P12" s="317" t="s">
        <v>54</v>
      </c>
      <c r="Q12" s="317" t="s">
        <v>54</v>
      </c>
      <c r="R12" s="317" t="s">
        <v>54</v>
      </c>
      <c r="S12" s="197" t="s">
        <v>65</v>
      </c>
      <c r="T12" s="197"/>
      <c r="U12" s="106"/>
      <c r="V12" s="197" t="s">
        <v>69</v>
      </c>
      <c r="X12" s="197" t="s">
        <v>56</v>
      </c>
      <c r="Y12" s="197"/>
      <c r="AA12" s="396"/>
      <c r="AB12" s="197"/>
      <c r="AC12" s="197" t="s">
        <v>57</v>
      </c>
      <c r="AD12" s="197"/>
      <c r="AE12" s="197"/>
      <c r="AF12" s="198" t="s">
        <v>55</v>
      </c>
      <c r="AG12" s="198" t="s">
        <v>55</v>
      </c>
      <c r="AH12" s="311"/>
      <c r="AI12" s="312"/>
      <c r="AJ12" s="311"/>
      <c r="AK12" s="313"/>
      <c r="AL12" s="313"/>
      <c r="AM12" s="313"/>
      <c r="AN12" s="313"/>
      <c r="AO12" s="238"/>
      <c r="AP12" s="313">
        <f t="shared" si="3"/>
        <v>0</v>
      </c>
      <c r="AQ12" s="238"/>
      <c r="AR12" s="238">
        <f t="shared" si="4"/>
        <v>0</v>
      </c>
      <c r="AS12" s="238"/>
      <c r="AT12" s="238">
        <f t="shared" si="7"/>
        <v>0</v>
      </c>
      <c r="AU12" s="238">
        <f t="shared" si="8"/>
        <v>0</v>
      </c>
      <c r="AV12" s="238">
        <f t="shared" si="9"/>
        <v>1</v>
      </c>
      <c r="AW12" s="238" t="e">
        <f t="shared" si="10"/>
        <v>#VALUE!</v>
      </c>
      <c r="AX12" s="313" t="e">
        <f>(BI12*('Setting key Duty'!$I$8+'Setting key Duty'!$I$12))+(BG12*'Setting key Duty'!$I$9)+(BB12*('Setting key Duty'!$I$13+'Setting key Duty'!$I$9))+(AZ12*('Setting key Duty'!$I$13+'Setting key Duty'!$I$12+'Setting key Duty'!$I$11))+(BD12*('Setting key Duty'!$I$8+'Setting key Duty'!$I$9+'Setting key Duty'!$I$12))</f>
        <v>#VALUE!</v>
      </c>
      <c r="AY12" s="313">
        <f>COUNTIF(D12:AC12,"*BRT*")</f>
        <v>0</v>
      </c>
      <c r="AZ12" s="313">
        <f t="shared" si="11"/>
        <v>0</v>
      </c>
      <c r="BA12" s="313" t="e">
        <f>AZ12*('Setting key Duty'!$I$13+'Setting key Duty'!$I$12+'Setting key Duty'!$I$11)</f>
        <v>#VALUE!</v>
      </c>
      <c r="BB12" s="313">
        <f t="shared" si="12"/>
        <v>0</v>
      </c>
      <c r="BC12" s="313" t="e">
        <f>BB12*('Setting key Duty'!$I$13+'Setting key Duty'!$I$9)</f>
        <v>#VALUE!</v>
      </c>
      <c r="BD12" s="313">
        <f t="shared" si="13"/>
        <v>0</v>
      </c>
      <c r="BE12" s="313">
        <f>BD12*('Setting key Duty'!$I$8+'Setting key Duty'!$I$9+'Setting key Duty'!$I$12)</f>
        <v>0</v>
      </c>
      <c r="BF12" s="313">
        <f>COUNTIF(AF12:AH12,"*$N*")</f>
        <v>0</v>
      </c>
      <c r="BG12" s="313">
        <f>COUNTIF(AF12:AH12,"*$PM*")</f>
        <v>0</v>
      </c>
      <c r="BH12" s="313">
        <f>BG12*('Setting key Duty'!$I$9)</f>
        <v>0</v>
      </c>
      <c r="BI12" s="313">
        <f t="shared" si="14"/>
        <v>1</v>
      </c>
      <c r="BJ12" s="313">
        <f>BI12*('Setting key Duty'!$I$12+'Setting key Duty'!$I$8)</f>
        <v>0.4375</v>
      </c>
      <c r="BK12" s="313">
        <f>COUNTIF(D12:AH12,"*$FC*")</f>
        <v>0</v>
      </c>
      <c r="BL12" s="313">
        <f>BK12*('Setting key Duty'!$J$11+'Setting key Duty'!$I$8)</f>
        <v>0</v>
      </c>
      <c r="BM12" s="313">
        <f>COUNTIF($D12:$AE12,BM$4)</f>
        <v>0</v>
      </c>
      <c r="BN12" s="313">
        <f>COUNTIF($D12:$AE12,BN$4)</f>
        <v>0</v>
      </c>
      <c r="BO12" s="313">
        <f>COUNTIF($D12:$AE12,BO$4)</f>
        <v>0</v>
      </c>
      <c r="BP12" s="314"/>
    </row>
    <row r="13" ht="19.5" customHeight="1" spans="1:68">
      <c r="A13" s="309"/>
      <c r="B13" s="373" t="s">
        <v>72</v>
      </c>
      <c r="C13" s="197"/>
      <c r="D13" s="197" t="s">
        <v>71</v>
      </c>
      <c r="E13" s="197" t="s">
        <v>71</v>
      </c>
      <c r="F13" s="197" t="s">
        <v>71</v>
      </c>
      <c r="G13" s="197" t="s">
        <v>71</v>
      </c>
      <c r="H13" s="197" t="s">
        <v>167</v>
      </c>
      <c r="I13" s="197" t="s">
        <v>167</v>
      </c>
      <c r="J13" s="197" t="s">
        <v>167</v>
      </c>
      <c r="K13" s="197" t="s">
        <v>167</v>
      </c>
      <c r="L13" s="197" t="s">
        <v>167</v>
      </c>
      <c r="M13" s="197" t="s">
        <v>167</v>
      </c>
      <c r="N13" s="197" t="s">
        <v>55</v>
      </c>
      <c r="O13" s="197" t="s">
        <v>55</v>
      </c>
      <c r="P13" s="197" t="s">
        <v>55</v>
      </c>
      <c r="Q13" s="197" t="s">
        <v>55</v>
      </c>
      <c r="R13" s="197" t="s">
        <v>55</v>
      </c>
      <c r="S13" s="197" t="s">
        <v>55</v>
      </c>
      <c r="T13" s="197" t="s">
        <v>55</v>
      </c>
      <c r="U13" s="197" t="s">
        <v>65</v>
      </c>
      <c r="V13" s="197" t="s">
        <v>55</v>
      </c>
      <c r="X13" s="197" t="s">
        <v>65</v>
      </c>
      <c r="Y13" s="197"/>
      <c r="Z13" s="197" t="s">
        <v>56</v>
      </c>
      <c r="AA13" s="396"/>
      <c r="AB13" s="198"/>
      <c r="AC13" s="197"/>
      <c r="AD13" s="197"/>
      <c r="AE13" s="197" t="s">
        <v>65</v>
      </c>
      <c r="AF13" s="198" t="s">
        <v>55</v>
      </c>
      <c r="AG13" s="197"/>
      <c r="AH13" s="311"/>
      <c r="AI13" s="312"/>
      <c r="AJ13" s="311"/>
      <c r="AK13" s="313"/>
      <c r="AL13" s="313"/>
      <c r="AM13" s="313"/>
      <c r="AN13" s="313"/>
      <c r="AO13" s="238"/>
      <c r="AP13" s="313">
        <f t="shared" si="3"/>
        <v>0</v>
      </c>
      <c r="AQ13" s="238"/>
      <c r="AR13" s="238">
        <f t="shared" si="4"/>
        <v>0</v>
      </c>
      <c r="AS13" s="238"/>
      <c r="AT13" s="238">
        <f t="shared" si="7"/>
        <v>0</v>
      </c>
      <c r="AU13" s="238">
        <f t="shared" si="8"/>
        <v>0</v>
      </c>
      <c r="AV13" s="238">
        <f t="shared" si="9"/>
        <v>0</v>
      </c>
      <c r="AW13" s="238" t="e">
        <f t="shared" si="10"/>
        <v>#VALUE!</v>
      </c>
      <c r="AX13" s="313" t="e">
        <f>(BI13*('Setting key Duty'!$I$8+'Setting key Duty'!$I$12))+(BG13*'Setting key Duty'!$I$9)+(BB13*('Setting key Duty'!$I$13+'Setting key Duty'!$I$9))+(AZ13*('Setting key Duty'!$I$13+'Setting key Duty'!$I$12+'Setting key Duty'!$I$11))+(BD13*('Setting key Duty'!$I$8+'Setting key Duty'!$I$9+'Setting key Duty'!$I$12))</f>
        <v>#VALUE!</v>
      </c>
      <c r="AY13" s="313">
        <f>COUNTIF(D13:X13,"*BRT*")</f>
        <v>0</v>
      </c>
      <c r="AZ13" s="313">
        <f t="shared" si="11"/>
        <v>0</v>
      </c>
      <c r="BA13" s="313" t="e">
        <f>AZ13*('Setting key Duty'!$I$13+'Setting key Duty'!$I$12+'Setting key Duty'!$I$11)</f>
        <v>#VALUE!</v>
      </c>
      <c r="BB13" s="313">
        <f t="shared" si="12"/>
        <v>0</v>
      </c>
      <c r="BC13" s="313" t="e">
        <f>BB13*('Setting key Duty'!$I$13+'Setting key Duty'!$I$9)</f>
        <v>#VALUE!</v>
      </c>
      <c r="BD13" s="313">
        <f t="shared" si="13"/>
        <v>0</v>
      </c>
      <c r="BE13" s="313">
        <f>BD13*('Setting key Duty'!$I$8+'Setting key Duty'!$I$9+'Setting key Duty'!$I$12)</f>
        <v>0</v>
      </c>
      <c r="BF13" s="313">
        <f>COUNTIF(AH13,"*$N*")</f>
        <v>0</v>
      </c>
      <c r="BG13" s="313">
        <f>COUNTIF(AH13,"*$PM*")</f>
        <v>0</v>
      </c>
      <c r="BH13" s="313">
        <f>BG13*('Setting key Duty'!$I$9)</f>
        <v>0</v>
      </c>
      <c r="BI13" s="313">
        <f t="shared" si="14"/>
        <v>0</v>
      </c>
      <c r="BJ13" s="313">
        <f>BI13*('Setting key Duty'!$I$12+'Setting key Duty'!$I$8)</f>
        <v>0</v>
      </c>
      <c r="BK13" s="313">
        <f>COUNTIF(D13:AH13,"*$FC*")</f>
        <v>0</v>
      </c>
      <c r="BL13" s="313">
        <f>BK13*('Setting key Duty'!$J$11+'Setting key Duty'!$I$8)</f>
        <v>0</v>
      </c>
      <c r="BM13" s="313">
        <f>COUNTIF($D13:$X13,BM$4)</f>
        <v>0</v>
      </c>
      <c r="BN13" s="313">
        <f>COUNTIF($D13:$X13,BN$4)</f>
        <v>0</v>
      </c>
      <c r="BO13" s="313">
        <f>COUNTIF($D13:$X13,BO$4)</f>
        <v>8</v>
      </c>
      <c r="BP13" s="314"/>
    </row>
    <row r="14" ht="24" customHeight="1" spans="1:68">
      <c r="A14" s="309"/>
      <c r="B14" s="335" t="s">
        <v>76</v>
      </c>
      <c r="C14" s="197"/>
      <c r="E14" s="197" t="s">
        <v>56</v>
      </c>
      <c r="G14" s="197" t="s">
        <v>159</v>
      </c>
      <c r="H14" s="197" t="s">
        <v>160</v>
      </c>
      <c r="I14" s="197" t="s">
        <v>150</v>
      </c>
      <c r="J14" s="197" t="s">
        <v>161</v>
      </c>
      <c r="K14" s="197"/>
      <c r="L14" s="197"/>
      <c r="M14" s="197" t="s">
        <v>57</v>
      </c>
      <c r="O14" s="197"/>
      <c r="P14" s="197" t="s">
        <v>56</v>
      </c>
      <c r="R14" s="197" t="s">
        <v>57</v>
      </c>
      <c r="T14" s="197"/>
      <c r="V14" s="197" t="s">
        <v>59</v>
      </c>
      <c r="W14" s="197"/>
      <c r="X14" s="197"/>
      <c r="Y14" s="197" t="s">
        <v>59</v>
      </c>
      <c r="Z14" s="197"/>
      <c r="AA14" s="396"/>
      <c r="AB14" s="197"/>
      <c r="AC14" s="197"/>
      <c r="AD14" s="198"/>
      <c r="AE14" s="197"/>
      <c r="AG14" s="197"/>
      <c r="AH14" s="311">
        <f t="shared" ref="AH14:AN14" si="16">COUNTIF($C14:$AA14,AH$4)</f>
        <v>2</v>
      </c>
      <c r="AI14" s="312">
        <f t="shared" si="16"/>
        <v>2</v>
      </c>
      <c r="AJ14" s="311">
        <f t="shared" si="16"/>
        <v>2</v>
      </c>
      <c r="AK14" s="313">
        <f t="shared" si="16"/>
        <v>0</v>
      </c>
      <c r="AL14" s="313">
        <f t="shared" si="16"/>
        <v>0</v>
      </c>
      <c r="AM14" s="313">
        <f t="shared" si="16"/>
        <v>0</v>
      </c>
      <c r="AN14" s="313">
        <f t="shared" si="16"/>
        <v>0</v>
      </c>
      <c r="AO14" s="238"/>
      <c r="AP14" s="313">
        <f t="shared" si="3"/>
        <v>0</v>
      </c>
      <c r="AQ14" s="238"/>
      <c r="AR14" s="238">
        <f t="shared" si="4"/>
        <v>0</v>
      </c>
      <c r="AS14" s="238"/>
      <c r="AT14" s="238">
        <f t="shared" si="7"/>
        <v>0</v>
      </c>
      <c r="AU14" s="238">
        <f t="shared" si="8"/>
        <v>6</v>
      </c>
      <c r="AV14" s="238">
        <f t="shared" si="9"/>
        <v>0</v>
      </c>
      <c r="AW14" s="238" t="e">
        <f t="shared" si="10"/>
        <v>#VALUE!</v>
      </c>
      <c r="AX14" s="313" t="e">
        <f>(BI14*('Setting key Duty'!$I$8+'Setting key Duty'!$I$12))+(BG14*'Setting key Duty'!$I$9)+(BB14*('Setting key Duty'!$I$13+'Setting key Duty'!$I$9))+(AZ14*('Setting key Duty'!$I$13+'Setting key Duty'!$I$12+'Setting key Duty'!$I$11))+(BD14*('Setting key Duty'!$I$8+'Setting key Duty'!$I$9+'Setting key Duty'!$I$12))</f>
        <v>#VALUE!</v>
      </c>
      <c r="AY14" s="313">
        <f>COUNTIF(C14:AA14,"*BRT*")</f>
        <v>0</v>
      </c>
      <c r="AZ14" s="313">
        <f t="shared" si="11"/>
        <v>0</v>
      </c>
      <c r="BA14" s="313" t="e">
        <f>AZ14*('Setting key Duty'!$I$13+'Setting key Duty'!$I$12+'Setting key Duty'!$I$11)</f>
        <v>#VALUE!</v>
      </c>
      <c r="BB14" s="313">
        <f t="shared" si="12"/>
        <v>0</v>
      </c>
      <c r="BC14" s="313" t="e">
        <f>BB14*('Setting key Duty'!$I$13+'Setting key Duty'!$I$9)</f>
        <v>#VALUE!</v>
      </c>
      <c r="BD14" s="313">
        <f t="shared" si="13"/>
        <v>0</v>
      </c>
      <c r="BE14" s="313">
        <f>BD14*('Setting key Duty'!$I$8+'Setting key Duty'!$I$9+'Setting key Duty'!$I$12)</f>
        <v>0</v>
      </c>
      <c r="BF14" s="313">
        <f>COUNTIF(A14:AH14,"*$N*")</f>
        <v>0</v>
      </c>
      <c r="BG14" s="313">
        <f>COUNTIF(AH14,"*$PM*")</f>
        <v>0</v>
      </c>
      <c r="BH14" s="313">
        <f>BG14*('Setting key Duty'!$I$9)</f>
        <v>0</v>
      </c>
      <c r="BI14" s="313">
        <f t="shared" si="14"/>
        <v>0</v>
      </c>
      <c r="BJ14" s="313">
        <f>BI14*('Setting key Duty'!$I$12+'Setting key Duty'!$I$8)</f>
        <v>0</v>
      </c>
      <c r="BK14" s="313">
        <f>COUNTIF(C14:AH14,"*$FC*")</f>
        <v>0</v>
      </c>
      <c r="BL14" s="313">
        <f>BK14*('Setting key Duty'!$J$11+'Setting key Duty'!$I$8)</f>
        <v>0</v>
      </c>
      <c r="BM14" s="313">
        <f>COUNTIF($C14:$AA14,BM$4)</f>
        <v>0</v>
      </c>
      <c r="BN14" s="313">
        <f>COUNTIF($C14:$AA14,BN$4)</f>
        <v>0</v>
      </c>
      <c r="BO14" s="313">
        <f>COUNTIF($C14:$AA14,BO$4)</f>
        <v>0</v>
      </c>
      <c r="BP14" s="314"/>
    </row>
    <row r="15" ht="37.5" customHeight="1" spans="1:68">
      <c r="A15" s="309"/>
      <c r="B15" s="373" t="s">
        <v>78</v>
      </c>
      <c r="C15" s="197" t="s">
        <v>58</v>
      </c>
      <c r="D15" s="197" t="s">
        <v>168</v>
      </c>
      <c r="E15" s="197" t="s">
        <v>65</v>
      </c>
      <c r="F15" s="197" t="s">
        <v>168</v>
      </c>
      <c r="G15" s="197" t="s">
        <v>159</v>
      </c>
      <c r="H15" s="197" t="s">
        <v>160</v>
      </c>
      <c r="I15" s="197" t="s">
        <v>150</v>
      </c>
      <c r="J15" s="197" t="s">
        <v>59</v>
      </c>
      <c r="K15" s="197"/>
      <c r="L15" s="197" t="s">
        <v>169</v>
      </c>
      <c r="M15" s="197" t="s">
        <v>169</v>
      </c>
      <c r="N15" s="197" t="s">
        <v>169</v>
      </c>
      <c r="O15" s="197"/>
      <c r="P15" s="197"/>
      <c r="R15" s="197" t="s">
        <v>59</v>
      </c>
      <c r="T15" s="197"/>
      <c r="U15" s="197"/>
      <c r="V15" s="197" t="s">
        <v>54</v>
      </c>
      <c r="W15" s="197" t="s">
        <v>54</v>
      </c>
      <c r="X15" s="197" t="s">
        <v>54</v>
      </c>
      <c r="Y15" s="197" t="s">
        <v>54</v>
      </c>
      <c r="Z15" s="197" t="s">
        <v>54</v>
      </c>
      <c r="AA15" s="396" t="s">
        <v>54</v>
      </c>
      <c r="AB15" s="198"/>
      <c r="AC15" s="197"/>
      <c r="AD15" s="197"/>
      <c r="AE15" s="197" t="s">
        <v>54</v>
      </c>
      <c r="AF15" s="197" t="s">
        <v>54</v>
      </c>
      <c r="AG15" s="197" t="s">
        <v>54</v>
      </c>
      <c r="AH15" s="311">
        <f t="shared" ref="AH15:AN15" si="17">COUNTIF($D15:$AC15,AH$4)</f>
        <v>0</v>
      </c>
      <c r="AI15" s="312">
        <f t="shared" si="17"/>
        <v>0</v>
      </c>
      <c r="AJ15" s="311">
        <f t="shared" si="17"/>
        <v>2</v>
      </c>
      <c r="AK15" s="313">
        <f t="shared" si="17"/>
        <v>0</v>
      </c>
      <c r="AL15" s="313">
        <f t="shared" si="17"/>
        <v>0</v>
      </c>
      <c r="AM15" s="313">
        <f t="shared" si="17"/>
        <v>1</v>
      </c>
      <c r="AN15" s="313">
        <f t="shared" si="17"/>
        <v>0</v>
      </c>
      <c r="AO15" s="238"/>
      <c r="AP15" s="313">
        <f t="shared" si="3"/>
        <v>0</v>
      </c>
      <c r="AQ15" s="238"/>
      <c r="AR15" s="238">
        <f t="shared" si="4"/>
        <v>0</v>
      </c>
      <c r="AS15" s="238"/>
      <c r="AT15" s="238">
        <f t="shared" si="7"/>
        <v>0</v>
      </c>
      <c r="AU15" s="238">
        <f t="shared" si="8"/>
        <v>3</v>
      </c>
      <c r="AV15" s="238">
        <f t="shared" si="9"/>
        <v>3</v>
      </c>
      <c r="AW15" s="238" t="e">
        <f t="shared" si="10"/>
        <v>#VALUE!</v>
      </c>
      <c r="AX15" s="313" t="e">
        <f>(BI15*('Setting key Duty'!$I$8+'Setting key Duty'!$I$12))+(BG15*'Setting key Duty'!$I$9)+(BB15*('Setting key Duty'!$I$13+'Setting key Duty'!$I$9))+(AZ15*('Setting key Duty'!$I$13+'Setting key Duty'!$I$12+'Setting key Duty'!$I$11))+(BD15*('Setting key Duty'!$I$8+'Setting key Duty'!$I$9+'Setting key Duty'!$I$12))</f>
        <v>#VALUE!</v>
      </c>
      <c r="AY15" s="313">
        <f>COUNTIF(C15:AC15,"*BRT*")</f>
        <v>0</v>
      </c>
      <c r="AZ15" s="313">
        <f t="shared" si="11"/>
        <v>0</v>
      </c>
      <c r="BA15" s="313" t="e">
        <f>AZ15*('Setting key Duty'!$I$13+'Setting key Duty'!$I$12+'Setting key Duty'!$I$11)</f>
        <v>#VALUE!</v>
      </c>
      <c r="BB15" s="313">
        <f t="shared" si="12"/>
        <v>0</v>
      </c>
      <c r="BC15" s="313" t="e">
        <f>BB15*('Setting key Duty'!$I$13+'Setting key Duty'!$I$9)</f>
        <v>#VALUE!</v>
      </c>
      <c r="BD15" s="313">
        <f t="shared" si="13"/>
        <v>0</v>
      </c>
      <c r="BE15" s="313">
        <f>BD15*('Setting key Duty'!$I$8+'Setting key Duty'!$I$9+'Setting key Duty'!$I$12)</f>
        <v>0</v>
      </c>
      <c r="BF15" s="313">
        <f>COUNTIF(AH15,"*$N*")</f>
        <v>0</v>
      </c>
      <c r="BG15" s="313">
        <f>COUNTIF(AH15,"*$PM*")</f>
        <v>0</v>
      </c>
      <c r="BH15" s="313">
        <f>BG15*('Setting key Duty'!$I$9)</f>
        <v>0</v>
      </c>
      <c r="BI15" s="313">
        <f t="shared" si="14"/>
        <v>0</v>
      </c>
      <c r="BJ15" s="313">
        <f>BI15*('Setting key Duty'!$I$12+'Setting key Duty'!$I$8)</f>
        <v>0</v>
      </c>
      <c r="BK15" s="313">
        <f>COUNTIF(C15:AH15,"*$FC*")</f>
        <v>3</v>
      </c>
      <c r="BL15" s="313">
        <f>BK15*('Setting key Duty'!$J$11+'Setting key Duty'!$I$8)</f>
        <v>0.375</v>
      </c>
      <c r="BM15" s="313">
        <f>COUNTIF($C15:$AC15,BM$4)</f>
        <v>0</v>
      </c>
      <c r="BN15" s="313">
        <f>COUNTIF($C15:$AC15,BN$4)</f>
        <v>0</v>
      </c>
      <c r="BO15" s="313">
        <f>COUNTIF($C15:$AC15,BO$4)</f>
        <v>0</v>
      </c>
      <c r="BP15" s="314"/>
    </row>
    <row r="16" ht="19.5" customHeight="1" spans="1:68">
      <c r="A16" s="309"/>
      <c r="B16" s="332" t="s">
        <v>79</v>
      </c>
      <c r="C16" s="197"/>
      <c r="D16" s="197" t="s">
        <v>168</v>
      </c>
      <c r="E16" s="197"/>
      <c r="F16" s="197" t="s">
        <v>170</v>
      </c>
      <c r="G16" s="197" t="s">
        <v>168</v>
      </c>
      <c r="H16" s="197" t="s">
        <v>168</v>
      </c>
      <c r="I16" s="197"/>
      <c r="J16" s="197"/>
      <c r="K16" s="197" t="s">
        <v>55</v>
      </c>
      <c r="L16" s="197"/>
      <c r="M16" s="197" t="s">
        <v>55</v>
      </c>
      <c r="N16" s="197"/>
      <c r="O16" s="197" t="s">
        <v>57</v>
      </c>
      <c r="P16" s="197"/>
      <c r="Q16" s="197"/>
      <c r="R16" s="197" t="s">
        <v>55</v>
      </c>
      <c r="S16" s="197" t="s">
        <v>55</v>
      </c>
      <c r="T16" s="197" t="s">
        <v>55</v>
      </c>
      <c r="U16" s="197" t="s">
        <v>55</v>
      </c>
      <c r="V16" s="197" t="s">
        <v>55</v>
      </c>
      <c r="W16" s="197"/>
      <c r="X16" s="197" t="s">
        <v>57</v>
      </c>
      <c r="Y16" s="197"/>
      <c r="Z16" s="197"/>
      <c r="AA16" s="396" t="s">
        <v>59</v>
      </c>
      <c r="AC16" s="197"/>
      <c r="AD16" s="197"/>
      <c r="AE16" s="197" t="s">
        <v>57</v>
      </c>
      <c r="AF16" s="196" t="s">
        <v>80</v>
      </c>
      <c r="AG16" s="197" t="s">
        <v>59</v>
      </c>
      <c r="AH16" s="311">
        <f t="shared" ref="AH16:AN16" si="18">COUNTIF($C16:$AA16,AH$4)</f>
        <v>2</v>
      </c>
      <c r="AI16" s="312">
        <f t="shared" si="18"/>
        <v>0</v>
      </c>
      <c r="AJ16" s="311">
        <f t="shared" si="18"/>
        <v>1</v>
      </c>
      <c r="AK16" s="313">
        <f t="shared" si="18"/>
        <v>0</v>
      </c>
      <c r="AL16" s="313">
        <f t="shared" si="18"/>
        <v>0</v>
      </c>
      <c r="AM16" s="313">
        <f t="shared" si="18"/>
        <v>0</v>
      </c>
      <c r="AN16" s="313">
        <f t="shared" si="18"/>
        <v>0</v>
      </c>
      <c r="AO16" s="238"/>
      <c r="AP16" s="313">
        <f t="shared" si="3"/>
        <v>0</v>
      </c>
      <c r="AQ16" s="238"/>
      <c r="AR16" s="238">
        <f t="shared" si="4"/>
        <v>0</v>
      </c>
      <c r="AS16" s="238"/>
      <c r="AT16" s="238">
        <f t="shared" si="7"/>
        <v>0</v>
      </c>
      <c r="AU16" s="238">
        <f t="shared" si="8"/>
        <v>3</v>
      </c>
      <c r="AV16" s="238">
        <f t="shared" si="9"/>
        <v>1</v>
      </c>
      <c r="AW16" s="238" t="e">
        <f t="shared" si="10"/>
        <v>#VALUE!</v>
      </c>
      <c r="AX16" s="313" t="e">
        <f>(BI16*('Setting key Duty'!$I$8+'Setting key Duty'!$I$12))+(BG16*'Setting key Duty'!$I$9)+(BB16*('Setting key Duty'!$I$13+'Setting key Duty'!$I$9))+(AZ16*('Setting key Duty'!$I$13+'Setting key Duty'!$I$12+'Setting key Duty'!$I$11))+(BD16*('Setting key Duty'!$I$8+'Setting key Duty'!$I$9+'Setting key Duty'!$I$12))</f>
        <v>#VALUE!</v>
      </c>
      <c r="AY16" s="313">
        <f>COUNTIF(C16:AA16,"*BRT*")</f>
        <v>0</v>
      </c>
      <c r="AZ16" s="313">
        <f t="shared" si="11"/>
        <v>0</v>
      </c>
      <c r="BA16" s="313" t="e">
        <f>AZ16*('Setting key Duty'!$I$13+'Setting key Duty'!$I$12+'Setting key Duty'!$I$11)</f>
        <v>#VALUE!</v>
      </c>
      <c r="BB16" s="313">
        <f t="shared" si="12"/>
        <v>0</v>
      </c>
      <c r="BC16" s="313" t="e">
        <f>BB16*('Setting key Duty'!$I$13+'Setting key Duty'!$I$9)</f>
        <v>#VALUE!</v>
      </c>
      <c r="BD16" s="313">
        <f t="shared" si="13"/>
        <v>0</v>
      </c>
      <c r="BE16" s="313">
        <f>BD16*('Setting key Duty'!$I$8+'Setting key Duty'!$I$9+'Setting key Duty'!$I$12)</f>
        <v>0</v>
      </c>
      <c r="BF16" s="313">
        <f>COUNTIF(A16:AH16,"*$N*")</f>
        <v>0</v>
      </c>
      <c r="BG16" s="313">
        <f>COUNTIF(AH16,"*$PM*")</f>
        <v>0</v>
      </c>
      <c r="BH16" s="313">
        <f>BG16*('Setting key Duty'!$I$9)</f>
        <v>0</v>
      </c>
      <c r="BI16" s="313">
        <f t="shared" si="14"/>
        <v>1</v>
      </c>
      <c r="BJ16" s="313">
        <f>BI16*('Setting key Duty'!$I$12+'Setting key Duty'!$I$8)</f>
        <v>0.4375</v>
      </c>
      <c r="BK16" s="313">
        <f>COUNTIF(C16:AH16,"*$FC*")</f>
        <v>0</v>
      </c>
      <c r="BL16" s="313">
        <f>BK16*('Setting key Duty'!$J$11+'Setting key Duty'!$I$8)</f>
        <v>0</v>
      </c>
      <c r="BM16" s="313">
        <f>COUNTIF($C16:$AA16,BM$4)</f>
        <v>0</v>
      </c>
      <c r="BN16" s="313">
        <f>COUNTIF($C16:$AA16,BN$4)</f>
        <v>0</v>
      </c>
      <c r="BO16" s="313">
        <f>COUNTIF($C16:$AA16,BO$4)</f>
        <v>7</v>
      </c>
      <c r="BP16" s="314"/>
    </row>
    <row r="17" ht="26.25" customHeight="1" spans="1:68">
      <c r="A17" s="309"/>
      <c r="B17" s="333" t="s">
        <v>171</v>
      </c>
      <c r="C17" s="106"/>
      <c r="D17" s="197" t="s">
        <v>168</v>
      </c>
      <c r="E17" s="197" t="s">
        <v>168</v>
      </c>
      <c r="F17" s="197" t="s">
        <v>168</v>
      </c>
      <c r="G17" s="197" t="s">
        <v>168</v>
      </c>
      <c r="H17" s="197" t="s">
        <v>168</v>
      </c>
      <c r="I17" s="106"/>
      <c r="K17" s="198"/>
      <c r="L17" s="197" t="s">
        <v>172</v>
      </c>
      <c r="M17" s="197" t="s">
        <v>55</v>
      </c>
      <c r="N17" s="197" t="s">
        <v>55</v>
      </c>
      <c r="O17" s="197" t="s">
        <v>55</v>
      </c>
      <c r="P17" s="197" t="s">
        <v>55</v>
      </c>
      <c r="Q17" s="197" t="s">
        <v>59</v>
      </c>
      <c r="S17" s="197"/>
      <c r="T17" s="197" t="s">
        <v>59</v>
      </c>
      <c r="V17" s="197"/>
      <c r="W17" s="197"/>
      <c r="X17" s="197"/>
      <c r="Y17" s="197" t="s">
        <v>57</v>
      </c>
      <c r="Z17" s="197"/>
      <c r="AA17" s="396"/>
      <c r="AB17" s="197"/>
      <c r="AC17" s="197" t="s">
        <v>56</v>
      </c>
      <c r="AD17" s="196"/>
      <c r="AE17" s="197"/>
      <c r="AF17" s="197" t="s">
        <v>56</v>
      </c>
      <c r="AG17" s="197" t="s">
        <v>55</v>
      </c>
      <c r="AH17" s="311"/>
      <c r="AI17" s="312"/>
      <c r="AJ17" s="311"/>
      <c r="AK17" s="313"/>
      <c r="AL17" s="313"/>
      <c r="AM17" s="313"/>
      <c r="AN17" s="313"/>
      <c r="AO17" s="238"/>
      <c r="AP17" s="313">
        <f t="shared" si="3"/>
        <v>0</v>
      </c>
      <c r="AQ17" s="238"/>
      <c r="AR17" s="238">
        <f t="shared" si="4"/>
        <v>0</v>
      </c>
      <c r="AS17" s="238"/>
      <c r="AT17" s="238">
        <f t="shared" si="7"/>
        <v>0</v>
      </c>
      <c r="AU17" s="238">
        <f t="shared" si="8"/>
        <v>0</v>
      </c>
      <c r="AV17" s="238">
        <f t="shared" si="9"/>
        <v>0</v>
      </c>
      <c r="AW17" s="238" t="e">
        <f t="shared" si="10"/>
        <v>#VALUE!</v>
      </c>
      <c r="AX17" s="313" t="e">
        <f>(BI17*('Setting key Duty'!$I$8+'Setting key Duty'!$I$12))+(BG17*'Setting key Duty'!$I$9)+(BB17*('Setting key Duty'!$I$13+'Setting key Duty'!$I$9))+(AZ17*('Setting key Duty'!$I$13+'Setting key Duty'!$I$12+'Setting key Duty'!$I$11))+(BD17*('Setting key Duty'!$I$8+'Setting key Duty'!$I$9+'Setting key Duty'!$I$12))</f>
        <v>#VALUE!</v>
      </c>
      <c r="AY17" s="313">
        <f>COUNTIF(E17:AA17,"*BRT*")</f>
        <v>0</v>
      </c>
      <c r="AZ17" s="313">
        <f t="shared" si="11"/>
        <v>0</v>
      </c>
      <c r="BA17" s="313" t="e">
        <f>AZ17*('Setting key Duty'!$I$13+'Setting key Duty'!$I$12+'Setting key Duty'!$I$11)</f>
        <v>#VALUE!</v>
      </c>
      <c r="BB17" s="313">
        <f t="shared" si="12"/>
        <v>0</v>
      </c>
      <c r="BC17" s="313" t="e">
        <f>BB17*('Setting key Duty'!$I$13+'Setting key Duty'!$I$9)</f>
        <v>#VALUE!</v>
      </c>
      <c r="BD17" s="313">
        <f t="shared" si="13"/>
        <v>0</v>
      </c>
      <c r="BE17" s="313">
        <f>BD17*('Setting key Duty'!$I$8+'Setting key Duty'!$I$9+'Setting key Duty'!$I$12)</f>
        <v>0</v>
      </c>
      <c r="BF17" s="313">
        <f>COUNTIF(AG17:AH17,"*$N*")</f>
        <v>0</v>
      </c>
      <c r="BG17" s="313">
        <f>COUNTIF(AG17:AH17,"*$PM*")</f>
        <v>0</v>
      </c>
      <c r="BH17" s="313">
        <f>BG17*('Setting key Duty'!$I$9)</f>
        <v>0</v>
      </c>
      <c r="BI17" s="313">
        <f t="shared" si="14"/>
        <v>0</v>
      </c>
      <c r="BJ17" s="313">
        <f>BI17*('Setting key Duty'!$I$12+'Setting key Duty'!$I$8)</f>
        <v>0</v>
      </c>
      <c r="BK17" s="313">
        <f>COUNTIF(E17:AH17,"*$FC*")</f>
        <v>0</v>
      </c>
      <c r="BL17" s="313">
        <f>BK17*('Setting key Duty'!$J$11+'Setting key Duty'!$I$8)</f>
        <v>0</v>
      </c>
      <c r="BM17" s="313">
        <f>COUNTIF($E17:$AA17,BM$4)</f>
        <v>0</v>
      </c>
      <c r="BN17" s="313">
        <f>COUNTIF($E17:$AA17,BN$4)</f>
        <v>0</v>
      </c>
      <c r="BO17" s="313">
        <f>COUNTIF($E17:$AA17,BO$4)</f>
        <v>4</v>
      </c>
      <c r="BP17" s="314"/>
    </row>
    <row r="18" ht="19.5" customHeight="1" spans="1:68">
      <c r="A18" s="309"/>
      <c r="B18" s="390" t="s">
        <v>82</v>
      </c>
      <c r="C18" s="197"/>
      <c r="D18" s="197"/>
      <c r="E18" s="197"/>
      <c r="F18" s="197"/>
      <c r="G18" s="197" t="s">
        <v>57</v>
      </c>
      <c r="H18" s="197"/>
      <c r="I18" s="197" t="s">
        <v>57</v>
      </c>
      <c r="K18" s="197"/>
      <c r="L18" s="198" t="s">
        <v>57</v>
      </c>
      <c r="M18" s="198"/>
      <c r="N18" s="197"/>
      <c r="O18" s="197" t="s">
        <v>54</v>
      </c>
      <c r="P18" s="197" t="s">
        <v>54</v>
      </c>
      <c r="Q18" s="197" t="s">
        <v>54</v>
      </c>
      <c r="R18" s="197" t="s">
        <v>54</v>
      </c>
      <c r="S18" s="197" t="s">
        <v>54</v>
      </c>
      <c r="T18" s="197" t="s">
        <v>54</v>
      </c>
      <c r="U18" s="197" t="s">
        <v>54</v>
      </c>
      <c r="V18" s="197" t="s">
        <v>54</v>
      </c>
      <c r="W18" s="197" t="s">
        <v>54</v>
      </c>
      <c r="X18" s="197" t="s">
        <v>54</v>
      </c>
      <c r="Y18" s="197" t="s">
        <v>54</v>
      </c>
      <c r="Z18" s="197" t="s">
        <v>54</v>
      </c>
      <c r="AA18" s="396"/>
      <c r="AB18" s="197" t="s">
        <v>69</v>
      </c>
      <c r="AC18" s="197"/>
      <c r="AD18" s="197"/>
      <c r="AE18" s="197"/>
      <c r="AF18" s="197"/>
      <c r="AG18" s="197"/>
      <c r="AH18" s="311"/>
      <c r="AI18" s="312"/>
      <c r="AJ18" s="311"/>
      <c r="AK18" s="313"/>
      <c r="AL18" s="313"/>
      <c r="AM18" s="313"/>
      <c r="AN18" s="313"/>
      <c r="AO18" s="238"/>
      <c r="AP18" s="313">
        <f t="shared" si="3"/>
        <v>0</v>
      </c>
      <c r="AQ18" s="238"/>
      <c r="AR18" s="238">
        <f t="shared" si="4"/>
        <v>0</v>
      </c>
      <c r="AS18" s="238"/>
      <c r="AT18" s="238">
        <f t="shared" si="7"/>
        <v>0</v>
      </c>
      <c r="AU18" s="238">
        <f t="shared" si="8"/>
        <v>0</v>
      </c>
      <c r="AV18" s="238">
        <f t="shared" si="9"/>
        <v>0</v>
      </c>
      <c r="AW18" s="238" t="e">
        <f t="shared" si="10"/>
        <v>#VALUE!</v>
      </c>
      <c r="AX18" s="313" t="e">
        <f>(BI18*('Setting key Duty'!$I$8+'Setting key Duty'!$I$12))+(BG18*'Setting key Duty'!$I$9)+(BB18*('Setting key Duty'!$I$13+'Setting key Duty'!$I$9))+(AZ18*('Setting key Duty'!$I$13+'Setting key Duty'!$I$12+'Setting key Duty'!$I$11))+(BD18*('Setting key Duty'!$I$8+'Setting key Duty'!$I$9+'Setting key Duty'!$I$12))</f>
        <v>#VALUE!</v>
      </c>
      <c r="AY18" s="313">
        <f>COUNTIF(C18:AB18,"*BRT*")</f>
        <v>0</v>
      </c>
      <c r="AZ18" s="313">
        <f t="shared" si="11"/>
        <v>0</v>
      </c>
      <c r="BA18" s="313" t="e">
        <f>AZ18*('Setting key Duty'!$I$13+'Setting key Duty'!$I$12+'Setting key Duty'!$I$11)</f>
        <v>#VALUE!</v>
      </c>
      <c r="BB18" s="313">
        <f t="shared" si="12"/>
        <v>0</v>
      </c>
      <c r="BC18" s="313" t="e">
        <f>BB18*('Setting key Duty'!$I$13+'Setting key Duty'!$I$9)</f>
        <v>#VALUE!</v>
      </c>
      <c r="BD18" s="313">
        <f t="shared" si="13"/>
        <v>0</v>
      </c>
      <c r="BE18" s="313">
        <f>BD18*('Setting key Duty'!$I$8+'Setting key Duty'!$I$9+'Setting key Duty'!$I$12)</f>
        <v>0</v>
      </c>
      <c r="BF18" s="313">
        <f>COUNTIF(AH18,"*$N*")</f>
        <v>0</v>
      </c>
      <c r="BG18" s="313">
        <f>COUNTIF(AH18,"*$PM*")</f>
        <v>0</v>
      </c>
      <c r="BH18" s="313">
        <f>BG18*('Setting key Duty'!$I$9)</f>
        <v>0</v>
      </c>
      <c r="BI18" s="313">
        <f t="shared" si="14"/>
        <v>0</v>
      </c>
      <c r="BJ18" s="313">
        <f>BI18*('Setting key Duty'!$I$12+'Setting key Duty'!$I$8)</f>
        <v>0</v>
      </c>
      <c r="BK18" s="313">
        <f>COUNTIF(C18:AH18,"*$FC*")</f>
        <v>0</v>
      </c>
      <c r="BL18" s="313">
        <f>BK18*('Setting key Duty'!$J$11+'Setting key Duty'!$I$8)</f>
        <v>0</v>
      </c>
      <c r="BM18" s="313">
        <f>COUNTIF($C18:$AB18,BM$4)</f>
        <v>0</v>
      </c>
      <c r="BN18" s="313">
        <f>COUNTIF($C18:$AB18,BN$4)</f>
        <v>0</v>
      </c>
      <c r="BO18" s="313">
        <f>COUNTIF($C18:$AB18,BO$4)</f>
        <v>0</v>
      </c>
      <c r="BP18" s="314"/>
    </row>
    <row r="19" ht="19.5" customHeight="1" spans="1:68">
      <c r="A19" s="309"/>
      <c r="B19" s="373" t="s">
        <v>83</v>
      </c>
      <c r="C19" s="197"/>
      <c r="D19" s="197"/>
      <c r="F19" s="197" t="s">
        <v>59</v>
      </c>
      <c r="H19" s="197" t="s">
        <v>57</v>
      </c>
      <c r="I19" s="197"/>
      <c r="J19" s="197" t="s">
        <v>54</v>
      </c>
      <c r="K19" s="197" t="s">
        <v>54</v>
      </c>
      <c r="L19" s="197" t="s">
        <v>54</v>
      </c>
      <c r="M19" s="197" t="s">
        <v>54</v>
      </c>
      <c r="N19" s="197" t="s">
        <v>54</v>
      </c>
      <c r="O19" s="197" t="s">
        <v>54</v>
      </c>
      <c r="P19" s="197" t="s">
        <v>54</v>
      </c>
      <c r="Q19" s="197" t="s">
        <v>54</v>
      </c>
      <c r="S19" s="197"/>
      <c r="U19" s="197" t="s">
        <v>56</v>
      </c>
      <c r="W19" s="197" t="s">
        <v>57</v>
      </c>
      <c r="X19" s="197"/>
      <c r="Y19" s="197"/>
      <c r="Z19" s="197" t="s">
        <v>69</v>
      </c>
      <c r="AA19" s="396"/>
      <c r="AB19" s="197" t="s">
        <v>69</v>
      </c>
      <c r="AC19" s="198"/>
      <c r="AF19" s="197"/>
      <c r="AG19" s="197" t="s">
        <v>55</v>
      </c>
      <c r="AH19" s="311"/>
      <c r="AI19" s="312"/>
      <c r="AJ19" s="311"/>
      <c r="AK19" s="313"/>
      <c r="AL19" s="313"/>
      <c r="AM19" s="313"/>
      <c r="AN19" s="313"/>
      <c r="AO19" s="238"/>
      <c r="AP19" s="313">
        <f t="shared" si="3"/>
        <v>0</v>
      </c>
      <c r="AQ19" s="238"/>
      <c r="AR19" s="238">
        <f t="shared" si="4"/>
        <v>0</v>
      </c>
      <c r="AS19" s="238"/>
      <c r="AT19" s="238">
        <f t="shared" si="7"/>
        <v>0</v>
      </c>
      <c r="AU19" s="238">
        <f t="shared" si="8"/>
        <v>0</v>
      </c>
      <c r="AV19" s="238">
        <f t="shared" si="9"/>
        <v>0</v>
      </c>
      <c r="AW19" s="238" t="e">
        <f t="shared" si="10"/>
        <v>#VALUE!</v>
      </c>
      <c r="AX19" s="313" t="e">
        <f>(BI19*('Setting key Duty'!$I$8+'Setting key Duty'!$I$12))+(BG19*'Setting key Duty'!$I$9)+(BB19*('Setting key Duty'!$I$13+'Setting key Duty'!$I$9))+(AZ19*('Setting key Duty'!$I$13+'Setting key Duty'!$I$12+'Setting key Duty'!$I$11))+(BD19*('Setting key Duty'!$I$8+'Setting key Duty'!$I$9+'Setting key Duty'!$I$12))</f>
        <v>#VALUE!</v>
      </c>
      <c r="AY19" s="313">
        <f>COUNTIF(D19:AB19,"*BRT*")</f>
        <v>0</v>
      </c>
      <c r="AZ19" s="313">
        <f t="shared" si="11"/>
        <v>0</v>
      </c>
      <c r="BA19" s="313" t="e">
        <f>AZ19*('Setting key Duty'!$I$13+'Setting key Duty'!$I$12+'Setting key Duty'!$I$11)</f>
        <v>#VALUE!</v>
      </c>
      <c r="BB19" s="313">
        <f t="shared" si="12"/>
        <v>0</v>
      </c>
      <c r="BC19" s="313" t="e">
        <f>BB19*('Setting key Duty'!$I$13+'Setting key Duty'!$I$9)</f>
        <v>#VALUE!</v>
      </c>
      <c r="BD19" s="313">
        <f t="shared" si="13"/>
        <v>0</v>
      </c>
      <c r="BE19" s="313">
        <f>BD19*('Setting key Duty'!$I$8+'Setting key Duty'!$I$9+'Setting key Duty'!$I$12)</f>
        <v>0</v>
      </c>
      <c r="BF19" s="313">
        <f>COUNTIF(AH19,"*$N*")</f>
        <v>0</v>
      </c>
      <c r="BG19" s="313">
        <f>COUNTIF(AH19,"*$PM*")</f>
        <v>0</v>
      </c>
      <c r="BH19" s="313">
        <f>BG19*('Setting key Duty'!$I$9)</f>
        <v>0</v>
      </c>
      <c r="BI19" s="313">
        <f t="shared" si="14"/>
        <v>0</v>
      </c>
      <c r="BJ19" s="313">
        <f>BI19*('Setting key Duty'!$I$12+'Setting key Duty'!$I$8)</f>
        <v>0</v>
      </c>
      <c r="BK19" s="313">
        <f>COUNTIF(D19:AH19,"*$FC*")</f>
        <v>0</v>
      </c>
      <c r="BL19" s="313">
        <f>BK19*('Setting key Duty'!$J$11+'Setting key Duty'!$I$8)</f>
        <v>0</v>
      </c>
      <c r="BM19" s="313">
        <f>COUNTIF($D19:$AB19,BM$4)</f>
        <v>0</v>
      </c>
      <c r="BN19" s="313">
        <f>COUNTIF($D19:$AB19,BN$4)</f>
        <v>0</v>
      </c>
      <c r="BO19" s="313">
        <f>COUNTIF($D19:$AB19,BO$4)</f>
        <v>0</v>
      </c>
      <c r="BP19" s="314"/>
    </row>
    <row r="20" ht="19.5" customHeight="1" spans="1:68">
      <c r="A20" s="309"/>
      <c r="B20" s="407" t="s">
        <v>84</v>
      </c>
      <c r="C20" s="197"/>
      <c r="D20" s="197"/>
      <c r="E20" s="198"/>
      <c r="F20" s="197" t="s">
        <v>56</v>
      </c>
      <c r="G20" s="197" t="s">
        <v>159</v>
      </c>
      <c r="H20" s="197" t="s">
        <v>160</v>
      </c>
      <c r="I20" s="197" t="s">
        <v>150</v>
      </c>
      <c r="J20" s="197" t="s">
        <v>161</v>
      </c>
      <c r="K20" s="197" t="s">
        <v>57</v>
      </c>
      <c r="L20" s="317"/>
      <c r="M20" s="106"/>
      <c r="N20" s="197" t="s">
        <v>59</v>
      </c>
      <c r="O20" s="197"/>
      <c r="P20" s="197" t="s">
        <v>57</v>
      </c>
      <c r="Q20" s="106"/>
      <c r="R20" s="197"/>
      <c r="S20" s="197" t="s">
        <v>57</v>
      </c>
      <c r="T20" s="197"/>
      <c r="U20" s="197" t="s">
        <v>57</v>
      </c>
      <c r="V20" s="106"/>
      <c r="W20" s="197" t="s">
        <v>56</v>
      </c>
      <c r="X20" s="197"/>
      <c r="Y20" s="197"/>
      <c r="Z20" s="197"/>
      <c r="AA20" s="396"/>
      <c r="AB20" s="197"/>
      <c r="AC20" s="197"/>
      <c r="AD20" s="197" t="s">
        <v>56</v>
      </c>
      <c r="AE20" s="197"/>
      <c r="AF20" s="197"/>
      <c r="AG20" s="197"/>
      <c r="AH20" s="311"/>
      <c r="AI20" s="312"/>
      <c r="AJ20" s="311"/>
      <c r="AK20" s="313"/>
      <c r="AL20" s="313"/>
      <c r="AM20" s="313"/>
      <c r="AN20" s="313"/>
      <c r="AO20" s="238"/>
      <c r="AP20" s="313">
        <f t="shared" si="3"/>
        <v>0</v>
      </c>
      <c r="AQ20" s="238"/>
      <c r="AR20" s="238">
        <f t="shared" si="4"/>
        <v>0</v>
      </c>
      <c r="AS20" s="238"/>
      <c r="AT20" s="238">
        <f t="shared" si="7"/>
        <v>0</v>
      </c>
      <c r="AU20" s="238">
        <f t="shared" si="8"/>
        <v>0</v>
      </c>
      <c r="AV20" s="238">
        <f t="shared" si="9"/>
        <v>0</v>
      </c>
      <c r="AW20" s="238" t="e">
        <f t="shared" si="10"/>
        <v>#VALUE!</v>
      </c>
      <c r="AX20" s="313" t="e">
        <f>(BI20*('Setting key Duty'!$I$8+'Setting key Duty'!$I$12))+(BG20*'Setting key Duty'!$I$9)+(BB20*('Setting key Duty'!$I$13+'Setting key Duty'!$I$9))+(AZ20*('Setting key Duty'!$I$13+'Setting key Duty'!$I$12+'Setting key Duty'!$I$11))+(BD20*('Setting key Duty'!$I$8+'Setting key Duty'!$I$9+'Setting key Duty'!$I$12))</f>
        <v>#VALUE!</v>
      </c>
      <c r="AY20" s="313">
        <f>COUNTIF(D20:AB20,"*BRT*")</f>
        <v>0</v>
      </c>
      <c r="AZ20" s="313">
        <f t="shared" si="11"/>
        <v>0</v>
      </c>
      <c r="BA20" s="313" t="e">
        <f>AZ20*('Setting key Duty'!$I$13+'Setting key Duty'!$I$12+'Setting key Duty'!$I$11)</f>
        <v>#VALUE!</v>
      </c>
      <c r="BB20" s="313">
        <f t="shared" si="12"/>
        <v>0</v>
      </c>
      <c r="BC20" s="313" t="e">
        <f>BB20*('Setting key Duty'!$I$13+'Setting key Duty'!$I$9)</f>
        <v>#VALUE!</v>
      </c>
      <c r="BD20" s="313">
        <f t="shared" si="13"/>
        <v>0</v>
      </c>
      <c r="BE20" s="313">
        <f>BD20*('Setting key Duty'!$I$8+'Setting key Duty'!$I$9+'Setting key Duty'!$I$12)</f>
        <v>0</v>
      </c>
      <c r="BF20" s="313">
        <f>COUNTIF(AF20:AH20,"*$N*")</f>
        <v>0</v>
      </c>
      <c r="BG20" s="313">
        <f>COUNTIF(AF20:AH20,"*$PM*")</f>
        <v>0</v>
      </c>
      <c r="BH20" s="313">
        <f>BG20*('Setting key Duty'!$I$9)</f>
        <v>0</v>
      </c>
      <c r="BI20" s="313">
        <f t="shared" si="14"/>
        <v>0</v>
      </c>
      <c r="BJ20" s="313">
        <f>BI20*('Setting key Duty'!$I$12+'Setting key Duty'!$I$8)</f>
        <v>0</v>
      </c>
      <c r="BK20" s="313">
        <f>COUNTIF(D20:AH20,"*$FC*")</f>
        <v>0</v>
      </c>
      <c r="BL20" s="313">
        <f>BK20*('Setting key Duty'!$J$11+'Setting key Duty'!$I$8)</f>
        <v>0</v>
      </c>
      <c r="BM20" s="313">
        <f>COUNTIF($D20:$AE20,BM$4)</f>
        <v>0</v>
      </c>
      <c r="BN20" s="313">
        <f>COUNTIF($D20:$AE20,BN$4)</f>
        <v>0</v>
      </c>
      <c r="BO20" s="313">
        <f>COUNTIF($D20:$AE20,BO$4)</f>
        <v>0</v>
      </c>
      <c r="BP20" s="314"/>
    </row>
    <row r="21" ht="19.5" customHeight="1" spans="1:68">
      <c r="A21" s="309" t="s">
        <v>55</v>
      </c>
      <c r="B21" s="333" t="s">
        <v>85</v>
      </c>
      <c r="C21" s="197"/>
      <c r="D21" s="197" t="s">
        <v>157</v>
      </c>
      <c r="F21" s="197" t="s">
        <v>173</v>
      </c>
      <c r="G21" s="198" t="s">
        <v>174</v>
      </c>
      <c r="H21" s="197"/>
      <c r="I21" s="197"/>
      <c r="J21" s="197" t="s">
        <v>54</v>
      </c>
      <c r="K21" s="197" t="s">
        <v>54</v>
      </c>
      <c r="L21" s="197" t="s">
        <v>54</v>
      </c>
      <c r="M21" s="197" t="s">
        <v>54</v>
      </c>
      <c r="N21" s="197" t="s">
        <v>54</v>
      </c>
      <c r="O21" s="197" t="s">
        <v>54</v>
      </c>
      <c r="P21" s="197" t="s">
        <v>54</v>
      </c>
      <c r="Q21" s="197" t="s">
        <v>54</v>
      </c>
      <c r="R21" s="197" t="s">
        <v>54</v>
      </c>
      <c r="S21" s="197"/>
      <c r="T21" s="197" t="s">
        <v>57</v>
      </c>
      <c r="U21" s="197"/>
      <c r="V21" s="197" t="s">
        <v>56</v>
      </c>
      <c r="W21" s="197"/>
      <c r="X21" s="197" t="s">
        <v>54</v>
      </c>
      <c r="Y21" s="106"/>
      <c r="Z21" s="197"/>
      <c r="AA21" s="396"/>
      <c r="AC21" s="197" t="s">
        <v>59</v>
      </c>
      <c r="AE21" s="197" t="s">
        <v>56</v>
      </c>
      <c r="AF21" s="197"/>
      <c r="AG21" s="197"/>
      <c r="AH21" s="311"/>
      <c r="AI21" s="312"/>
      <c r="AJ21" s="311"/>
      <c r="AK21" s="313"/>
      <c r="AL21" s="313"/>
      <c r="AM21" s="313"/>
      <c r="AN21" s="313"/>
      <c r="AO21" s="238"/>
      <c r="AP21" s="313">
        <f t="shared" si="3"/>
        <v>0</v>
      </c>
      <c r="AQ21" s="238"/>
      <c r="AR21" s="238">
        <f t="shared" si="4"/>
        <v>0</v>
      </c>
      <c r="AS21" s="238"/>
      <c r="AT21" s="238">
        <f t="shared" si="7"/>
        <v>0</v>
      </c>
      <c r="AU21" s="238">
        <f t="shared" si="8"/>
        <v>0</v>
      </c>
      <c r="AV21" s="238">
        <f t="shared" si="9"/>
        <v>0</v>
      </c>
      <c r="AW21" s="238" t="e">
        <f t="shared" si="10"/>
        <v>#VALUE!</v>
      </c>
      <c r="AX21" s="313" t="e">
        <f>(BI21*('Setting key Duty'!$I$8+'Setting key Duty'!$I$12))+(BG21*'Setting key Duty'!$I$9)+(BB21*('Setting key Duty'!$I$13+'Setting key Duty'!$I$9))+(AZ21*('Setting key Duty'!$I$13+'Setting key Duty'!$I$12+'Setting key Duty'!$I$11))+(BD21*('Setting key Duty'!$I$8+'Setting key Duty'!$I$9+'Setting key Duty'!$I$12))</f>
        <v>#VALUE!</v>
      </c>
      <c r="AY21" s="313">
        <f>COUNTIF(D21:AC21,"*BRT*")</f>
        <v>0</v>
      </c>
      <c r="AZ21" s="313">
        <f t="shared" si="11"/>
        <v>0</v>
      </c>
      <c r="BA21" s="313" t="e">
        <f>AZ21*('Setting key Duty'!$I$13+'Setting key Duty'!$I$12+'Setting key Duty'!$I$11)</f>
        <v>#VALUE!</v>
      </c>
      <c r="BB21" s="313">
        <f t="shared" si="12"/>
        <v>0</v>
      </c>
      <c r="BC21" s="313" t="e">
        <f>BB21*('Setting key Duty'!$I$13+'Setting key Duty'!$I$9)</f>
        <v>#VALUE!</v>
      </c>
      <c r="BD21" s="313">
        <f t="shared" si="13"/>
        <v>0</v>
      </c>
      <c r="BE21" s="313">
        <f>BD21*('Setting key Duty'!$I$8+'Setting key Duty'!$I$9+'Setting key Duty'!$I$12)</f>
        <v>0</v>
      </c>
      <c r="BF21" s="313">
        <f>COUNTIF(AH21,"*$N*")</f>
        <v>0</v>
      </c>
      <c r="BG21" s="313">
        <f>COUNTIF(AH21,"*$PM*")</f>
        <v>0</v>
      </c>
      <c r="BH21" s="313">
        <f>BG21*('Setting key Duty'!$I$9)</f>
        <v>0</v>
      </c>
      <c r="BI21" s="313">
        <f t="shared" si="14"/>
        <v>0</v>
      </c>
      <c r="BJ21" s="313">
        <f>BI21*('Setting key Duty'!$I$12+'Setting key Duty'!$I$8)</f>
        <v>0</v>
      </c>
      <c r="BK21" s="313">
        <f>COUNTIF(D21:AH21,"*$FC*")</f>
        <v>0</v>
      </c>
      <c r="BL21" s="313">
        <f>BK21*('Setting key Duty'!$J$11+'Setting key Duty'!$I$8)</f>
        <v>0</v>
      </c>
      <c r="BM21" s="313">
        <f>COUNTIF($D21:$AC21,BM$4)</f>
        <v>0</v>
      </c>
      <c r="BN21" s="313">
        <f>COUNTIF($D21:$AC21,BN$4)</f>
        <v>0</v>
      </c>
      <c r="BO21" s="313">
        <f>COUNTIF($D21:$AC21,BO$4)</f>
        <v>0</v>
      </c>
      <c r="BP21" s="314"/>
    </row>
    <row r="22" ht="19.5" customHeight="1" spans="1:68">
      <c r="A22" s="309"/>
      <c r="B22" s="392" t="s">
        <v>86</v>
      </c>
      <c r="C22" s="197"/>
      <c r="D22" s="198" t="s">
        <v>59</v>
      </c>
      <c r="E22" s="197"/>
      <c r="F22" s="106"/>
      <c r="G22" s="197" t="s">
        <v>59</v>
      </c>
      <c r="H22" s="324"/>
      <c r="I22" s="198" t="s">
        <v>56</v>
      </c>
      <c r="K22" s="197"/>
      <c r="L22" s="197"/>
      <c r="M22" s="197"/>
      <c r="N22" s="197"/>
      <c r="O22" s="197" t="s">
        <v>59</v>
      </c>
      <c r="P22" s="197"/>
      <c r="Q22" s="197"/>
      <c r="R22" s="197"/>
      <c r="S22" s="197"/>
      <c r="T22" s="197"/>
      <c r="U22" s="197"/>
      <c r="V22" s="197" t="s">
        <v>57</v>
      </c>
      <c r="W22" s="197"/>
      <c r="X22" s="197"/>
      <c r="Y22" s="197" t="s">
        <v>56</v>
      </c>
      <c r="Z22" s="106"/>
      <c r="AA22" s="396"/>
      <c r="AB22" s="197" t="s">
        <v>59</v>
      </c>
      <c r="AE22" s="197"/>
      <c r="AF22" s="106"/>
      <c r="AH22" s="311"/>
      <c r="AI22" s="312"/>
      <c r="AJ22" s="311"/>
      <c r="AK22" s="313"/>
      <c r="AL22" s="313"/>
      <c r="AM22" s="313"/>
      <c r="AN22" s="313"/>
      <c r="AO22" s="238"/>
      <c r="AP22" s="313">
        <f t="shared" si="3"/>
        <v>0</v>
      </c>
      <c r="AQ22" s="238"/>
      <c r="AR22" s="238">
        <f t="shared" si="4"/>
        <v>0</v>
      </c>
      <c r="AS22" s="238"/>
      <c r="AT22" s="238">
        <f t="shared" si="7"/>
        <v>0</v>
      </c>
      <c r="AU22" s="238">
        <f t="shared" si="8"/>
        <v>0</v>
      </c>
      <c r="AV22" s="238">
        <f t="shared" si="9"/>
        <v>0</v>
      </c>
      <c r="AW22" s="238" t="e">
        <f t="shared" si="10"/>
        <v>#VALUE!</v>
      </c>
      <c r="AX22" s="313" t="e">
        <f>(BI22*('Setting key Duty'!$I$8+'Setting key Duty'!$I$12))+(BG22*'Setting key Duty'!$I$9)+(BB22*('Setting key Duty'!$I$13+'Setting key Duty'!$I$9))+(AZ22*('Setting key Duty'!$I$13+'Setting key Duty'!$I$12+'Setting key Duty'!$I$11))+(BD22*('Setting key Duty'!$I$8+'Setting key Duty'!$I$9+'Setting key Duty'!$I$12))</f>
        <v>#VALUE!</v>
      </c>
      <c r="AY22" s="313">
        <f>COUNTIF(D22:AB22,"*BRT*")</f>
        <v>0</v>
      </c>
      <c r="AZ22" s="313">
        <f t="shared" si="11"/>
        <v>0</v>
      </c>
      <c r="BA22" s="313" t="e">
        <f>AZ22*('Setting key Duty'!$I$13+'Setting key Duty'!$I$12+'Setting key Duty'!$I$11)</f>
        <v>#VALUE!</v>
      </c>
      <c r="BB22" s="313">
        <f t="shared" si="12"/>
        <v>0</v>
      </c>
      <c r="BC22" s="313" t="e">
        <f>BB22*('Setting key Duty'!$I$13+'Setting key Duty'!$I$9)</f>
        <v>#VALUE!</v>
      </c>
      <c r="BD22" s="313">
        <f t="shared" si="13"/>
        <v>0</v>
      </c>
      <c r="BE22" s="313">
        <f>BD22*('Setting key Duty'!$I$8+'Setting key Duty'!$I$9+'Setting key Duty'!$I$12)</f>
        <v>0</v>
      </c>
      <c r="BF22" s="313">
        <f>COUNTIF(AE22:AH22,"*$N*")</f>
        <v>0</v>
      </c>
      <c r="BG22" s="313">
        <f>COUNTIF(AE22:AH22,"*$PM*")</f>
        <v>0</v>
      </c>
      <c r="BH22" s="313">
        <f>BG22*('Setting key Duty'!$I$9)</f>
        <v>0</v>
      </c>
      <c r="BI22" s="313">
        <f t="shared" si="14"/>
        <v>0</v>
      </c>
      <c r="BJ22" s="313">
        <f>BI22*('Setting key Duty'!$I$12+'Setting key Duty'!$I$8)</f>
        <v>0</v>
      </c>
      <c r="BK22" s="313">
        <f>COUNTIF(D22:AH22,"*$FC*")</f>
        <v>0</v>
      </c>
      <c r="BL22" s="313">
        <f>BK22*('Setting key Duty'!$J$11+'Setting key Duty'!$I$8)</f>
        <v>0</v>
      </c>
      <c r="BM22" s="313">
        <f>COUNTIF($D22:$AE22,BM$4)</f>
        <v>0</v>
      </c>
      <c r="BN22" s="313">
        <f>COUNTIF($D22:$AE22,BN$4)</f>
        <v>0</v>
      </c>
      <c r="BO22" s="313">
        <f>COUNTIF($D22:$AE22,BO$4)</f>
        <v>0</v>
      </c>
      <c r="BP22" s="314"/>
    </row>
    <row r="23" ht="19.5" customHeight="1" spans="1:68">
      <c r="A23" s="309"/>
      <c r="B23" s="335" t="s">
        <v>87</v>
      </c>
      <c r="D23" s="197" t="s">
        <v>175</v>
      </c>
      <c r="E23" s="197"/>
      <c r="F23" s="197" t="s">
        <v>173</v>
      </c>
      <c r="G23" s="198" t="s">
        <v>174</v>
      </c>
      <c r="H23" s="324" t="s">
        <v>58</v>
      </c>
      <c r="I23" s="324"/>
      <c r="J23" s="197"/>
      <c r="K23" s="197" t="s">
        <v>56</v>
      </c>
      <c r="L23" s="197"/>
      <c r="M23" s="106"/>
      <c r="N23" s="106"/>
      <c r="O23" s="197" t="s">
        <v>55</v>
      </c>
      <c r="Q23" s="197" t="s">
        <v>56</v>
      </c>
      <c r="R23" s="106"/>
      <c r="S23" s="197"/>
      <c r="T23" s="197" t="s">
        <v>55</v>
      </c>
      <c r="U23" s="197" t="s">
        <v>55</v>
      </c>
      <c r="V23" s="197" t="s">
        <v>163</v>
      </c>
      <c r="X23" s="198"/>
      <c r="Y23" s="197" t="s">
        <v>55</v>
      </c>
      <c r="Z23" s="197" t="s">
        <v>55</v>
      </c>
      <c r="AA23" s="396" t="s">
        <v>57</v>
      </c>
      <c r="AB23" s="198"/>
      <c r="AC23" s="197"/>
      <c r="AD23" s="198"/>
      <c r="AE23" s="198"/>
      <c r="AF23" s="197" t="s">
        <v>55</v>
      </c>
      <c r="AG23" s="197" t="s">
        <v>55</v>
      </c>
      <c r="AH23" s="311"/>
      <c r="AI23" s="312"/>
      <c r="AJ23" s="311"/>
      <c r="AK23" s="313"/>
      <c r="AL23" s="313"/>
      <c r="AM23" s="313"/>
      <c r="AN23" s="313"/>
      <c r="AO23" s="238"/>
      <c r="AP23" s="313">
        <f t="shared" si="3"/>
        <v>0</v>
      </c>
      <c r="AQ23" s="238"/>
      <c r="AR23" s="238">
        <f t="shared" si="4"/>
        <v>0</v>
      </c>
      <c r="AS23" s="238"/>
      <c r="AT23" s="238">
        <f t="shared" si="7"/>
        <v>0</v>
      </c>
      <c r="AU23" s="238">
        <f t="shared" si="8"/>
        <v>0</v>
      </c>
      <c r="AV23" s="238">
        <f t="shared" si="9"/>
        <v>0</v>
      </c>
      <c r="AW23" s="238" t="e">
        <f t="shared" si="10"/>
        <v>#VALUE!</v>
      </c>
      <c r="AX23" s="313" t="e">
        <f>(BI23*('Setting key Duty'!$I$8+'Setting key Duty'!$I$12))+(BG23*'Setting key Duty'!$I$9)+(BB23*('Setting key Duty'!$I$13+'Setting key Duty'!$I$9))+(AZ23*('Setting key Duty'!$I$13+'Setting key Duty'!$I$12+'Setting key Duty'!$I$11))+(BD23*('Setting key Duty'!$I$8+'Setting key Duty'!$I$9+'Setting key Duty'!$I$12))</f>
        <v>#VALUE!</v>
      </c>
      <c r="AY23" s="313">
        <f>COUNTIF(D23:AA23,"*BRT*")</f>
        <v>0</v>
      </c>
      <c r="AZ23" s="313">
        <f t="shared" si="11"/>
        <v>0</v>
      </c>
      <c r="BA23" s="313" t="e">
        <f>AZ23*('Setting key Duty'!$I$13+'Setting key Duty'!$I$12+'Setting key Duty'!$I$11)</f>
        <v>#VALUE!</v>
      </c>
      <c r="BB23" s="313">
        <f t="shared" si="12"/>
        <v>0</v>
      </c>
      <c r="BC23" s="313" t="e">
        <f>BB23*('Setting key Duty'!$I$13+'Setting key Duty'!$I$9)</f>
        <v>#VALUE!</v>
      </c>
      <c r="BD23" s="313">
        <f t="shared" si="13"/>
        <v>0</v>
      </c>
      <c r="BE23" s="313">
        <f>BD23*('Setting key Duty'!$I$8+'Setting key Duty'!$I$9+'Setting key Duty'!$I$12)</f>
        <v>0</v>
      </c>
      <c r="BF23" s="313">
        <f>COUNTIF(AH23,"*$N*")</f>
        <v>0</v>
      </c>
      <c r="BG23" s="313">
        <f>COUNTIF(AH23,"*$PM*")</f>
        <v>0</v>
      </c>
      <c r="BH23" s="313">
        <f>BG23*('Setting key Duty'!$I$9)</f>
        <v>0</v>
      </c>
      <c r="BI23" s="313">
        <f t="shared" si="14"/>
        <v>0</v>
      </c>
      <c r="BJ23" s="313">
        <f>BI23*('Setting key Duty'!$I$12+'Setting key Duty'!$I$8)</f>
        <v>0</v>
      </c>
      <c r="BK23" s="313">
        <f>COUNTIF(D23:AH23,"*$FC*")</f>
        <v>0</v>
      </c>
      <c r="BL23" s="313">
        <f>BK23*('Setting key Duty'!$J$11+'Setting key Duty'!$I$8)</f>
        <v>0</v>
      </c>
      <c r="BM23" s="313">
        <f>COUNTIF($D23:$AA23,BM$4)</f>
        <v>0</v>
      </c>
      <c r="BN23" s="313">
        <f>COUNTIF($D23:$AA23,BN$4)</f>
        <v>0</v>
      </c>
      <c r="BO23" s="313">
        <f>COUNTIF($D23:$AA23,BO$4)</f>
        <v>5</v>
      </c>
      <c r="BP23" s="314"/>
    </row>
    <row r="24" ht="19.5" customHeight="1" spans="1:68">
      <c r="A24" s="309"/>
      <c r="B24" s="334" t="s">
        <v>91</v>
      </c>
      <c r="D24" s="324" t="s">
        <v>176</v>
      </c>
      <c r="E24" s="324" t="s">
        <v>176</v>
      </c>
      <c r="F24" s="324" t="s">
        <v>176</v>
      </c>
      <c r="G24" s="324" t="s">
        <v>176</v>
      </c>
      <c r="H24" s="324"/>
      <c r="I24" s="317" t="s">
        <v>59</v>
      </c>
      <c r="K24" s="197"/>
      <c r="L24" s="317" t="s">
        <v>65</v>
      </c>
      <c r="N24" s="395" t="s">
        <v>177</v>
      </c>
      <c r="O24" s="197"/>
      <c r="P24" s="197"/>
      <c r="S24" s="197"/>
      <c r="T24" s="197" t="s">
        <v>176</v>
      </c>
      <c r="U24" s="197"/>
      <c r="V24" s="197" t="s">
        <v>55</v>
      </c>
      <c r="W24" s="197"/>
      <c r="X24" s="198"/>
      <c r="Y24" s="197" t="s">
        <v>55</v>
      </c>
      <c r="Z24" s="197" t="s">
        <v>55</v>
      </c>
      <c r="AA24" s="396"/>
      <c r="AB24" s="197" t="s">
        <v>56</v>
      </c>
      <c r="AC24" s="197"/>
      <c r="AD24" s="197" t="s">
        <v>59</v>
      </c>
      <c r="AE24" s="197"/>
      <c r="AF24" s="197"/>
      <c r="AG24" s="197" t="s">
        <v>55</v>
      </c>
      <c r="AH24" s="311">
        <f t="shared" ref="AH24:AN24" si="19">COUNTIF($C24:$AF24,AH$4)</f>
        <v>0</v>
      </c>
      <c r="AI24" s="312">
        <f t="shared" si="19"/>
        <v>1</v>
      </c>
      <c r="AJ24" s="311">
        <f t="shared" si="19"/>
        <v>2</v>
      </c>
      <c r="AK24" s="313">
        <f t="shared" si="19"/>
        <v>0</v>
      </c>
      <c r="AL24" s="313">
        <f t="shared" si="19"/>
        <v>0</v>
      </c>
      <c r="AM24" s="313">
        <f t="shared" si="19"/>
        <v>1</v>
      </c>
      <c r="AN24" s="313">
        <f t="shared" si="19"/>
        <v>0</v>
      </c>
      <c r="AO24" s="238"/>
      <c r="AP24" s="313">
        <f t="shared" si="3"/>
        <v>0</v>
      </c>
      <c r="AQ24" s="238"/>
      <c r="AR24" s="238">
        <f t="shared" si="4"/>
        <v>0</v>
      </c>
      <c r="AS24" s="238"/>
      <c r="AT24" s="238">
        <f t="shared" si="7"/>
        <v>0</v>
      </c>
      <c r="AU24" s="238">
        <f t="shared" si="8"/>
        <v>4</v>
      </c>
      <c r="AV24" s="238">
        <f t="shared" si="9"/>
        <v>1</v>
      </c>
      <c r="AW24" s="238" t="e">
        <f t="shared" si="10"/>
        <v>#VALUE!</v>
      </c>
      <c r="AX24" s="313" t="e">
        <f>(BI24*('Setting key Duty'!$I$8+'Setting key Duty'!$I$12))+(BG24*'Setting key Duty'!$I$9)+(BB24*('Setting key Duty'!$I$13+'Setting key Duty'!$I$9))+(AZ24*('Setting key Duty'!$I$13+'Setting key Duty'!$I$12+'Setting key Duty'!$I$11))+(BD24*('Setting key Duty'!$I$8+'Setting key Duty'!$I$9+'Setting key Duty'!$I$12))</f>
        <v>#VALUE!</v>
      </c>
      <c r="AY24" s="313">
        <f>COUNTIF(C24:AC24,"*BRT*")</f>
        <v>0</v>
      </c>
      <c r="AZ24" s="313">
        <f t="shared" si="11"/>
        <v>0</v>
      </c>
      <c r="BA24" s="313" t="e">
        <f>AZ24*('Setting key Duty'!$I$13+'Setting key Duty'!$I$12+'Setting key Duty'!$I$11)</f>
        <v>#VALUE!</v>
      </c>
      <c r="BB24" s="313">
        <f>COUNTIF(I24:AH24,"*$L*")</f>
        <v>0</v>
      </c>
      <c r="BC24" s="313" t="e">
        <f>BB24*('Setting key Duty'!$I$13+'Setting key Duty'!$I$9)</f>
        <v>#VALUE!</v>
      </c>
      <c r="BD24" s="313">
        <f>COUNTIF(I24:AH24,"*$M*")</f>
        <v>0</v>
      </c>
      <c r="BE24" s="313">
        <f>BD24*('Setting key Duty'!$I$8+'Setting key Duty'!$I$9+'Setting key Duty'!$I$12)</f>
        <v>0</v>
      </c>
      <c r="BF24" s="313">
        <f>COUNTIF(I24:AH24,"*$N*")</f>
        <v>0</v>
      </c>
      <c r="BG24" s="313">
        <f>COUNTIF(I24:AH24,"*$PM*")</f>
        <v>0</v>
      </c>
      <c r="BH24" s="313">
        <f>BG24*('Setting key Duty'!$I$9)</f>
        <v>0</v>
      </c>
      <c r="BI24" s="313">
        <f>COUNTIF(I24:AH24,"*$AM*")</f>
        <v>1</v>
      </c>
      <c r="BJ24" s="313">
        <f>BI24*('Setting key Duty'!$I$12+'Setting key Duty'!$I$8)</f>
        <v>0.4375</v>
      </c>
      <c r="BK24" s="313">
        <f>COUNTIF(C24:AH24,"*$FC*")</f>
        <v>0</v>
      </c>
      <c r="BL24" s="313">
        <f>BK24*('Setting key Duty'!$J$11+'Setting key Duty'!$I$8)</f>
        <v>0</v>
      </c>
      <c r="BM24" s="313">
        <f>COUNTIF($C24:$AF24,BM$4)</f>
        <v>0</v>
      </c>
      <c r="BN24" s="313">
        <f>COUNTIF($C24:$AF24,BN$4)</f>
        <v>0</v>
      </c>
      <c r="BO24" s="313">
        <f>COUNTIF($I24:$AE24,BO$4)</f>
        <v>3</v>
      </c>
      <c r="BP24" s="314"/>
    </row>
    <row r="25" ht="19.5" customHeight="1" spans="1:68">
      <c r="A25" s="309"/>
      <c r="B25" s="373" t="s">
        <v>99</v>
      </c>
      <c r="C25" s="197"/>
      <c r="D25" s="197" t="s">
        <v>55</v>
      </c>
      <c r="F25" s="197" t="s">
        <v>173</v>
      </c>
      <c r="G25" s="198" t="s">
        <v>174</v>
      </c>
      <c r="I25" s="197"/>
      <c r="J25" s="197"/>
      <c r="K25" s="106"/>
      <c r="L25" s="197"/>
      <c r="M25" s="197" t="s">
        <v>178</v>
      </c>
      <c r="N25" s="197"/>
      <c r="O25" s="197" t="s">
        <v>56</v>
      </c>
      <c r="P25" s="197"/>
      <c r="Q25" s="197"/>
      <c r="S25" s="197" t="s">
        <v>59</v>
      </c>
      <c r="T25" s="197"/>
      <c r="U25" s="197"/>
      <c r="V25" s="197" t="s">
        <v>65</v>
      </c>
      <c r="W25" s="197" t="s">
        <v>55</v>
      </c>
      <c r="X25" s="197" t="s">
        <v>55</v>
      </c>
      <c r="Y25" s="197" t="s">
        <v>55</v>
      </c>
      <c r="Z25" s="197" t="s">
        <v>55</v>
      </c>
      <c r="AA25" s="397"/>
      <c r="AB25" s="197"/>
      <c r="AC25" s="197"/>
      <c r="AD25" s="197"/>
      <c r="AE25" s="197"/>
      <c r="AF25" s="197" t="s">
        <v>59</v>
      </c>
      <c r="AG25" s="197"/>
      <c r="AH25" s="311"/>
      <c r="AI25" s="312"/>
      <c r="AJ25" s="311"/>
      <c r="AK25" s="313"/>
      <c r="AL25" s="313"/>
      <c r="AM25" s="313"/>
      <c r="AN25" s="313"/>
      <c r="AO25" s="238"/>
      <c r="AP25" s="313">
        <f t="shared" si="3"/>
        <v>0</v>
      </c>
      <c r="AQ25" s="238"/>
      <c r="AR25" s="238">
        <f t="shared" si="4"/>
        <v>0</v>
      </c>
      <c r="AS25" s="238"/>
      <c r="AT25" s="238">
        <f t="shared" si="7"/>
        <v>0</v>
      </c>
      <c r="AU25" s="238">
        <f t="shared" si="8"/>
        <v>0</v>
      </c>
      <c r="AV25" s="238">
        <f t="shared" si="9"/>
        <v>1</v>
      </c>
      <c r="AW25" s="238" t="e">
        <f t="shared" ref="AW25:AW31" si="20">AT25+$AX$25</f>
        <v>#VALUE!</v>
      </c>
      <c r="AX25" s="313" t="e">
        <f>(BI25*('Setting key Duty'!$I$8+'Setting key Duty'!$I$12))+(BG25*'Setting key Duty'!$I$9)+(BB25*('Setting key Duty'!$I$13+'Setting key Duty'!$I$9))+(AZ25*('Setting key Duty'!$I$13+'Setting key Duty'!$I$12+'Setting key Duty'!$I$11))+(BD25*('Setting key Duty'!$I$8+'Setting key Duty'!$I$9+'Setting key Duty'!$I$12))</f>
        <v>#VALUE!</v>
      </c>
      <c r="AY25" s="313">
        <f>COUNTIF(C25:AC25,"*BRT*")</f>
        <v>0</v>
      </c>
      <c r="AZ25" s="313">
        <f t="shared" si="11"/>
        <v>0</v>
      </c>
      <c r="BA25" s="313" t="e">
        <f>AZ25*('Setting key Duty'!$I$13+'Setting key Duty'!$I$12+'Setting key Duty'!$I$11)</f>
        <v>#VALUE!</v>
      </c>
      <c r="BB25" s="313">
        <f>COUNTIF(D25:AH25,"*$L*")</f>
        <v>1</v>
      </c>
      <c r="BC25" s="313" t="e">
        <f>BB25*('Setting key Duty'!$I$13+'Setting key Duty'!$I$9)</f>
        <v>#VALUE!</v>
      </c>
      <c r="BD25" s="313">
        <f>COUNTIF(D25:AH25,"*$M*")</f>
        <v>0</v>
      </c>
      <c r="BE25" s="313">
        <f>BD25*('Setting key Duty'!$I$8+'Setting key Duty'!$I$9+'Setting key Duty'!$I$12)</f>
        <v>0</v>
      </c>
      <c r="BF25" s="313">
        <f>COUNTIF(D25:AH25,"*$N*")</f>
        <v>0</v>
      </c>
      <c r="BG25" s="313">
        <f>COUNTIF(D25:AH25,"*$PM*")</f>
        <v>0</v>
      </c>
      <c r="BH25" s="313">
        <f>BG25*('Setting key Duty'!$I$9)</f>
        <v>0</v>
      </c>
      <c r="BI25" s="313">
        <f>COUNTIF(D25:AH25,"*$AM*")</f>
        <v>0</v>
      </c>
      <c r="BJ25" s="313">
        <f>BI25*('Setting key Duty'!$I$12+'Setting key Duty'!$I$8)</f>
        <v>0</v>
      </c>
      <c r="BK25" s="313">
        <f>COUNTIF(C25:AH25,"*$FC*")</f>
        <v>0</v>
      </c>
      <c r="BL25" s="313">
        <f>BK25*('Setting key Duty'!$J$11+'Setting key Duty'!$I$8)</f>
        <v>0</v>
      </c>
      <c r="BM25" s="313">
        <f>COUNTIF($C25:$AG25,BM$4)</f>
        <v>0</v>
      </c>
      <c r="BN25" s="313">
        <f>COUNTIF($C25:$AG25,BN$4)</f>
        <v>0</v>
      </c>
      <c r="BO25" s="313">
        <f>COUNTIF($D25:$AE25,BO$4)</f>
        <v>5</v>
      </c>
      <c r="BP25" s="314"/>
    </row>
    <row r="26" ht="19.5" customHeight="1" spans="1:68">
      <c r="A26" s="309"/>
      <c r="B26" s="373" t="s">
        <v>108</v>
      </c>
      <c r="C26" s="317"/>
      <c r="D26" s="324" t="s">
        <v>176</v>
      </c>
      <c r="E26" s="324" t="s">
        <v>176</v>
      </c>
      <c r="F26" s="324" t="s">
        <v>176</v>
      </c>
      <c r="G26" s="324" t="s">
        <v>176</v>
      </c>
      <c r="H26" s="197" t="s">
        <v>179</v>
      </c>
      <c r="I26" s="197"/>
      <c r="J26" s="197"/>
      <c r="K26" s="317" t="s">
        <v>54</v>
      </c>
      <c r="L26" s="317" t="s">
        <v>54</v>
      </c>
      <c r="M26" s="317" t="s">
        <v>54</v>
      </c>
      <c r="N26" s="317" t="s">
        <v>65</v>
      </c>
      <c r="O26" s="317"/>
      <c r="P26" s="317"/>
      <c r="Q26" s="317"/>
      <c r="S26" s="317" t="s">
        <v>54</v>
      </c>
      <c r="T26" s="197" t="s">
        <v>54</v>
      </c>
      <c r="U26" s="197" t="s">
        <v>176</v>
      </c>
      <c r="V26" s="197" t="s">
        <v>180</v>
      </c>
      <c r="W26" s="197"/>
      <c r="X26" s="317"/>
      <c r="Y26" s="197" t="s">
        <v>65</v>
      </c>
      <c r="AA26" s="397"/>
      <c r="AB26" s="198" t="s">
        <v>181</v>
      </c>
      <c r="AC26" s="197"/>
      <c r="AD26" s="197"/>
      <c r="AE26" s="197"/>
      <c r="AF26" s="197" t="s">
        <v>181</v>
      </c>
      <c r="AG26" s="317"/>
      <c r="AH26" s="311"/>
      <c r="AI26" s="312"/>
      <c r="AJ26" s="311"/>
      <c r="AK26" s="313"/>
      <c r="AL26" s="313"/>
      <c r="AM26" s="313"/>
      <c r="AN26" s="313"/>
      <c r="AO26" s="238"/>
      <c r="AP26" s="313">
        <f t="shared" si="3"/>
        <v>0</v>
      </c>
      <c r="AQ26" s="238"/>
      <c r="AR26" s="238">
        <f t="shared" si="4"/>
        <v>0</v>
      </c>
      <c r="AS26" s="238"/>
      <c r="AT26" s="238">
        <f t="shared" si="7"/>
        <v>0</v>
      </c>
      <c r="AU26" s="238">
        <f t="shared" si="8"/>
        <v>0</v>
      </c>
      <c r="AV26" s="238">
        <f t="shared" si="9"/>
        <v>0</v>
      </c>
      <c r="AW26" s="238" t="e">
        <f t="shared" si="20"/>
        <v>#VALUE!</v>
      </c>
      <c r="AX26" s="313" t="e">
        <f>(BI26*('Setting key Duty'!$I$8+'Setting key Duty'!$I$12))+(BG26*'Setting key Duty'!$I$9)+(BB26*('Setting key Duty'!$I$13+'Setting key Duty'!$I$9))+(AZ26*('Setting key Duty'!$I$13+'Setting key Duty'!$I$12+'Setting key Duty'!$I$11))+(BD26*('Setting key Duty'!$I$8+'Setting key Duty'!$I$9+'Setting key Duty'!$I$12))</f>
        <v>#VALUE!</v>
      </c>
      <c r="AY26" s="313"/>
      <c r="AZ26" s="313"/>
      <c r="BA26" s="313"/>
      <c r="BB26" s="313"/>
      <c r="BC26" s="313"/>
      <c r="BD26" s="313"/>
      <c r="BE26" s="313"/>
      <c r="BF26" s="313"/>
      <c r="BG26" s="313"/>
      <c r="BH26" s="313"/>
      <c r="BI26" s="313"/>
      <c r="BJ26" s="313"/>
      <c r="BK26" s="313"/>
      <c r="BL26" s="313"/>
      <c r="BM26" s="313"/>
      <c r="BN26" s="313"/>
      <c r="BO26" s="313"/>
      <c r="BP26" s="314"/>
    </row>
    <row r="27" ht="19.5" customHeight="1" spans="1:68">
      <c r="A27" s="309"/>
      <c r="B27" s="373" t="s">
        <v>119</v>
      </c>
      <c r="C27" s="317"/>
      <c r="D27" s="197" t="s">
        <v>65</v>
      </c>
      <c r="F27" s="197" t="s">
        <v>173</v>
      </c>
      <c r="G27" s="198" t="s">
        <v>174</v>
      </c>
      <c r="H27" s="324" t="s">
        <v>65</v>
      </c>
      <c r="I27" s="317"/>
      <c r="K27" s="317" t="s">
        <v>93</v>
      </c>
      <c r="L27" s="197" t="s">
        <v>69</v>
      </c>
      <c r="M27" s="317" t="s">
        <v>65</v>
      </c>
      <c r="O27" s="197" t="s">
        <v>65</v>
      </c>
      <c r="P27" s="197"/>
      <c r="R27" s="197" t="s">
        <v>93</v>
      </c>
      <c r="S27" s="317" t="s">
        <v>54</v>
      </c>
      <c r="T27" s="317" t="s">
        <v>54</v>
      </c>
      <c r="U27" s="317" t="s">
        <v>54</v>
      </c>
      <c r="V27" s="317" t="s">
        <v>54</v>
      </c>
      <c r="W27" s="317" t="s">
        <v>54</v>
      </c>
      <c r="X27" s="317" t="s">
        <v>54</v>
      </c>
      <c r="Y27" s="197" t="s">
        <v>93</v>
      </c>
      <c r="Z27" s="197"/>
      <c r="AA27" s="396" t="s">
        <v>65</v>
      </c>
      <c r="AB27" s="197"/>
      <c r="AC27" s="197"/>
      <c r="AD27" s="197" t="s">
        <v>65</v>
      </c>
      <c r="AE27" s="197"/>
      <c r="AF27" s="197"/>
      <c r="AG27" s="197" t="s">
        <v>65</v>
      </c>
      <c r="AH27" s="311"/>
      <c r="AI27" s="312"/>
      <c r="AJ27" s="311"/>
      <c r="AK27" s="313"/>
      <c r="AL27" s="313"/>
      <c r="AM27" s="313"/>
      <c r="AN27" s="313"/>
      <c r="AO27" s="238"/>
      <c r="AP27" s="313">
        <f t="shared" si="3"/>
        <v>0</v>
      </c>
      <c r="AQ27" s="238"/>
      <c r="AR27" s="238">
        <f t="shared" si="4"/>
        <v>0</v>
      </c>
      <c r="AS27" s="238"/>
      <c r="AT27" s="238">
        <f t="shared" si="7"/>
        <v>0</v>
      </c>
      <c r="AU27" s="238">
        <f t="shared" si="8"/>
        <v>0</v>
      </c>
      <c r="AV27" s="238">
        <f t="shared" si="9"/>
        <v>0</v>
      </c>
      <c r="AW27" s="238" t="e">
        <f t="shared" si="20"/>
        <v>#VALUE!</v>
      </c>
      <c r="AX27" s="313" t="e">
        <f>(BI27*('Setting key Duty'!$I$8+'Setting key Duty'!$I$12))+(BG27*'Setting key Duty'!$I$9)+(BB27*('Setting key Duty'!$I$13+'Setting key Duty'!$I$9))+(AZ27*('Setting key Duty'!$I$13+'Setting key Duty'!$I$12+'Setting key Duty'!$I$11))+(BD27*('Setting key Duty'!$I$8+'Setting key Duty'!$I$9+'Setting key Duty'!$I$12))</f>
        <v>#VALUE!</v>
      </c>
      <c r="AY27" s="313"/>
      <c r="AZ27" s="313"/>
      <c r="BA27" s="313"/>
      <c r="BB27" s="313"/>
      <c r="BC27" s="313"/>
      <c r="BD27" s="313"/>
      <c r="BE27" s="313"/>
      <c r="BF27" s="313"/>
      <c r="BG27" s="313"/>
      <c r="BH27" s="313"/>
      <c r="BI27" s="313"/>
      <c r="BJ27" s="313"/>
      <c r="BK27" s="313"/>
      <c r="BL27" s="313"/>
      <c r="BM27" s="313"/>
      <c r="BN27" s="313"/>
      <c r="BO27" s="313"/>
      <c r="BP27" s="314"/>
    </row>
    <row r="28" ht="19.5" customHeight="1" spans="1:68">
      <c r="A28" s="309"/>
      <c r="B28" s="373" t="s">
        <v>121</v>
      </c>
      <c r="C28" s="106"/>
      <c r="D28" s="197" t="s">
        <v>182</v>
      </c>
      <c r="E28" s="197"/>
      <c r="F28" s="197" t="s">
        <v>173</v>
      </c>
      <c r="G28" s="198" t="s">
        <v>174</v>
      </c>
      <c r="H28" s="317" t="s">
        <v>93</v>
      </c>
      <c r="I28" s="317"/>
      <c r="J28" s="106"/>
      <c r="K28" s="317" t="s">
        <v>54</v>
      </c>
      <c r="L28" s="317" t="s">
        <v>54</v>
      </c>
      <c r="M28" s="317" t="s">
        <v>54</v>
      </c>
      <c r="N28" s="317" t="s">
        <v>93</v>
      </c>
      <c r="O28" s="4"/>
      <c r="P28" s="317" t="s">
        <v>65</v>
      </c>
      <c r="Q28" s="197"/>
      <c r="R28" s="197" t="s">
        <v>65</v>
      </c>
      <c r="S28" s="197" t="s">
        <v>183</v>
      </c>
      <c r="U28" s="197"/>
      <c r="V28" s="197" t="s">
        <v>93</v>
      </c>
      <c r="W28" s="197"/>
      <c r="X28" s="197"/>
      <c r="Y28" s="197"/>
      <c r="Z28" s="197" t="s">
        <v>65</v>
      </c>
      <c r="AA28" s="396"/>
      <c r="AB28" s="197" t="s">
        <v>93</v>
      </c>
      <c r="AC28" s="197" t="s">
        <v>93</v>
      </c>
      <c r="AD28" s="197"/>
      <c r="AE28" s="197"/>
      <c r="AF28" s="197" t="s">
        <v>65</v>
      </c>
      <c r="AG28" s="106"/>
      <c r="AH28" s="311"/>
      <c r="AI28" s="312"/>
      <c r="AJ28" s="311"/>
      <c r="AK28" s="313"/>
      <c r="AL28" s="313"/>
      <c r="AM28" s="313"/>
      <c r="AN28" s="313"/>
      <c r="AO28" s="238"/>
      <c r="AP28" s="313">
        <f t="shared" si="3"/>
        <v>0</v>
      </c>
      <c r="AQ28" s="238"/>
      <c r="AR28" s="238">
        <f t="shared" si="4"/>
        <v>0</v>
      </c>
      <c r="AS28" s="238"/>
      <c r="AT28" s="238">
        <f t="shared" si="7"/>
        <v>0</v>
      </c>
      <c r="AU28" s="238">
        <f t="shared" si="8"/>
        <v>0</v>
      </c>
      <c r="AV28" s="238">
        <f t="shared" si="9"/>
        <v>0</v>
      </c>
      <c r="AW28" s="238" t="e">
        <f t="shared" si="20"/>
        <v>#VALUE!</v>
      </c>
      <c r="AX28" s="313" t="e">
        <f>(BI28*('Setting key Duty'!$I$8+'Setting key Duty'!$I$12))+(BG28*'Setting key Duty'!$I$9)+(BB28*('Setting key Duty'!$I$13+'Setting key Duty'!$I$9))+(AZ28*('Setting key Duty'!$I$13+'Setting key Duty'!$I$12+'Setting key Duty'!$I$11))+(BD28*('Setting key Duty'!$I$8+'Setting key Duty'!$I$9+'Setting key Duty'!$I$12))</f>
        <v>#VALUE!</v>
      </c>
      <c r="AY28" s="313"/>
      <c r="AZ28" s="313"/>
      <c r="BA28" s="313"/>
      <c r="BB28" s="313"/>
      <c r="BC28" s="313"/>
      <c r="BD28" s="313"/>
      <c r="BE28" s="313"/>
      <c r="BF28" s="313"/>
      <c r="BG28" s="313"/>
      <c r="BH28" s="313"/>
      <c r="BI28" s="313"/>
      <c r="BJ28" s="313"/>
      <c r="BK28" s="313"/>
      <c r="BL28" s="313"/>
      <c r="BM28" s="313"/>
      <c r="BN28" s="313"/>
      <c r="BO28" s="313"/>
      <c r="BP28" s="314"/>
    </row>
    <row r="29" ht="19.5" customHeight="1" spans="1:68">
      <c r="A29" s="309"/>
      <c r="B29" s="373" t="s">
        <v>129</v>
      </c>
      <c r="C29" s="317" t="s">
        <v>65</v>
      </c>
      <c r="D29" s="197" t="s">
        <v>93</v>
      </c>
      <c r="E29" s="197" t="s">
        <v>184</v>
      </c>
      <c r="F29" s="197" t="s">
        <v>165</v>
      </c>
      <c r="G29" s="317" t="s">
        <v>93</v>
      </c>
      <c r="H29" s="197" t="s">
        <v>71</v>
      </c>
      <c r="I29" s="197" t="s">
        <v>71</v>
      </c>
      <c r="J29" s="317" t="s">
        <v>65</v>
      </c>
      <c r="K29" s="317"/>
      <c r="L29" s="197" t="s">
        <v>172</v>
      </c>
      <c r="M29" s="317" t="s">
        <v>93</v>
      </c>
      <c r="N29" s="197" t="s">
        <v>185</v>
      </c>
      <c r="O29" s="317"/>
      <c r="P29" s="197"/>
      <c r="S29" s="197"/>
      <c r="T29" s="197" t="s">
        <v>65</v>
      </c>
      <c r="U29" s="197" t="s">
        <v>93</v>
      </c>
      <c r="V29" s="197" t="s">
        <v>181</v>
      </c>
      <c r="W29" s="197"/>
      <c r="X29" s="197"/>
      <c r="Y29" s="197" t="s">
        <v>181</v>
      </c>
      <c r="Z29" s="197" t="s">
        <v>93</v>
      </c>
      <c r="AA29" s="396"/>
      <c r="AB29" s="197" t="s">
        <v>65</v>
      </c>
      <c r="AC29" s="197"/>
      <c r="AD29" s="317"/>
      <c r="AE29" s="197"/>
      <c r="AF29" s="197" t="s">
        <v>93</v>
      </c>
      <c r="AH29" s="311"/>
      <c r="AI29" s="312"/>
      <c r="AJ29" s="311"/>
      <c r="AK29" s="313"/>
      <c r="AL29" s="313"/>
      <c r="AM29" s="313"/>
      <c r="AN29" s="313"/>
      <c r="AO29" s="238"/>
      <c r="AP29" s="313">
        <f t="shared" si="3"/>
        <v>0</v>
      </c>
      <c r="AQ29" s="238"/>
      <c r="AR29" s="238">
        <f t="shared" si="4"/>
        <v>0</v>
      </c>
      <c r="AS29" s="238"/>
      <c r="AT29" s="238">
        <f t="shared" si="7"/>
        <v>0</v>
      </c>
      <c r="AU29" s="238">
        <f t="shared" si="8"/>
        <v>0</v>
      </c>
      <c r="AV29" s="238">
        <f t="shared" si="9"/>
        <v>0</v>
      </c>
      <c r="AW29" s="238" t="e">
        <f t="shared" si="20"/>
        <v>#VALUE!</v>
      </c>
      <c r="AX29" s="313" t="e">
        <f>(BI29*('Setting key Duty'!$I$8+'Setting key Duty'!$I$12))+(BG29*'Setting key Duty'!$I$9)+(BB29*('Setting key Duty'!$I$13+'Setting key Duty'!$I$9))+(AZ29*('Setting key Duty'!$I$13+'Setting key Duty'!$I$12+'Setting key Duty'!$I$11))+(BD29*('Setting key Duty'!$I$8+'Setting key Duty'!$I$9+'Setting key Duty'!$I$12))</f>
        <v>#VALUE!</v>
      </c>
      <c r="AY29" s="313"/>
      <c r="AZ29" s="313"/>
      <c r="BA29" s="313"/>
      <c r="BB29" s="313"/>
      <c r="BC29" s="313"/>
      <c r="BD29" s="313"/>
      <c r="BE29" s="313"/>
      <c r="BF29" s="313"/>
      <c r="BG29" s="313"/>
      <c r="BH29" s="313"/>
      <c r="BI29" s="313"/>
      <c r="BJ29" s="313"/>
      <c r="BK29" s="313"/>
      <c r="BL29" s="313"/>
      <c r="BM29" s="313"/>
      <c r="BN29" s="313"/>
      <c r="BO29" s="313"/>
      <c r="BP29" s="314"/>
    </row>
    <row r="30" ht="19.5" customHeight="1" spans="1:68">
      <c r="A30" s="309"/>
      <c r="B30" s="373" t="s">
        <v>134</v>
      </c>
      <c r="C30" s="317"/>
      <c r="D30" s="197" t="s">
        <v>184</v>
      </c>
      <c r="F30" s="197" t="s">
        <v>173</v>
      </c>
      <c r="G30" s="198" t="s">
        <v>174</v>
      </c>
      <c r="H30" s="317"/>
      <c r="L30" s="197" t="s">
        <v>186</v>
      </c>
      <c r="M30" s="197" t="s">
        <v>187</v>
      </c>
      <c r="O30" s="317" t="s">
        <v>93</v>
      </c>
      <c r="Q30" s="197" t="s">
        <v>65</v>
      </c>
      <c r="R30" s="197"/>
      <c r="S30" s="197" t="s">
        <v>93</v>
      </c>
      <c r="T30" s="197" t="s">
        <v>93</v>
      </c>
      <c r="V30" s="197" t="s">
        <v>164</v>
      </c>
      <c r="W30" s="317" t="s">
        <v>65</v>
      </c>
      <c r="Z30" s="398"/>
      <c r="AA30" s="396"/>
      <c r="AC30" s="197" t="s">
        <v>65</v>
      </c>
      <c r="AD30" s="197"/>
      <c r="AG30" s="317"/>
      <c r="AH30" s="311"/>
      <c r="AI30" s="312"/>
      <c r="AJ30" s="311"/>
      <c r="AK30" s="313"/>
      <c r="AL30" s="313"/>
      <c r="AM30" s="313"/>
      <c r="AN30" s="313"/>
      <c r="AO30" s="238"/>
      <c r="AP30" s="313">
        <f t="shared" si="3"/>
        <v>0</v>
      </c>
      <c r="AQ30" s="238"/>
      <c r="AR30" s="238">
        <f t="shared" si="4"/>
        <v>0</v>
      </c>
      <c r="AS30" s="238"/>
      <c r="AT30" s="238">
        <f t="shared" si="7"/>
        <v>0</v>
      </c>
      <c r="AU30" s="238">
        <f t="shared" si="8"/>
        <v>0</v>
      </c>
      <c r="AV30" s="238">
        <f t="shared" si="9"/>
        <v>0</v>
      </c>
      <c r="AW30" s="238" t="e">
        <f t="shared" si="20"/>
        <v>#VALUE!</v>
      </c>
      <c r="AX30" s="313" t="e">
        <f>(BI30*('Setting key Duty'!$I$8+'Setting key Duty'!$I$12))+(BG30*'Setting key Duty'!$I$9)+(BB30*('Setting key Duty'!$I$13+'Setting key Duty'!$I$9))+(AZ30*('Setting key Duty'!$I$13+'Setting key Duty'!$I$12+'Setting key Duty'!$I$11))+(BD30*('Setting key Duty'!$I$8+'Setting key Duty'!$I$9+'Setting key Duty'!$I$12))</f>
        <v>#VALUE!</v>
      </c>
      <c r="AY30" s="313"/>
      <c r="AZ30" s="313"/>
      <c r="BA30" s="313"/>
      <c r="BB30" s="313"/>
      <c r="BC30" s="313"/>
      <c r="BD30" s="313"/>
      <c r="BE30" s="313"/>
      <c r="BF30" s="313"/>
      <c r="BG30" s="313"/>
      <c r="BH30" s="313"/>
      <c r="BI30" s="313"/>
      <c r="BJ30" s="313"/>
      <c r="BK30" s="313"/>
      <c r="BL30" s="313"/>
      <c r="BM30" s="313"/>
      <c r="BN30" s="313"/>
      <c r="BO30" s="313"/>
      <c r="BP30" s="314"/>
    </row>
    <row r="31" ht="43.5" customHeight="1" spans="1:68">
      <c r="A31" s="309"/>
      <c r="B31" s="373" t="s">
        <v>142</v>
      </c>
      <c r="D31" s="197" t="s">
        <v>175</v>
      </c>
      <c r="E31" s="197" t="s">
        <v>93</v>
      </c>
      <c r="F31" s="197" t="s">
        <v>173</v>
      </c>
      <c r="G31" s="198" t="s">
        <v>174</v>
      </c>
      <c r="H31" s="197"/>
      <c r="I31" s="317" t="s">
        <v>65</v>
      </c>
      <c r="J31" s="197"/>
      <c r="K31" s="317" t="s">
        <v>65</v>
      </c>
      <c r="L31" s="197" t="s">
        <v>172</v>
      </c>
      <c r="M31" s="197" t="s">
        <v>188</v>
      </c>
      <c r="N31" s="317"/>
      <c r="O31" s="317" t="s">
        <v>164</v>
      </c>
      <c r="P31" s="317" t="s">
        <v>54</v>
      </c>
      <c r="Q31" s="317" t="s">
        <v>54</v>
      </c>
      <c r="R31" s="317" t="s">
        <v>54</v>
      </c>
      <c r="S31" s="317" t="s">
        <v>54</v>
      </c>
      <c r="T31" s="317" t="s">
        <v>54</v>
      </c>
      <c r="U31" s="317" t="s">
        <v>54</v>
      </c>
      <c r="V31" s="317" t="s">
        <v>54</v>
      </c>
      <c r="W31" s="317" t="s">
        <v>54</v>
      </c>
      <c r="X31" s="317" t="s">
        <v>54</v>
      </c>
      <c r="Y31" s="317" t="s">
        <v>54</v>
      </c>
      <c r="Z31" s="317" t="s">
        <v>54</v>
      </c>
      <c r="AA31" s="399" t="s">
        <v>54</v>
      </c>
      <c r="AD31" s="317"/>
      <c r="AE31" s="317"/>
      <c r="AF31" s="317"/>
      <c r="AG31" s="197" t="s">
        <v>93</v>
      </c>
      <c r="AH31" s="311"/>
      <c r="AI31" s="312"/>
      <c r="AJ31" s="311"/>
      <c r="AK31" s="313"/>
      <c r="AL31" s="313"/>
      <c r="AM31" s="313"/>
      <c r="AN31" s="313"/>
      <c r="AO31" s="238"/>
      <c r="AP31" s="313">
        <f t="shared" si="3"/>
        <v>0</v>
      </c>
      <c r="AQ31" s="238"/>
      <c r="AR31" s="238">
        <f t="shared" si="4"/>
        <v>0</v>
      </c>
      <c r="AS31" s="238"/>
      <c r="AT31" s="238">
        <f t="shared" si="7"/>
        <v>0</v>
      </c>
      <c r="AU31" s="238">
        <f t="shared" si="8"/>
        <v>0</v>
      </c>
      <c r="AV31" s="238">
        <f t="shared" si="9"/>
        <v>0</v>
      </c>
      <c r="AW31" s="238" t="e">
        <f t="shared" si="20"/>
        <v>#VALUE!</v>
      </c>
      <c r="AX31" s="313" t="e">
        <f>(BI31*('Setting key Duty'!$I$8+'Setting key Duty'!$I$12))+(BG31*'Setting key Duty'!$I$9)+(BB31*('Setting key Duty'!$I$13+'Setting key Duty'!$I$9))+(AZ31*('Setting key Duty'!$I$13+'Setting key Duty'!$I$12+'Setting key Duty'!$I$11))+(BD31*('Setting key Duty'!$I$8+'Setting key Duty'!$I$9+'Setting key Duty'!$I$12))</f>
        <v>#VALUE!</v>
      </c>
      <c r="AY31" s="313"/>
      <c r="AZ31" s="313"/>
      <c r="BA31" s="313"/>
      <c r="BB31" s="313"/>
      <c r="BC31" s="313"/>
      <c r="BD31" s="313"/>
      <c r="BE31" s="313"/>
      <c r="BF31" s="313"/>
      <c r="BG31" s="313"/>
      <c r="BH31" s="313"/>
      <c r="BI31" s="313"/>
      <c r="BJ31" s="313"/>
      <c r="BK31" s="313"/>
      <c r="BL31" s="313"/>
      <c r="BM31" s="313"/>
      <c r="BN31" s="313"/>
      <c r="BO31" s="313"/>
      <c r="BP31" s="314"/>
    </row>
    <row r="32" ht="19.5" customHeight="1" spans="1:68">
      <c r="A32" s="309"/>
      <c r="B32" s="376" t="s">
        <v>189</v>
      </c>
      <c r="C32" s="324"/>
      <c r="D32" s="324" t="s">
        <v>150</v>
      </c>
      <c r="E32" s="324" t="s">
        <v>150</v>
      </c>
      <c r="F32" s="324" t="s">
        <v>150</v>
      </c>
      <c r="G32" s="324"/>
      <c r="H32" s="317"/>
      <c r="I32" s="317"/>
      <c r="J32" s="106"/>
      <c r="K32" s="317" t="s">
        <v>69</v>
      </c>
      <c r="L32" s="324"/>
      <c r="M32" s="317"/>
      <c r="N32" s="106"/>
      <c r="O32" s="317" t="s">
        <v>69</v>
      </c>
      <c r="P32" s="317"/>
      <c r="Q32" s="106"/>
      <c r="R32" s="317" t="s">
        <v>190</v>
      </c>
      <c r="S32" s="317" t="s">
        <v>190</v>
      </c>
      <c r="T32" s="317" t="s">
        <v>190</v>
      </c>
      <c r="U32" s="317" t="s">
        <v>190</v>
      </c>
      <c r="V32" s="317" t="s">
        <v>190</v>
      </c>
      <c r="W32" s="106"/>
      <c r="X32" s="155"/>
      <c r="Y32" s="324"/>
      <c r="Z32" s="106"/>
      <c r="AA32" s="400"/>
      <c r="AB32" s="106"/>
      <c r="AC32" s="106"/>
      <c r="AD32" s="106"/>
      <c r="AE32" s="106"/>
      <c r="AF32" s="317"/>
      <c r="AG32" s="317"/>
      <c r="AH32" s="311"/>
      <c r="AI32" s="312"/>
      <c r="AJ32" s="311"/>
      <c r="AK32" s="313"/>
      <c r="AL32" s="313"/>
      <c r="AM32" s="313"/>
      <c r="AN32" s="313"/>
      <c r="AO32" s="238"/>
      <c r="AP32" s="313"/>
      <c r="AQ32" s="238"/>
      <c r="AR32" s="238"/>
      <c r="AS32" s="238"/>
      <c r="AT32" s="238"/>
      <c r="AU32" s="238"/>
      <c r="AV32" s="238"/>
      <c r="AW32" s="238"/>
      <c r="AX32" s="313"/>
      <c r="AY32" s="313"/>
      <c r="AZ32" s="313"/>
      <c r="BA32" s="313"/>
      <c r="BB32" s="313"/>
      <c r="BC32" s="313"/>
      <c r="BD32" s="313"/>
      <c r="BE32" s="313"/>
      <c r="BF32" s="313"/>
      <c r="BG32" s="313"/>
      <c r="BH32" s="313"/>
      <c r="BI32" s="313"/>
      <c r="BJ32" s="313"/>
      <c r="BK32" s="313"/>
      <c r="BL32" s="313"/>
      <c r="BM32" s="313"/>
      <c r="BN32" s="313"/>
      <c r="BO32" s="313"/>
      <c r="BP32" s="314"/>
    </row>
    <row r="33" ht="19.5" customHeight="1" spans="1:68">
      <c r="A33" s="309"/>
      <c r="B33" s="347" t="s">
        <v>191</v>
      </c>
      <c r="C33" s="324"/>
      <c r="D33" s="324" t="s">
        <v>150</v>
      </c>
      <c r="E33" s="324" t="s">
        <v>150</v>
      </c>
      <c r="F33" s="324" t="s">
        <v>150</v>
      </c>
      <c r="G33" s="324"/>
      <c r="H33" s="317"/>
      <c r="I33" s="317"/>
      <c r="J33" s="106"/>
      <c r="K33" s="324"/>
      <c r="M33" s="324"/>
      <c r="N33" s="106"/>
      <c r="O33" s="317"/>
      <c r="P33" s="317"/>
      <c r="Q33" s="106"/>
      <c r="R33" s="317" t="s">
        <v>190</v>
      </c>
      <c r="S33" s="317" t="s">
        <v>190</v>
      </c>
      <c r="T33" s="317" t="s">
        <v>190</v>
      </c>
      <c r="U33" s="317" t="s">
        <v>190</v>
      </c>
      <c r="V33" s="317" t="s">
        <v>190</v>
      </c>
      <c r="W33" s="106"/>
      <c r="X33" s="155"/>
      <c r="Y33" s="324">
        <v>1</v>
      </c>
      <c r="Z33" s="106"/>
      <c r="AA33" s="400"/>
      <c r="AB33" s="317" t="s">
        <v>55</v>
      </c>
      <c r="AC33" s="317"/>
      <c r="AD33" s="106"/>
      <c r="AE33" s="106"/>
      <c r="AF33" s="317">
        <v>2</v>
      </c>
      <c r="AG33" s="317"/>
      <c r="AH33" s="311"/>
      <c r="AI33" s="312"/>
      <c r="AJ33" s="311"/>
      <c r="AK33" s="313"/>
      <c r="AL33" s="313"/>
      <c r="AM33" s="313"/>
      <c r="AN33" s="313"/>
      <c r="AO33" s="238"/>
      <c r="AP33" s="313">
        <f>SUMPRODUCT(--WEEKDAY(C$3:AG$3,2)&lt;6,--((C33:AG33="DM"))+(C33:AG33="CS1")+((C33:AG33="CS2"))+(C33:AG33="SB1")+(C33:AG33="AE")+(C33:AG33="EM"))</f>
        <v>0</v>
      </c>
      <c r="AQ33" s="238"/>
      <c r="AR33" s="238">
        <f>SUMPRODUCT(--WEEKDAY(C$3:AG$3,2)&gt;5,--((C33:AG33="DM"))+(C33:AG33="CS1")+((C33:AG33="CS2"))+(C33:AG33="SB1")+(C33:AG33="AE")+(C33:AG33="EM"))</f>
        <v>0</v>
      </c>
      <c r="AS33" s="238"/>
      <c r="AT33" s="238">
        <f>(AP33-AQ33)/2+(AR33-AS33)</f>
        <v>0</v>
      </c>
      <c r="AU33" s="238">
        <f>AH33+AI33+AJ33+AK33+AM33+AN33</f>
        <v>0</v>
      </c>
      <c r="AV33" s="238">
        <f>BF33+BG33+BI33+BD33+BB33+AZ33+BK33</f>
        <v>0</v>
      </c>
      <c r="AW33" s="238" t="e">
        <f>AT33+AX33</f>
        <v>#VALUE!</v>
      </c>
      <c r="AX33" s="313" t="e">
        <f>(BI33*('Setting key Duty'!$I$8+'Setting key Duty'!$I$12))+(BG33*'Setting key Duty'!$I$9)+(BB33*('Setting key Duty'!$I$13+'Setting key Duty'!$I$9))+(AZ33*('Setting key Duty'!$I$13+'Setting key Duty'!$I$12+'Setting key Duty'!$I$11))+(BD33*('Setting key Duty'!$I$8+'Setting key Duty'!$I$9+'Setting key Duty'!$I$12))</f>
        <v>#VALUE!</v>
      </c>
      <c r="AY33" s="313">
        <f>COUNTIF(C33:Y33,"*BRT*")</f>
        <v>0</v>
      </c>
      <c r="AZ33" s="313">
        <f>COUNTIF(A33:AH33,"*$BTP*")</f>
        <v>0</v>
      </c>
      <c r="BA33" s="313" t="e">
        <f>AZ33*('Setting key Duty'!$I$13+'Setting key Duty'!$I$12+'Setting key Duty'!$I$11)</f>
        <v>#VALUE!</v>
      </c>
      <c r="BB33" s="313">
        <f>COUNTIF(D33:AH33,"*$L*")</f>
        <v>0</v>
      </c>
      <c r="BC33" s="313" t="e">
        <f>BB33*('Setting key Duty'!$I$13+'Setting key Duty'!$I$9)</f>
        <v>#VALUE!</v>
      </c>
      <c r="BD33" s="313">
        <f>COUNTIF(D33:AH33,"*$M*")</f>
        <v>0</v>
      </c>
      <c r="BE33" s="313">
        <f>BD33*('Setting key Duty'!$I$8+'Setting key Duty'!$I$9+'Setting key Duty'!$I$12)</f>
        <v>0</v>
      </c>
      <c r="BF33" s="313">
        <f>COUNTIF(D33:AH33,"*$N*")</f>
        <v>0</v>
      </c>
      <c r="BG33" s="313">
        <f>COUNTIF(D33:AH33,"*$PM*")</f>
        <v>0</v>
      </c>
      <c r="BH33" s="313">
        <f>BG33*('Setting key Duty'!$I$9)</f>
        <v>0</v>
      </c>
      <c r="BI33" s="313">
        <f>COUNTIF(D33:AH33,"*$AM*")</f>
        <v>0</v>
      </c>
      <c r="BJ33" s="313">
        <f>BI33*('Setting key Duty'!$I$12+'Setting key Duty'!$I$8)</f>
        <v>0</v>
      </c>
      <c r="BK33" s="313">
        <f>COUNTIF(C33:AH33,"*$FC*")</f>
        <v>0</v>
      </c>
      <c r="BL33" s="313">
        <f>BK33*('Setting key Duty'!$J$11+'Setting key Duty'!$I$8)</f>
        <v>0</v>
      </c>
      <c r="BM33" s="313">
        <f>COUNTIF($C33:$AG33,BM$4)</f>
        <v>0</v>
      </c>
      <c r="BN33" s="313">
        <f>COUNTIF($C33:$AG33,BN$4)</f>
        <v>0</v>
      </c>
      <c r="BO33" s="313">
        <f>COUNTIF($D33:$AE33,BO$4)</f>
        <v>1</v>
      </c>
      <c r="BP33" s="314"/>
    </row>
    <row r="34" ht="19.5" customHeight="1" spans="1:68">
      <c r="A34" s="309"/>
      <c r="B34" s="347" t="s">
        <v>192</v>
      </c>
      <c r="C34" s="317"/>
      <c r="D34" s="317"/>
      <c r="E34" s="317"/>
      <c r="F34" s="317"/>
      <c r="G34" s="324"/>
      <c r="H34" s="317"/>
      <c r="I34" s="317"/>
      <c r="J34" s="317"/>
      <c r="L34" s="317"/>
      <c r="M34" s="106"/>
      <c r="N34" s="317" t="s">
        <v>69</v>
      </c>
      <c r="O34" s="317"/>
      <c r="P34" s="317"/>
      <c r="Q34" s="106"/>
      <c r="R34" s="317" t="s">
        <v>190</v>
      </c>
      <c r="S34" s="317" t="s">
        <v>190</v>
      </c>
      <c r="T34" s="317" t="s">
        <v>190</v>
      </c>
      <c r="U34" s="317" t="s">
        <v>190</v>
      </c>
      <c r="V34" s="317" t="s">
        <v>190</v>
      </c>
      <c r="W34" s="320"/>
      <c r="X34" s="317"/>
      <c r="Y34" s="324"/>
      <c r="Z34" s="317"/>
      <c r="AA34" s="399"/>
      <c r="AB34" s="317" t="s">
        <v>55</v>
      </c>
      <c r="AC34" s="317" t="s">
        <v>55</v>
      </c>
      <c r="AD34" s="317"/>
      <c r="AE34" s="317"/>
      <c r="AF34" s="317">
        <v>1</v>
      </c>
      <c r="AG34" s="317"/>
      <c r="AH34" s="311"/>
      <c r="AI34" s="312"/>
      <c r="AJ34" s="311"/>
      <c r="AK34" s="344"/>
      <c r="AL34" s="344"/>
      <c r="AM34" s="344"/>
      <c r="AN34" s="344"/>
      <c r="AO34" s="246"/>
      <c r="AP34" s="313"/>
      <c r="AQ34" s="246"/>
      <c r="AR34" s="238"/>
      <c r="AS34" s="246"/>
      <c r="AT34" s="246"/>
      <c r="AU34" s="238"/>
      <c r="AV34" s="238"/>
      <c r="AW34" s="238"/>
      <c r="AX34" s="313"/>
      <c r="AY34" s="313"/>
      <c r="AZ34" s="313"/>
      <c r="BA34" s="313"/>
      <c r="BB34" s="313"/>
      <c r="BC34" s="313"/>
      <c r="BD34" s="313"/>
      <c r="BE34" s="313"/>
      <c r="BF34" s="313"/>
      <c r="BG34" s="313"/>
      <c r="BH34" s="313"/>
      <c r="BI34" s="313"/>
      <c r="BJ34" s="313"/>
      <c r="BK34" s="313"/>
      <c r="BL34" s="313"/>
      <c r="BM34" s="344"/>
      <c r="BN34" s="344"/>
      <c r="BO34" s="344"/>
      <c r="BP34" s="345"/>
    </row>
    <row r="35" ht="19.5" customHeight="1" spans="1:68">
      <c r="A35" s="309"/>
      <c r="B35" s="347" t="s">
        <v>193</v>
      </c>
      <c r="C35" s="349"/>
      <c r="D35" s="317"/>
      <c r="E35" s="317"/>
      <c r="F35" s="317"/>
      <c r="G35" s="324"/>
      <c r="H35" s="317"/>
      <c r="I35" s="317"/>
      <c r="J35" s="317"/>
      <c r="K35" s="317"/>
      <c r="L35" s="317" t="s">
        <v>69</v>
      </c>
      <c r="M35" s="106"/>
      <c r="N35" s="317"/>
      <c r="O35" s="317"/>
      <c r="P35" s="317"/>
      <c r="Q35" s="106"/>
      <c r="R35" s="317" t="s">
        <v>55</v>
      </c>
      <c r="S35" s="317" t="s">
        <v>55</v>
      </c>
      <c r="T35" s="317" t="s">
        <v>55</v>
      </c>
      <c r="U35" s="317" t="s">
        <v>55</v>
      </c>
      <c r="V35" s="317" t="s">
        <v>55</v>
      </c>
      <c r="W35" s="320"/>
      <c r="X35" s="317"/>
      <c r="Y35" s="317"/>
      <c r="Z35" s="317"/>
      <c r="AA35" s="399"/>
      <c r="AB35" s="317"/>
      <c r="AC35" s="317"/>
      <c r="AD35" s="317"/>
      <c r="AE35" s="317"/>
      <c r="AF35" s="317"/>
      <c r="AG35" s="317"/>
      <c r="AH35" s="311"/>
      <c r="AI35" s="312"/>
      <c r="AJ35" s="311"/>
      <c r="AK35" s="344"/>
      <c r="AL35" s="344"/>
      <c r="AM35" s="344"/>
      <c r="AN35" s="344"/>
      <c r="AO35" s="246"/>
      <c r="AP35" s="313"/>
      <c r="AQ35" s="246"/>
      <c r="AR35" s="238"/>
      <c r="AS35" s="246"/>
      <c r="AT35" s="246"/>
      <c r="AU35" s="238"/>
      <c r="AV35" s="238"/>
      <c r="AW35" s="238"/>
      <c r="AX35" s="313"/>
      <c r="AY35" s="313"/>
      <c r="AZ35" s="313"/>
      <c r="BA35" s="313"/>
      <c r="BB35" s="313"/>
      <c r="BC35" s="313"/>
      <c r="BD35" s="313"/>
      <c r="BE35" s="313"/>
      <c r="BF35" s="313"/>
      <c r="BG35" s="313"/>
      <c r="BH35" s="313"/>
      <c r="BI35" s="313"/>
      <c r="BJ35" s="313"/>
      <c r="BK35" s="313"/>
      <c r="BL35" s="313"/>
      <c r="BM35" s="344"/>
      <c r="BN35" s="344"/>
      <c r="BO35" s="344"/>
      <c r="BP35" s="345"/>
    </row>
    <row r="36" ht="19.5" customHeight="1" spans="1:68">
      <c r="A36" s="309"/>
      <c r="B36" s="347" t="s">
        <v>194</v>
      </c>
      <c r="C36" s="349"/>
      <c r="D36" s="317"/>
      <c r="E36" s="317"/>
      <c r="F36" s="317"/>
      <c r="G36" s="324"/>
      <c r="H36" s="317"/>
      <c r="I36" s="317"/>
      <c r="J36" s="317"/>
      <c r="K36" s="317"/>
      <c r="L36" s="317"/>
      <c r="M36" s="106"/>
      <c r="N36" s="317"/>
      <c r="O36" s="317"/>
      <c r="P36" s="317"/>
      <c r="Q36" s="106"/>
      <c r="R36" s="317" t="s">
        <v>190</v>
      </c>
      <c r="S36" s="317" t="s">
        <v>190</v>
      </c>
      <c r="T36" s="317" t="s">
        <v>190</v>
      </c>
      <c r="U36" s="317" t="s">
        <v>190</v>
      </c>
      <c r="V36" s="317" t="s">
        <v>190</v>
      </c>
      <c r="W36" s="320"/>
      <c r="X36" s="317"/>
      <c r="Y36" s="317"/>
      <c r="Z36" s="317"/>
      <c r="AA36" s="399"/>
      <c r="AB36" s="317"/>
      <c r="AC36" s="317" t="s">
        <v>55</v>
      </c>
      <c r="AD36" s="317"/>
      <c r="AE36" s="317"/>
      <c r="AF36" s="317"/>
      <c r="AG36" s="317"/>
      <c r="AH36" s="311"/>
      <c r="AI36" s="312"/>
      <c r="AJ36" s="311"/>
      <c r="AK36" s="344"/>
      <c r="AL36" s="344"/>
      <c r="AM36" s="344"/>
      <c r="AN36" s="344"/>
      <c r="AO36" s="246"/>
      <c r="AP36" s="313"/>
      <c r="AQ36" s="246"/>
      <c r="AR36" s="238"/>
      <c r="AS36" s="246"/>
      <c r="AT36" s="246"/>
      <c r="AU36" s="238"/>
      <c r="AV36" s="238"/>
      <c r="AW36" s="238"/>
      <c r="AX36" s="313"/>
      <c r="AY36" s="313"/>
      <c r="AZ36" s="313"/>
      <c r="BA36" s="313"/>
      <c r="BB36" s="313"/>
      <c r="BC36" s="313"/>
      <c r="BD36" s="313"/>
      <c r="BE36" s="313"/>
      <c r="BF36" s="313"/>
      <c r="BG36" s="313"/>
      <c r="BH36" s="313"/>
      <c r="BI36" s="313"/>
      <c r="BJ36" s="313"/>
      <c r="BK36" s="313"/>
      <c r="BL36" s="313"/>
      <c r="BM36" s="344"/>
      <c r="BN36" s="344"/>
      <c r="BO36" s="344"/>
      <c r="BP36" s="345"/>
    </row>
    <row r="37" ht="19.5" customHeight="1" spans="1:68">
      <c r="A37" s="309"/>
      <c r="B37" s="347" t="s">
        <v>195</v>
      </c>
      <c r="C37" s="349"/>
      <c r="D37" s="317"/>
      <c r="E37" s="317"/>
      <c r="F37" s="317"/>
      <c r="G37" s="317"/>
      <c r="H37" s="317"/>
      <c r="I37" s="317"/>
      <c r="J37" s="317"/>
      <c r="K37" s="317"/>
      <c r="L37" s="317"/>
      <c r="N37" s="317"/>
      <c r="O37" s="317"/>
      <c r="P37" s="317"/>
      <c r="Q37" s="106"/>
      <c r="R37" s="317" t="s">
        <v>190</v>
      </c>
      <c r="S37" s="317" t="s">
        <v>190</v>
      </c>
      <c r="T37" s="317" t="s">
        <v>190</v>
      </c>
      <c r="U37" s="317" t="s">
        <v>190</v>
      </c>
      <c r="V37" s="317" t="s">
        <v>190</v>
      </c>
      <c r="W37" s="320"/>
      <c r="X37" s="317"/>
      <c r="Y37" s="324">
        <v>1</v>
      </c>
      <c r="Z37" s="317"/>
      <c r="AA37" s="399"/>
      <c r="AB37" s="317"/>
      <c r="AC37" s="317" t="s">
        <v>55</v>
      </c>
      <c r="AD37" s="317"/>
      <c r="AE37" s="317"/>
      <c r="AF37" s="317">
        <v>2</v>
      </c>
      <c r="AG37" s="317"/>
      <c r="AH37" s="311"/>
      <c r="AI37" s="312"/>
      <c r="AJ37" s="311"/>
      <c r="AK37" s="344"/>
      <c r="AL37" s="344"/>
      <c r="AM37" s="344"/>
      <c r="AN37" s="344"/>
      <c r="AO37" s="246"/>
      <c r="AP37" s="313"/>
      <c r="AQ37" s="246"/>
      <c r="AR37" s="238"/>
      <c r="AS37" s="246"/>
      <c r="AT37" s="246"/>
      <c r="AU37" s="238"/>
      <c r="AV37" s="238"/>
      <c r="AW37" s="238"/>
      <c r="AX37" s="313"/>
      <c r="AY37" s="313"/>
      <c r="AZ37" s="313"/>
      <c r="BA37" s="313"/>
      <c r="BB37" s="313"/>
      <c r="BC37" s="313"/>
      <c r="BD37" s="313"/>
      <c r="BE37" s="313"/>
      <c r="BF37" s="313"/>
      <c r="BG37" s="313"/>
      <c r="BH37" s="313"/>
      <c r="BI37" s="313"/>
      <c r="BJ37" s="313"/>
      <c r="BK37" s="313"/>
      <c r="BL37" s="313"/>
      <c r="BM37" s="344"/>
      <c r="BN37" s="344"/>
      <c r="BO37" s="344"/>
      <c r="BP37" s="345"/>
    </row>
    <row r="38" ht="19.5" customHeight="1" spans="1:68">
      <c r="A38" s="309"/>
      <c r="B38" s="354"/>
      <c r="C38" s="349"/>
      <c r="D38" s="317"/>
      <c r="E38" s="317"/>
      <c r="F38" s="317"/>
      <c r="G38" s="317"/>
      <c r="H38" s="317"/>
      <c r="I38" s="317"/>
      <c r="J38" s="317"/>
      <c r="K38" s="317"/>
      <c r="L38" s="317"/>
      <c r="N38" s="317"/>
      <c r="O38" s="317"/>
      <c r="P38" s="317"/>
      <c r="Q38" s="106"/>
      <c r="R38" s="106"/>
      <c r="S38" s="317"/>
      <c r="T38" s="317"/>
      <c r="U38" s="317"/>
      <c r="V38" s="317"/>
      <c r="W38" s="320"/>
      <c r="X38" s="317"/>
      <c r="Y38" s="317"/>
      <c r="Z38" s="317"/>
      <c r="AA38" s="399"/>
      <c r="AB38" s="317"/>
      <c r="AC38" s="317"/>
      <c r="AD38" s="317"/>
      <c r="AE38" s="317"/>
      <c r="AF38" s="317"/>
      <c r="AG38" s="317"/>
      <c r="AH38" s="311"/>
      <c r="AI38" s="312"/>
      <c r="AJ38" s="311"/>
      <c r="AK38" s="344"/>
      <c r="AL38" s="344"/>
      <c r="AM38" s="344"/>
      <c r="AN38" s="344"/>
      <c r="AO38" s="246"/>
      <c r="AP38" s="313"/>
      <c r="AQ38" s="246"/>
      <c r="AR38" s="238"/>
      <c r="AS38" s="246"/>
      <c r="AT38" s="246"/>
      <c r="AU38" s="238"/>
      <c r="AV38" s="238"/>
      <c r="AW38" s="238"/>
      <c r="AX38" s="313"/>
      <c r="AY38" s="313"/>
      <c r="AZ38" s="313"/>
      <c r="BA38" s="313"/>
      <c r="BB38" s="313"/>
      <c r="BC38" s="313"/>
      <c r="BD38" s="313"/>
      <c r="BE38" s="313"/>
      <c r="BF38" s="313"/>
      <c r="BG38" s="313"/>
      <c r="BH38" s="313"/>
      <c r="BI38" s="313"/>
      <c r="BJ38" s="313"/>
      <c r="BK38" s="313"/>
      <c r="BL38" s="313"/>
      <c r="BM38" s="344"/>
      <c r="BN38" s="344"/>
      <c r="BO38" s="344"/>
      <c r="BP38" s="345"/>
    </row>
    <row r="39" ht="19.5" customHeight="1" spans="1:68">
      <c r="A39" s="309"/>
      <c r="B39" s="354" t="s">
        <v>148</v>
      </c>
      <c r="C39" s="349"/>
      <c r="D39" s="317"/>
      <c r="E39" s="317"/>
      <c r="F39" s="317"/>
      <c r="G39" s="317"/>
      <c r="H39" s="317"/>
      <c r="I39" s="317"/>
      <c r="J39" s="317"/>
      <c r="K39" s="317"/>
      <c r="L39" s="317"/>
      <c r="N39" s="317"/>
      <c r="O39" s="317"/>
      <c r="P39" s="317"/>
      <c r="Q39" s="106"/>
      <c r="R39" s="106"/>
      <c r="S39" s="317"/>
      <c r="T39" s="317"/>
      <c r="U39" s="317"/>
      <c r="V39" s="317"/>
      <c r="W39" s="317"/>
      <c r="X39" s="317"/>
      <c r="Y39" s="317"/>
      <c r="Z39" s="317"/>
      <c r="AA39" s="399"/>
      <c r="AB39" s="317"/>
      <c r="AC39" s="317"/>
      <c r="AD39" s="317"/>
      <c r="AE39" s="317"/>
      <c r="AF39" s="317"/>
      <c r="AG39" s="317"/>
      <c r="AH39" s="311">
        <f t="shared" ref="AH39:AN39" si="21">COUNTIF($C39:$AG39,AH$4)</f>
        <v>0</v>
      </c>
      <c r="AI39" s="312">
        <f t="shared" si="21"/>
        <v>0</v>
      </c>
      <c r="AJ39" s="311">
        <f t="shared" si="21"/>
        <v>0</v>
      </c>
      <c r="AK39" s="344">
        <f t="shared" si="21"/>
        <v>0</v>
      </c>
      <c r="AL39" s="344">
        <f t="shared" si="21"/>
        <v>0</v>
      </c>
      <c r="AM39" s="344">
        <f t="shared" si="21"/>
        <v>0</v>
      </c>
      <c r="AN39" s="344">
        <f t="shared" si="21"/>
        <v>0</v>
      </c>
      <c r="AO39" s="246"/>
      <c r="AP39" s="313">
        <f>SUMPRODUCT(--WEEKDAY(C$3:AG$3,2)&lt;6,--((C39:AG39="DM"))+(C39:AG39="CS1")+((C39:AG39="CS2"))+(C39:AG39="SB1")+(C39:AG39="AE")+(C39:AG39="EM"))</f>
        <v>0</v>
      </c>
      <c r="AQ39" s="246"/>
      <c r="AR39" s="238">
        <f>SUMPRODUCT(--WEEKDAY(C$3:AG$3,2)&gt;5,--((C39:AG39="DM"))+(C39:AG39="CS1")+((C39:AG39="CS2"))+(C39:AG39="SB1")+(C39:AG39="AE")+(C39:AG39="EM"))</f>
        <v>0</v>
      </c>
      <c r="AS39" s="246"/>
      <c r="AT39" s="246">
        <f>(AP39-AQ39)/2+(AR39-AS39)</f>
        <v>0</v>
      </c>
      <c r="AU39" s="238">
        <f>AH39+AI39+AJ39+AK39+AM39+AN39</f>
        <v>0</v>
      </c>
      <c r="AV39" s="238">
        <f>BF39+BG39+BI39+BD39+BB39+AZ39+BK39</f>
        <v>0</v>
      </c>
      <c r="AW39" s="238" t="e">
        <f>AT39+AX39</f>
        <v>#VALUE!</v>
      </c>
      <c r="AX39" s="313" t="e">
        <f>(BI39*('Setting key Duty'!$I$8+'Setting key Duty'!$I$12))+(BG39*'Setting key Duty'!$I$9)+(BB39*('Setting key Duty'!$I$13+'Setting key Duty'!$I$9))+(AZ39*('Setting key Duty'!$I$13+'Setting key Duty'!$I$12+'Setting key Duty'!$I$11))+(BD39*('Setting key Duty'!$I$8+'Setting key Duty'!$I$9+'Setting key Duty'!$I$12))</f>
        <v>#VALUE!</v>
      </c>
      <c r="AY39" s="313">
        <f>COUNTIF(C39:AG39,"*BRT*")</f>
        <v>0</v>
      </c>
      <c r="AZ39" s="313">
        <f>COUNTIF(D39:AH39,"*$BTP*")</f>
        <v>0</v>
      </c>
      <c r="BA39" s="313" t="e">
        <f>AZ39*('Setting key Duty'!$I$13+'Setting key Duty'!$I$12+'Setting key Duty'!$I$11)</f>
        <v>#VALUE!</v>
      </c>
      <c r="BB39" s="313">
        <f>COUNTIF(D39:AH39,"*$L*")</f>
        <v>0</v>
      </c>
      <c r="BC39" s="313" t="e">
        <f>BB39*('Setting key Duty'!$I$13+'Setting key Duty'!$I$9)</f>
        <v>#VALUE!</v>
      </c>
      <c r="BD39" s="313">
        <f>COUNTIF(D39:AH39,"*$M*")</f>
        <v>0</v>
      </c>
      <c r="BE39" s="313">
        <f>BD39*('Setting key Duty'!$I$8+'Setting key Duty'!$I$9+'Setting key Duty'!$I$12)</f>
        <v>0</v>
      </c>
      <c r="BF39" s="313">
        <f>COUNTIF(D39:AH39,"*$N*")</f>
        <v>0</v>
      </c>
      <c r="BG39" s="313">
        <f>COUNTIF(D39:AH39,"*$PM*")</f>
        <v>0</v>
      </c>
      <c r="BH39" s="313">
        <f>BG39*('Setting key Duty'!$I$9)</f>
        <v>0</v>
      </c>
      <c r="BI39" s="313">
        <f>COUNTIF(D39:AH39,"*$AM*")</f>
        <v>0</v>
      </c>
      <c r="BJ39" s="313">
        <f>BI39*('Setting key Duty'!$I$12+'Setting key Duty'!$I$8)</f>
        <v>0</v>
      </c>
      <c r="BK39" s="313">
        <f>COUNTIF(C39:AH39,"*$FC*")</f>
        <v>0</v>
      </c>
      <c r="BL39" s="313">
        <f>BK39*('Setting key Duty'!$J$11+'Setting key Duty'!$I$8)</f>
        <v>0</v>
      </c>
      <c r="BM39" s="344">
        <f>COUNTIF($C39:$AG39,BM$4)</f>
        <v>0</v>
      </c>
      <c r="BN39" s="344">
        <f>COUNTIF($C39:$AG39,BN$4)</f>
        <v>0</v>
      </c>
      <c r="BO39" s="344">
        <f>COUNTIF($C39:$AG39,BO$4)</f>
        <v>0</v>
      </c>
      <c r="BP39" s="345"/>
    </row>
    <row r="40" ht="19.5" customHeight="1" spans="1:68">
      <c r="A40" s="309"/>
      <c r="B40" s="357"/>
      <c r="C40" s="358"/>
      <c r="D40" s="359"/>
      <c r="E40" s="359"/>
      <c r="F40" s="359"/>
      <c r="G40" s="359"/>
      <c r="H40" s="35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  <c r="AA40" s="358"/>
      <c r="AB40" s="358"/>
      <c r="AC40" s="358"/>
      <c r="AD40" s="358"/>
      <c r="AE40" s="358"/>
      <c r="AF40" s="358"/>
      <c r="AG40" s="358"/>
      <c r="AH40" s="361"/>
      <c r="AI40" s="362"/>
      <c r="AJ40" s="361"/>
      <c r="AK40" s="363"/>
      <c r="AL40" s="363"/>
      <c r="AM40" s="363"/>
      <c r="AN40" s="363"/>
      <c r="AO40" s="253"/>
      <c r="AP40" s="253"/>
      <c r="AQ40" s="253"/>
      <c r="AR40" s="253">
        <f>SUMPRODUCT(--WEEKDAY(C$3:AG$3,2)&gt;5,--((C40:AG40="DM"))+(C40:AG40="CS1")+((C40:AG40="CS2"))+(C40:AG40="SB1")+(C40:AG40="AE")+(C40:AG40="EM"))</f>
        <v>0</v>
      </c>
      <c r="AS40" s="253"/>
      <c r="AT40" s="253">
        <f>(AP40-AQ40)/2+(AR40-AS40)</f>
        <v>0</v>
      </c>
      <c r="AU40" s="253"/>
      <c r="AV40" s="253"/>
      <c r="AW40" s="253"/>
      <c r="AX40" s="363"/>
      <c r="AY40" s="363"/>
      <c r="AZ40" s="363"/>
      <c r="BA40" s="363"/>
      <c r="BB40" s="363"/>
      <c r="BC40" s="363"/>
      <c r="BD40" s="363"/>
      <c r="BE40" s="363"/>
      <c r="BF40" s="363"/>
      <c r="BG40" s="363"/>
      <c r="BH40" s="363"/>
      <c r="BI40" s="363"/>
      <c r="BJ40" s="363"/>
      <c r="BK40" s="363"/>
      <c r="BL40" s="363"/>
      <c r="BM40" s="363"/>
      <c r="BN40" s="363"/>
      <c r="BO40" s="363"/>
      <c r="BP40" s="364"/>
    </row>
    <row r="41" ht="19.5" customHeight="1" spans="1:68">
      <c r="A41" s="309"/>
      <c r="B41" s="365" t="s">
        <v>57</v>
      </c>
      <c r="C41" s="366" t="str">
        <f t="shared" ref="C41:L41" si="22">VLOOKUP("DM",C4:C39,1,FALSE)</f>
        <v>DM</v>
      </c>
      <c r="D41" s="366" t="str">
        <f t="shared" si="22"/>
        <v>DM</v>
      </c>
      <c r="E41" s="366" t="str">
        <f t="shared" si="22"/>
        <v>DM</v>
      </c>
      <c r="F41" s="366" t="str">
        <f t="shared" si="22"/>
        <v>DM</v>
      </c>
      <c r="G41" s="366" t="str">
        <f t="shared" si="22"/>
        <v>DM</v>
      </c>
      <c r="H41" s="366" t="str">
        <f t="shared" si="22"/>
        <v>DM</v>
      </c>
      <c r="I41" s="366" t="str">
        <f t="shared" si="22"/>
        <v>DM</v>
      </c>
      <c r="J41" s="366" t="str">
        <f t="shared" si="22"/>
        <v>DM</v>
      </c>
      <c r="K41" s="366" t="str">
        <f t="shared" si="22"/>
        <v>DM</v>
      </c>
      <c r="L41" s="366" t="str">
        <f t="shared" si="22"/>
        <v>DM</v>
      </c>
      <c r="M41" s="366" t="str">
        <f>VLOOKUP("DM",M4:M33,1,FALSE)</f>
        <v>DM</v>
      </c>
      <c r="N41" s="366" t="str">
        <f>VLOOKUP("DM",N4:N39,1,FALSE)</f>
        <v>DM</v>
      </c>
      <c r="O41" s="366" t="str">
        <f>VLOOKUP("DM",O4:O39,1,FALSE)</f>
        <v>DM</v>
      </c>
      <c r="P41" s="366" t="str">
        <f>VLOOKUP("DM",P4:P39,1,FALSE)</f>
        <v>DM</v>
      </c>
      <c r="Q41" s="366" t="str">
        <f>VLOOKUP("DM",Q4:Q33,1,FALSE)</f>
        <v>DM</v>
      </c>
      <c r="R41" s="366" t="str">
        <f>VLOOKUP("DM",R4:R31,1,FALSE)</f>
        <v>DM</v>
      </c>
      <c r="S41" s="366" t="str">
        <f>VLOOKUP("DM",S4:S39,1,FALSE)</f>
        <v>DM</v>
      </c>
      <c r="T41" s="366" t="str">
        <f>VLOOKUP("DM",T4:T39,1,FALSE)</f>
        <v>DM</v>
      </c>
      <c r="U41" s="366" t="str">
        <f>VLOOKUP("DM",U4:U39,1,FALSE)</f>
        <v>DM</v>
      </c>
      <c r="V41" s="366" t="str">
        <f>VLOOKUP("DM",V4:V30,1,FALSE)</f>
        <v>DM</v>
      </c>
      <c r="W41" s="366" t="str">
        <f>VLOOKUP("DM",W4:W30,1,FALSE)</f>
        <v>DM</v>
      </c>
      <c r="X41" s="366" t="str">
        <f>VLOOKUP("DM",X4:X39,1,FALSE)</f>
        <v>DM</v>
      </c>
      <c r="Y41" s="366" t="str">
        <f>VLOOKUP("DM",Y4:Y39,1,FALSE)</f>
        <v>DM</v>
      </c>
      <c r="Z41" s="366" t="str">
        <f>VLOOKUP("DM",Z4:Z39,1,FALSE)</f>
        <v>DM</v>
      </c>
      <c r="AA41" s="366" t="str">
        <f>VLOOKUP("DM",AA5:AA39,1,FALSE)</f>
        <v>DM</v>
      </c>
      <c r="AB41" s="366" t="str">
        <f t="shared" ref="AB41:AG41" si="23">VLOOKUP("DM",AB4:AB39,1,FALSE)</f>
        <v>DM</v>
      </c>
      <c r="AC41" s="366" t="str">
        <f t="shared" si="23"/>
        <v>DM</v>
      </c>
      <c r="AD41" s="366" t="str">
        <f t="shared" si="23"/>
        <v>DM</v>
      </c>
      <c r="AE41" s="366" t="str">
        <f t="shared" si="23"/>
        <v>DM</v>
      </c>
      <c r="AF41" s="366" t="str">
        <f t="shared" si="23"/>
        <v>DM</v>
      </c>
      <c r="AG41" s="366" t="str">
        <f t="shared" si="23"/>
        <v>DM</v>
      </c>
      <c r="AH41" s="311"/>
      <c r="AI41" s="312"/>
      <c r="AJ41" s="311"/>
      <c r="AK41" s="313"/>
      <c r="AL41" s="313"/>
      <c r="AM41" s="313"/>
      <c r="AN41" s="313"/>
      <c r="AO41" s="313"/>
      <c r="AP41" s="313"/>
      <c r="AQ41" s="313"/>
      <c r="AR41" s="313"/>
      <c r="AS41" s="313"/>
      <c r="AT41" s="313"/>
      <c r="AU41" s="313"/>
      <c r="AV41" s="313"/>
      <c r="AW41" s="313"/>
      <c r="AX41" s="313"/>
      <c r="AY41" s="313"/>
      <c r="AZ41" s="313"/>
      <c r="BA41" s="313"/>
      <c r="BB41" s="313"/>
      <c r="BC41" s="313"/>
      <c r="BD41" s="313"/>
      <c r="BE41" s="313"/>
      <c r="BF41" s="313"/>
      <c r="BG41" s="313"/>
      <c r="BH41" s="313"/>
      <c r="BI41" s="313"/>
      <c r="BJ41" s="313"/>
      <c r="BK41" s="313"/>
      <c r="BL41" s="313"/>
      <c r="BM41" s="313"/>
      <c r="BN41" s="313"/>
      <c r="BO41" s="313"/>
      <c r="BP41" s="314"/>
    </row>
    <row r="42" ht="19.5" customHeight="1" spans="1:68">
      <c r="A42" s="309" t="e">
        <f>LTE()</f>
        <v>#NAME?</v>
      </c>
      <c r="B42" s="368" t="s">
        <v>56</v>
      </c>
      <c r="C42" s="366" t="str">
        <f>VLOOKUP("CS1",C5:C39,1,FALSE)</f>
        <v>CS1</v>
      </c>
      <c r="D42" s="366" t="str">
        <f>VLOOKUP("CS1",D9:D39,1,FALSE)</f>
        <v>CS1</v>
      </c>
      <c r="E42" s="366" t="str">
        <f>VLOOKUP("CS1",E7:E39,1,FALSE)</f>
        <v>CS1</v>
      </c>
      <c r="F42" s="366" t="str">
        <f>VLOOKUP("CS1",F7:F39,1,FALSE)</f>
        <v>CS1</v>
      </c>
      <c r="G42" s="366" t="str">
        <f>VLOOKUP("CS1",G6:G39,1,FALSE)</f>
        <v>CS1</v>
      </c>
      <c r="H42" s="366" t="str">
        <f>VLOOKUP("CS1",H5:H39,1,FALSE)</f>
        <v>CS1</v>
      </c>
      <c r="I42" s="366" t="str">
        <f>VLOOKUP("CS1",I7:I39,1,FALSE)</f>
        <v>CS1</v>
      </c>
      <c r="J42" s="366" t="str">
        <f>VLOOKUP("CS1",J4:J39,1,FALSE)</f>
        <v>CS1</v>
      </c>
      <c r="K42" s="366" t="str">
        <f>VLOOKUP("CS1",K6:K39,1,FALSE)</f>
        <v>CS1</v>
      </c>
      <c r="L42" s="366" t="str">
        <f>VLOOKUP("CS1",L1:L39,1,FALSE)</f>
        <v>CS1</v>
      </c>
      <c r="M42" s="366" t="str">
        <f>VLOOKUP("CS1",M5:M33,1,FALSE)</f>
        <v>CS1</v>
      </c>
      <c r="N42" s="366" t="str">
        <f>VLOOKUP("CS1",N5:N39,1,FALSE)</f>
        <v>CS1</v>
      </c>
      <c r="O42" s="366" t="str">
        <f>VLOOKUP("CS1",O5:O39,1,FALSE)</f>
        <v>CS1</v>
      </c>
      <c r="P42" s="366" t="str">
        <f>VLOOKUP("CS1",P12:P39,1,FALSE)</f>
        <v>CS1</v>
      </c>
      <c r="Q42" s="366" t="str">
        <f>VLOOKUP("CS1",Q7:Q33,1,FALSE)</f>
        <v>CS1</v>
      </c>
      <c r="R42" s="366" t="str">
        <f>VLOOKUP("CS1",R6:R31,1,FALSE)</f>
        <v>CS1</v>
      </c>
      <c r="S42" s="366" t="str">
        <f>VLOOKUP("CS1",S5:S39,1,FALSE)</f>
        <v>CS1</v>
      </c>
      <c r="T42" s="366" t="str">
        <f>VLOOKUP("CS1",T6:T39,1,FALSE)</f>
        <v>CS1</v>
      </c>
      <c r="U42" s="366" t="str">
        <f>VLOOKUP("CS1",U7:U39,1,FALSE)</f>
        <v>CS1</v>
      </c>
      <c r="V42" s="366" t="str">
        <f>VLOOKUP("CS1",V8:V30,1,FALSE)</f>
        <v>CS1</v>
      </c>
      <c r="W42" s="366" t="str">
        <f>VLOOKUP("CS1",W1:W30,1,FALSE)</f>
        <v>CS1</v>
      </c>
      <c r="X42" s="366" t="str">
        <f>VLOOKUP("CS1",X1:X39,1,FALSE)</f>
        <v>CS1</v>
      </c>
      <c r="Y42" s="366" t="str">
        <f>VLOOKUP("CS1",Y5:Y39,1,FALSE)</f>
        <v>CS1</v>
      </c>
      <c r="Z42" s="366" t="str">
        <f>VLOOKUP("CS1",Z6:Z39,1,FALSE)</f>
        <v>CS1</v>
      </c>
      <c r="AA42" s="366" t="str">
        <f>VLOOKUP("CS1",AA5:AA39,1,FALSE)</f>
        <v>CS1</v>
      </c>
      <c r="AB42" s="366" t="str">
        <f>VLOOKUP("CS1",AB1:AB39,1,FALSE)</f>
        <v>CS1</v>
      </c>
      <c r="AC42" s="366" t="str">
        <f>VLOOKUP("CS1",AC6:AC39,1,FALSE)</f>
        <v>CS1</v>
      </c>
      <c r="AD42" s="366" t="str">
        <f>VLOOKUP("CS1",AD6:AD39,1,FALSE)</f>
        <v>CS1</v>
      </c>
      <c r="AE42" s="366" t="str">
        <f>VLOOKUP("CS1",AE6:AE39,1,FALSE)</f>
        <v>CS1</v>
      </c>
      <c r="AF42" s="366" t="str">
        <f>VLOOKUP("CS1",AF5:AF39,1,FALSE)</f>
        <v>CS1</v>
      </c>
      <c r="AG42" s="366" t="str">
        <f>VLOOKUP("CS1",AG6:AG39,1,FALSE)</f>
        <v>CS1</v>
      </c>
      <c r="AH42" s="311"/>
      <c r="AI42" s="312"/>
      <c r="AJ42" s="311"/>
      <c r="AK42" s="313"/>
      <c r="AL42" s="313"/>
      <c r="AM42" s="313"/>
      <c r="AN42" s="313"/>
      <c r="AO42" s="313"/>
      <c r="AP42" s="313"/>
      <c r="AQ42" s="313"/>
      <c r="AR42" s="313"/>
      <c r="AS42" s="313"/>
      <c r="AT42" s="313"/>
      <c r="AU42" s="313"/>
      <c r="AV42" s="313"/>
      <c r="AW42" s="313"/>
      <c r="AX42" s="313"/>
      <c r="AY42" s="313"/>
      <c r="AZ42" s="313"/>
      <c r="BA42" s="313"/>
      <c r="BB42" s="313"/>
      <c r="BC42" s="313"/>
      <c r="BD42" s="313"/>
      <c r="BE42" s="313"/>
      <c r="BF42" s="313"/>
      <c r="BG42" s="313"/>
      <c r="BH42" s="313"/>
      <c r="BI42" s="313"/>
      <c r="BJ42" s="313"/>
      <c r="BK42" s="313"/>
      <c r="BL42" s="313"/>
      <c r="BM42" s="313"/>
      <c r="BN42" s="313"/>
      <c r="BO42" s="313"/>
      <c r="BP42" s="314"/>
    </row>
    <row r="43" ht="19.5" customHeight="1" spans="1:68">
      <c r="A43" s="309"/>
      <c r="B43" s="369" t="s">
        <v>59</v>
      </c>
      <c r="C43" s="366" t="str">
        <f>VLOOKUP("CS2",C6:C39,1,FALSE)</f>
        <v>CS2</v>
      </c>
      <c r="D43" s="366" t="str">
        <f>VLOOKUP("CS2",D9:D39,1,FALSE)</f>
        <v>CS2</v>
      </c>
      <c r="E43" s="366" t="str">
        <f>VLOOKUP("CS2",E7:E39,1,FALSE)</f>
        <v>CS2</v>
      </c>
      <c r="F43" s="366" t="str">
        <f>VLOOKUP("CS2",F7:F39,1,FALSE)</f>
        <v>CS2</v>
      </c>
      <c r="G43" s="366" t="str">
        <f>VLOOKUP("CS2",G6:G39,1,FALSE)</f>
        <v>CS2</v>
      </c>
      <c r="H43" s="366" t="str">
        <f>VLOOKUP("CS2",H6:H39,1,FALSE)</f>
        <v>CS2</v>
      </c>
      <c r="I43" s="366" t="str">
        <f>VLOOKUP("CS2",I7:I39,1,FALSE)</f>
        <v>CS2</v>
      </c>
      <c r="J43" s="366" t="str">
        <f>VLOOKUP("CS2",J4:J39,1,FALSE)</f>
        <v>CS2</v>
      </c>
      <c r="K43" s="366" t="str">
        <f>VLOOKUP("CS2",K6:K39,1,FALSE)</f>
        <v>CS2</v>
      </c>
      <c r="L43" s="366" t="str">
        <f>VLOOKUP("CS2",L4:L39,1,FALSE)</f>
        <v>CS2</v>
      </c>
      <c r="M43" s="366" t="str">
        <f>VLOOKUP("CS2",M7:M33,1,FALSE)</f>
        <v>CS2</v>
      </c>
      <c r="N43" s="366" t="str">
        <f>VLOOKUP("CS2",N5:N39,1,FALSE)</f>
        <v>CS2</v>
      </c>
      <c r="O43" s="366" t="str">
        <f>VLOOKUP("CS2",O10:O39,1,FALSE)</f>
        <v>CS2</v>
      </c>
      <c r="P43" s="366" t="str">
        <f>VLOOKUP("CS2",P6:P39,1,FALSE)</f>
        <v>CS2</v>
      </c>
      <c r="Q43" s="366" t="str">
        <f>VLOOKUP("CS2",Q7:Q33,1,FALSE)</f>
        <v>CS2</v>
      </c>
      <c r="R43" s="366" t="str">
        <f>VLOOKUP("CS2",R6:R31,1,FALSE)</f>
        <v>CS2</v>
      </c>
      <c r="S43" s="366" t="str">
        <f>VLOOKUP("CS2",S5:S39,1,FALSE)</f>
        <v>CS2</v>
      </c>
      <c r="T43" s="366" t="str">
        <f>VLOOKUP("CS2",T1:T39,1,FALSE)</f>
        <v>CS2</v>
      </c>
      <c r="U43" s="366" t="str">
        <f>VLOOKUP("CS2",U1:U39,1,FALSE)</f>
        <v>CS2</v>
      </c>
      <c r="V43" s="366" t="str">
        <f>VLOOKUP("CS2",V1:V30,1,FALSE)</f>
        <v>CS2</v>
      </c>
      <c r="W43" s="366" t="str">
        <f>VLOOKUP("CS2",W1:W30,1,FALSE)</f>
        <v>CS2</v>
      </c>
      <c r="X43" s="366" t="str">
        <f>VLOOKUP("CS2",X7:X39,1,FALSE)</f>
        <v>CS2</v>
      </c>
      <c r="Y43" s="366" t="str">
        <f>VLOOKUP("CS2",Y5:Y39,1,FALSE)</f>
        <v>CS2</v>
      </c>
      <c r="Z43" s="366" t="str">
        <f>VLOOKUP("CS2",Z6:Z39,1,FALSE)</f>
        <v>CS2</v>
      </c>
      <c r="AA43" s="366" t="str">
        <f>VLOOKUP("CS2",AA5:AA39,1,FALSE)</f>
        <v>CS2</v>
      </c>
      <c r="AB43" s="366" t="str">
        <f>VLOOKUP("CS2",AB1:AB39,1,FALSE)</f>
        <v>CS2</v>
      </c>
      <c r="AC43" s="366" t="str">
        <f>VLOOKUP("CS2",AC6:AC39,1,FALSE)</f>
        <v>CS2</v>
      </c>
      <c r="AD43" s="366" t="str">
        <f>VLOOKUP("CS2",AD6:AD39,1,FALSE)</f>
        <v>CS2</v>
      </c>
      <c r="AE43" s="366" t="str">
        <f>VLOOKUP("CS2",AE6:AE39,1,FALSE)</f>
        <v>CS2</v>
      </c>
      <c r="AF43" s="366" t="str">
        <f>VLOOKUP("CS2",AF5:AF39,1,FALSE)</f>
        <v>CS2</v>
      </c>
      <c r="AG43" s="366" t="str">
        <f>VLOOKUP("CS2",AG6:AG39,1,FALSE)</f>
        <v>CS2</v>
      </c>
      <c r="AH43" s="311"/>
      <c r="AI43" s="312"/>
      <c r="AJ43" s="311"/>
      <c r="AK43" s="313"/>
      <c r="AL43" s="313"/>
      <c r="AM43" s="313"/>
      <c r="AN43" s="313"/>
      <c r="AO43" s="313"/>
      <c r="AP43" s="313"/>
      <c r="AQ43" s="313"/>
      <c r="AR43" s="313"/>
      <c r="AS43" s="313"/>
      <c r="AT43" s="313"/>
      <c r="AU43" s="313"/>
      <c r="AV43" s="313"/>
      <c r="AW43" s="313"/>
      <c r="AX43" s="313"/>
      <c r="AY43" s="313"/>
      <c r="AZ43" s="313"/>
      <c r="BA43" s="313"/>
      <c r="BB43" s="313"/>
      <c r="BC43" s="313"/>
      <c r="BD43" s="313"/>
      <c r="BE43" s="313"/>
      <c r="BF43" s="313"/>
      <c r="BG43" s="313"/>
      <c r="BH43" s="313"/>
      <c r="BI43" s="313"/>
      <c r="BJ43" s="313"/>
      <c r="BK43" s="313"/>
      <c r="BL43" s="313"/>
      <c r="BM43" s="313"/>
      <c r="BN43" s="313"/>
      <c r="BO43" s="313"/>
      <c r="BP43" s="314"/>
    </row>
    <row r="44" ht="19.5" customHeight="1" spans="1:68">
      <c r="A44" s="309"/>
      <c r="B44" s="370" t="s">
        <v>58</v>
      </c>
      <c r="C44" s="366" t="str">
        <f>VLOOKUP("SB1",C6:C39,1,FALSE)</f>
        <v>SB1</v>
      </c>
      <c r="D44" s="366" t="e">
        <f>VLOOKUP("SB1",D3:D39,1,FALSE)</f>
        <v>#N/A</v>
      </c>
      <c r="E44" s="366" t="str">
        <f>VLOOKUP("SB1",E7:E39,1,FALSE)</f>
        <v>SB1</v>
      </c>
      <c r="F44" s="366" t="str">
        <f>VLOOKUP("SB1",F7:F39,1,FALSE)</f>
        <v>SB1</v>
      </c>
      <c r="G44" s="366" t="e">
        <f>VLOOKUP("SB1",G6:G39,1,FALSE)</f>
        <v>#N/A</v>
      </c>
      <c r="H44" s="366" t="str">
        <f>VLOOKUP("SB1",H6:H39,1,FALSE)</f>
        <v>SB1</v>
      </c>
      <c r="I44" s="366" t="e">
        <f>VLOOKUP("SB1",I7:I39,1,FALSE)</f>
        <v>#N/A</v>
      </c>
      <c r="J44" s="366" t="e">
        <f>VLOOKUP("SB1",J4:J39,1,FALSE)</f>
        <v>#N/A</v>
      </c>
      <c r="K44" s="366" t="e">
        <f>VLOOKUP("SB1",K6:K39,1,FALSE)</f>
        <v>#N/A</v>
      </c>
      <c r="L44" s="366" t="e">
        <f>VLOOKUP("SB1",L5:L39,1,FALSE)</f>
        <v>#N/A</v>
      </c>
      <c r="M44" s="366" t="e">
        <f>VLOOKUP("SB1",M7:M33,1,FALSE)</f>
        <v>#N/A</v>
      </c>
      <c r="N44" s="366" t="e">
        <f>VLOOKUP("SB1",N5:N39,1,FALSE)</f>
        <v>#N/A</v>
      </c>
      <c r="O44" s="366" t="e">
        <f>VLOOKUP("SB1",O5:O39,1,FALSE)</f>
        <v>#N/A</v>
      </c>
      <c r="P44" s="366" t="e">
        <f>VLOOKUP("SB1",P6:P39,1,FALSE)</f>
        <v>#N/A</v>
      </c>
      <c r="Q44" s="366" t="e">
        <f>VLOOKUP("SB1",Q7:Q33,1,FALSE)</f>
        <v>#N/A</v>
      </c>
      <c r="R44" s="366" t="e">
        <f>VLOOKUP("SB1",R6:R31,1,FALSE)</f>
        <v>#N/A</v>
      </c>
      <c r="S44" s="366" t="e">
        <f>VLOOKUP("SB1",S5:S39,1,FALSE)</f>
        <v>#N/A</v>
      </c>
      <c r="T44" s="366" t="e">
        <f>VLOOKUP("SB1",T6:T39,1,FALSE)</f>
        <v>#N/A</v>
      </c>
      <c r="U44" s="366" t="e">
        <f>VLOOKUP("SB1",U7:U39,1,FALSE)</f>
        <v>#N/A</v>
      </c>
      <c r="V44" s="366" t="e">
        <f>VLOOKUP("SB1",V7:V30,1,FALSE)</f>
        <v>#N/A</v>
      </c>
      <c r="W44" s="366" t="e">
        <f>VLOOKUP("SB1",W9:W30,1,FALSE)</f>
        <v>#N/A</v>
      </c>
      <c r="X44" s="366" t="e">
        <f>VLOOKUP("SB1",X7:X39,1,FALSE)</f>
        <v>#N/A</v>
      </c>
      <c r="Y44" s="366" t="e">
        <f>VLOOKUP("SB1",Y5:Y39,1,FALSE)</f>
        <v>#N/A</v>
      </c>
      <c r="Z44" s="366" t="e">
        <f>VLOOKUP("SB1",Z6:Z39,1,FALSE)</f>
        <v>#N/A</v>
      </c>
      <c r="AA44" s="366" t="e">
        <f>VLOOKUP("SB1",AA5:AA39,1,FALSE)</f>
        <v>#N/A</v>
      </c>
      <c r="AB44" s="366" t="e">
        <f>VLOOKUP("SB1",AB8:AB39,1,FALSE)</f>
        <v>#N/A</v>
      </c>
      <c r="AC44" s="366" t="e">
        <f>VLOOKUP("SB1",AC1:AC39,1,FALSE)</f>
        <v>#N/A</v>
      </c>
      <c r="AD44" s="366" t="e">
        <f>VLOOKUP("SB1",AD6:AD39,1,FALSE)</f>
        <v>#N/A</v>
      </c>
      <c r="AE44" s="366" t="e">
        <f>VLOOKUP("SB1",AE6:AE39,1,FALSE)</f>
        <v>#N/A</v>
      </c>
      <c r="AF44" s="366" t="e">
        <f>VLOOKUP("SB1",AF5:AF39,1,FALSE)</f>
        <v>#N/A</v>
      </c>
      <c r="AG44" s="366" t="e">
        <f>VLOOKUP("SB1",AG6:AG39,1,FALSE)</f>
        <v>#N/A</v>
      </c>
      <c r="AH44" s="311"/>
      <c r="AI44" s="312"/>
      <c r="AJ44" s="311"/>
      <c r="AK44" s="313"/>
      <c r="AL44" s="313"/>
      <c r="AM44" s="313"/>
      <c r="AN44" s="313"/>
      <c r="AO44" s="313"/>
      <c r="AP44" s="313"/>
      <c r="AQ44" s="313"/>
      <c r="AR44" s="313"/>
      <c r="AS44" s="313"/>
      <c r="AT44" s="313"/>
      <c r="AU44" s="313"/>
      <c r="AV44" s="313"/>
      <c r="AW44" s="313"/>
      <c r="AX44" s="313"/>
      <c r="AY44" s="313"/>
      <c r="AZ44" s="313"/>
      <c r="BA44" s="313"/>
      <c r="BB44" s="313"/>
      <c r="BC44" s="313"/>
      <c r="BD44" s="313"/>
      <c r="BE44" s="313"/>
      <c r="BF44" s="313"/>
      <c r="BG44" s="313"/>
      <c r="BH44" s="313"/>
      <c r="BI44" s="313"/>
      <c r="BJ44" s="313"/>
      <c r="BK44" s="313"/>
      <c r="BL44" s="313"/>
      <c r="BM44" s="313"/>
      <c r="BN44" s="313"/>
      <c r="BO44" s="313"/>
      <c r="BP44" s="314"/>
    </row>
    <row r="45" ht="19.5" customHeight="1" spans="1:68">
      <c r="A45" s="309"/>
      <c r="B45" s="371" t="s">
        <v>93</v>
      </c>
      <c r="C45" s="366" t="e">
        <f>VLOOKUP("SB2",C6:C39,1,FALSE)</f>
        <v>#N/A</v>
      </c>
      <c r="D45" s="366" t="str">
        <f>VLOOKUP("SB2",D9:D39,1,FALSE)</f>
        <v>SB2</v>
      </c>
      <c r="E45" s="366" t="str">
        <f>VLOOKUP("SB2",E7:E39,1,FALSE)</f>
        <v>SB2</v>
      </c>
      <c r="F45" s="366" t="str">
        <f>VLOOKUP("SB2",F1:F39,1,FALSE)</f>
        <v>SB2</v>
      </c>
      <c r="G45" s="366" t="str">
        <f>VLOOKUP("SB2",G6:G39,1,FALSE)</f>
        <v>SB2</v>
      </c>
      <c r="H45" s="366" t="str">
        <f>VLOOKUP("SB2",H6:H39,1,FALSE)</f>
        <v>SB2</v>
      </c>
      <c r="I45" s="366" t="e">
        <f>VLOOKUP("SB2",I7:I39,1,FALSE)</f>
        <v>#N/A</v>
      </c>
      <c r="J45" s="366" t="e">
        <f>VLOOKUP("SB2",J4:J39,1,FALSE)</f>
        <v>#N/A</v>
      </c>
      <c r="K45" s="366" t="str">
        <f>VLOOKUP("SB2",K6:K39,1,FALSE)</f>
        <v>SB2</v>
      </c>
      <c r="L45" s="366" t="e">
        <f>VLOOKUP("SB2",L11:L39,1,FALSE)</f>
        <v>#N/A</v>
      </c>
      <c r="M45" s="366" t="str">
        <f>VLOOKUP("SB2",M7:M33,1,FALSE)</f>
        <v>SB2</v>
      </c>
      <c r="N45" s="366" t="str">
        <f>VLOOKUP("SB2",N5:N39,1,FALSE)</f>
        <v>SB2</v>
      </c>
      <c r="O45" s="366" t="str">
        <f>VLOOKUP("SB2",O5:O39,1,FALSE)</f>
        <v>SB2</v>
      </c>
      <c r="P45" s="366" t="e">
        <f>VLOOKUP("SB2",P6:P39,1,FALSE)</f>
        <v>#N/A</v>
      </c>
      <c r="Q45" s="366" t="e">
        <f>VLOOKUP("SB2",Q9:Q33,1,FALSE)</f>
        <v>#N/A</v>
      </c>
      <c r="R45" s="366" t="str">
        <f>VLOOKUP("SB2",R6:R31,1,FALSE)</f>
        <v>SB2</v>
      </c>
      <c r="S45" s="366" t="str">
        <f>VLOOKUP("SB2",S11:S39,1,FALSE)</f>
        <v>SB2</v>
      </c>
      <c r="T45" s="366" t="str">
        <f>VLOOKUP("SB2",T6:T39,1,FALSE)</f>
        <v>SB2</v>
      </c>
      <c r="U45" s="366" t="str">
        <f>VLOOKUP("SB2",U7:U39,1,FALSE)</f>
        <v>SB2</v>
      </c>
      <c r="V45" s="366" t="str">
        <f>VLOOKUP("SB2",V8:V30,1,FALSE)</f>
        <v>SB2</v>
      </c>
      <c r="W45" s="366" t="e">
        <f>VLOOKUP("SB2",W9:W30,1,FALSE)</f>
        <v>#N/A</v>
      </c>
      <c r="X45" s="366" t="e">
        <f>VLOOKUP("SB2",X7:X39,1,FALSE)</f>
        <v>#N/A</v>
      </c>
      <c r="Y45" s="366" t="str">
        <f>VLOOKUP("SB2",Y5:Y39,1,FALSE)</f>
        <v>SB2</v>
      </c>
      <c r="Z45" s="366" t="str">
        <f>VLOOKUP("SB2",Z6:Z39,1,FALSE)</f>
        <v>SB2</v>
      </c>
      <c r="AA45" s="366" t="e">
        <f>VLOOKUP("SB2",AA10:AA39,1,FALSE)</f>
        <v>#N/A</v>
      </c>
      <c r="AB45" s="366" t="str">
        <f>VLOOKUP("SB2",AB8:AB39,1,FALSE)</f>
        <v>SB2</v>
      </c>
      <c r="AC45" s="366" t="str">
        <f>VLOOKUP("SB2",AC10:AC39,1,FALSE)</f>
        <v>SB2</v>
      </c>
      <c r="AD45" s="366" t="e">
        <f>VLOOKUP("SB2",AD6:AD39,1,FALSE)</f>
        <v>#N/A</v>
      </c>
      <c r="AE45" s="366" t="e">
        <f>VLOOKUP("SB2",AE6:AE39,1,FALSE)</f>
        <v>#N/A</v>
      </c>
      <c r="AF45" s="366" t="str">
        <f>VLOOKUP("SB2",AF5:AF39,1,FALSE)</f>
        <v>SB2</v>
      </c>
      <c r="AG45" s="366" t="str">
        <f>VLOOKUP("SB2",AG6:AG39,1,FALSE)</f>
        <v>SB2</v>
      </c>
      <c r="AH45" s="311"/>
      <c r="AI45" s="312"/>
      <c r="AJ45" s="311"/>
      <c r="AK45" s="313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  <c r="BN45" s="313"/>
      <c r="BO45" s="313"/>
      <c r="BP45" s="314"/>
    </row>
    <row r="46" ht="19.5" customHeight="1" spans="1:68">
      <c r="A46" s="309"/>
      <c r="B46" s="372" t="s">
        <v>65</v>
      </c>
      <c r="C46" s="366" t="str">
        <f>VLOOKUP("AE",C6:C39,1,FALSE)</f>
        <v>AE</v>
      </c>
      <c r="D46" s="366" t="str">
        <f>VLOOKUP("AE",D9:D39,1,FALSE)</f>
        <v>AE</v>
      </c>
      <c r="E46" s="366" t="str">
        <f>VLOOKUP("AE",E7:E39,1,FALSE)</f>
        <v>AE</v>
      </c>
      <c r="F46" s="366" t="str">
        <f>VLOOKUP("AE",F1:F39,1,FALSE)</f>
        <v>AE</v>
      </c>
      <c r="G46" s="366" t="str">
        <f>VLOOKUP("AE",G6:G39,1,FALSE)</f>
        <v>AE</v>
      </c>
      <c r="H46" s="366" t="str">
        <f>VLOOKUP("AE",H6:H39,1,FALSE)</f>
        <v>AE</v>
      </c>
      <c r="I46" s="366" t="str">
        <f>VLOOKUP("AE",I7:I39,1,FALSE)</f>
        <v>AE</v>
      </c>
      <c r="J46" s="366" t="str">
        <f>VLOOKUP("AE",J4:J39,1,FALSE)</f>
        <v>AE</v>
      </c>
      <c r="K46" s="366" t="str">
        <f>VLOOKUP("AE",K6:K39,1,FALSE)</f>
        <v>AE</v>
      </c>
      <c r="L46" s="366" t="str">
        <f>VLOOKUP("AE",L11:L39,1,FALSE)</f>
        <v>AE</v>
      </c>
      <c r="M46" s="366" t="str">
        <f>VLOOKUP("AE",M7:M33,1,FALSE)</f>
        <v>AE</v>
      </c>
      <c r="N46" s="366" t="str">
        <f>VLOOKUP("AE",N5:N39,1,FALSE)</f>
        <v>AE</v>
      </c>
      <c r="O46" s="366" t="str">
        <f>VLOOKUP("AE",O5:O39,1,FALSE)</f>
        <v>AE</v>
      </c>
      <c r="P46" s="366" t="str">
        <f>VLOOKUP("AE",P6:P39,1,FALSE)</f>
        <v>AE</v>
      </c>
      <c r="Q46" s="366" t="str">
        <f>VLOOKUP("AE",Q9:Q33,1,FALSE)</f>
        <v>AE</v>
      </c>
      <c r="R46" s="366" t="str">
        <f>VLOOKUP("AE",R6:R31,1,FALSE)</f>
        <v>AE</v>
      </c>
      <c r="S46" s="366" t="str">
        <f>VLOOKUP("AE",S11:S39,1,FALSE)</f>
        <v>AE</v>
      </c>
      <c r="T46" s="366" t="str">
        <f>VLOOKUP("AE",T6:T39,1,FALSE)</f>
        <v>AE</v>
      </c>
      <c r="U46" s="366" t="str">
        <f>VLOOKUP("AE",U7:U39,1,FALSE)</f>
        <v>AE</v>
      </c>
      <c r="V46" s="366" t="str">
        <f>VLOOKUP("AE",V8:V30,1,FALSE)</f>
        <v>AE</v>
      </c>
      <c r="W46" s="366" t="str">
        <f>VLOOKUP("AE",W9:W30,1,FALSE)</f>
        <v>AE</v>
      </c>
      <c r="X46" s="366" t="str">
        <f>VLOOKUP("AE",X7:X39,1,FALSE)</f>
        <v>AE</v>
      </c>
      <c r="Y46" s="366" t="str">
        <f>VLOOKUP("AE",Y5:Y39,1,FALSE)</f>
        <v>AE</v>
      </c>
      <c r="Z46" s="366" t="str">
        <f>VLOOKUP("AE",Z6:Z39,1,FALSE)</f>
        <v>AE</v>
      </c>
      <c r="AA46" s="366" t="str">
        <f>VLOOKUP("AE",AA10:AA39,1,FALSE)</f>
        <v>AE</v>
      </c>
      <c r="AB46" s="366" t="str">
        <f>VLOOKUP("AE",AB8:AB39,1,FALSE)</f>
        <v>AE</v>
      </c>
      <c r="AC46" s="366" t="str">
        <f>VLOOKUP("AE",AC10:AC39,1,FALSE)</f>
        <v>AE</v>
      </c>
      <c r="AD46" s="366" t="str">
        <f>VLOOKUP("AE",AD6:AD39,1,FALSE)</f>
        <v>AE</v>
      </c>
      <c r="AE46" s="366" t="str">
        <f>VLOOKUP("AE",AE6:AE39,1,FALSE)</f>
        <v>AE</v>
      </c>
      <c r="AF46" s="366" t="str">
        <f>VLOOKUP("AE",AF5:AF39,1,FALSE)</f>
        <v>AE</v>
      </c>
      <c r="AG46" s="366" t="str">
        <f>VLOOKUP("AE",AG6:AG39,1,FALSE)</f>
        <v>AE</v>
      </c>
      <c r="AH46" s="311"/>
      <c r="AI46" s="312"/>
      <c r="AJ46" s="311"/>
      <c r="AK46" s="313"/>
      <c r="AL46" s="313"/>
      <c r="AM46" s="313"/>
      <c r="AN46" s="313"/>
      <c r="AO46" s="313"/>
      <c r="AP46" s="313"/>
      <c r="AQ46" s="313"/>
      <c r="AR46" s="313"/>
      <c r="AS46" s="313"/>
      <c r="AT46" s="313"/>
      <c r="AU46" s="313"/>
      <c r="AV46" s="313"/>
      <c r="AW46" s="313"/>
      <c r="AX46" s="313"/>
      <c r="AY46" s="313"/>
      <c r="AZ46" s="313"/>
      <c r="BA46" s="313"/>
      <c r="BB46" s="313"/>
      <c r="BC46" s="313"/>
      <c r="BD46" s="313"/>
      <c r="BE46" s="313"/>
      <c r="BF46" s="313"/>
      <c r="BG46" s="313"/>
      <c r="BH46" s="313"/>
      <c r="BI46" s="313"/>
      <c r="BJ46" s="313"/>
      <c r="BK46" s="313"/>
      <c r="BL46" s="313"/>
      <c r="BM46" s="313"/>
      <c r="BN46" s="313"/>
      <c r="BO46" s="313"/>
      <c r="BP46" s="314"/>
    </row>
  </sheetData>
  <mergeCells count="1">
    <mergeCell ref="C1:S1"/>
  </mergeCells>
  <conditionalFormatting sqref="J12">
    <cfRule type="expression" dxfId="136" priority="3">
      <formula>WEEKDAY(K$3,2)&gt;5</formula>
    </cfRule>
  </conditionalFormatting>
  <conditionalFormatting sqref="X13">
    <cfRule type="expression" dxfId="136" priority="1">
      <formula>WEEKDAY(Z$3,2)&gt;5</formula>
    </cfRule>
    <cfRule type="expression" dxfId="136" priority="2">
      <formula>WEEKDAY(Y$3,2)&gt;5</formula>
    </cfRule>
  </conditionalFormatting>
  <conditionalFormatting sqref="F25">
    <cfRule type="expression" dxfId="136" priority="5">
      <formula>WEEKDAY(I$3,2)&gt;5</formula>
    </cfRule>
    <cfRule type="expression" dxfId="136" priority="6">
      <formula>WEEKDAY(H$3,2)&gt;5</formula>
    </cfRule>
  </conditionalFormatting>
  <conditionalFormatting sqref="K26">
    <cfRule type="expression" dxfId="136" priority="7">
      <formula>WEEKDAY(M$3,2)&gt;5</formula>
    </cfRule>
  </conditionalFormatting>
  <conditionalFormatting sqref="N31">
    <cfRule type="expression" dxfId="136" priority="8">
      <formula>WEEKDAY(O$3,2)&gt;5</formula>
    </cfRule>
  </conditionalFormatting>
  <conditionalFormatting sqref="Q31">
    <cfRule type="expression" dxfId="136" priority="4">
      <formula>WEEKDAY(R$3,2)&gt;5</formula>
    </cfRule>
  </conditionalFormatting>
  <conditionalFormatting sqref="T2:X39 C3:S39 Y3:AG39">
    <cfRule type="expression" dxfId="136" priority="70">
      <formula>WEEKDAY(T$3,2)&gt;5</formula>
    </cfRule>
  </conditionalFormatting>
  <conditionalFormatting sqref="J4:J46 AA4:AA46 C5:I46 K5:Z46 AB5:AG46">
    <cfRule type="cellIs" dxfId="137" priority="55" operator="equal">
      <formula>"B"</formula>
    </cfRule>
    <cfRule type="cellIs" dxfId="137" priority="56" operator="equal">
      <formula>"AL"</formula>
    </cfRule>
    <cfRule type="cellIs" dxfId="138" priority="57" operator="equal">
      <formula>"DM"</formula>
    </cfRule>
    <cfRule type="cellIs" dxfId="139" priority="58" operator="equal">
      <formula>"CS1"</formula>
    </cfRule>
    <cfRule type="cellIs" dxfId="140" priority="59" operator="equal">
      <formula>"CS2"</formula>
    </cfRule>
    <cfRule type="cellIs" dxfId="141" priority="60" operator="equal">
      <formula>"SB1"</formula>
    </cfRule>
    <cfRule type="cellIs" dxfId="142" priority="61" operator="equal">
      <formula>"SB2"</formula>
    </cfRule>
    <cfRule type="cellIs" dxfId="143" priority="62" operator="equal">
      <formula>"AE"</formula>
    </cfRule>
  </conditionalFormatting>
  <conditionalFormatting sqref="J4:J39 AA4:AA39 C5:I39 K5:Z39 AB5:AG39">
    <cfRule type="cellIs" dxfId="137" priority="64" operator="equal">
      <formula>"DB"</formula>
    </cfRule>
    <cfRule type="containsText" dxfId="144" priority="65" operator="between" text="$AM">
      <formula>NOT(ISERROR(SEARCH("$AM",C4)))</formula>
    </cfRule>
    <cfRule type="containsText" dxfId="145" priority="66" operator="between" text="$PM">
      <formula>NOT(ISERROR(SEARCH("$PM",C4)))</formula>
    </cfRule>
    <cfRule type="containsText" dxfId="146" priority="67" operator="between" text="$L">
      <formula>NOT(ISERROR(SEARCH("$L",C4)))</formula>
    </cfRule>
    <cfRule type="containsText" dxfId="147" priority="68" operator="between" text="$BTP">
      <formula>NOT(ISERROR(SEARCH("$BTP",C4)))</formula>
    </cfRule>
    <cfRule type="containsText" dxfId="148" priority="69" operator="between" text="$M">
      <formula>NOT(ISERROR(SEARCH("$M",C4)))</formula>
    </cfRule>
    <cfRule type="containsText" dxfId="149" priority="71" operator="between" text="$N">
      <formula>NOT(ISERROR(SEARCH("$N",C4)))</formula>
    </cfRule>
    <cfRule type="containsText" dxfId="150" priority="72" operator="between" text="$FC">
      <formula>NOT(ISERROR(SEARCH("$FC",C4)))</formula>
    </cfRule>
    <cfRule type="containsText" dxfId="151" priority="73" operator="between" text="OAL">
      <formula>NOT(ISERROR(SEARCH("OAL",C4)))</formula>
    </cfRule>
    <cfRule type="containsText" dxfId="152" priority="74" operator="between" text="S+">
      <formula>NOT(ISERROR(SEARCH("S+",C4)))</formula>
    </cfRule>
    <cfRule type="containsText" dxfId="153" priority="75" operator="between" text="EX-D">
      <formula>NOT(ISERROR(SEARCH("EX-D",C4)))</formula>
    </cfRule>
  </conditionalFormatting>
  <conditionalFormatting sqref="J4:J26 C5:C10 D5:D31 E5:E7 F5:F31 G5:G28 H5:I26 K5:K24 L5:M19 N5:N23 O5:O13 P5:P29 Q5:Q19 R5:R14 S5 T5:T37 U5:U8 V5:V10 W5:W31 X5:Y29 Z5:Z13 AB5:AB34 AC5:AC30 AD5:AD28 AE5:AE30 AF5:AF18 AG5:AG25 AA6:AA24 S7:S18 E9:E20 U10:U18 C12:C23 V12:V37 O15:O24 Z15:Z21 R16 R18 R20:S37 U20:U37 AF20:AF23 L21:L31 M21:M28 Q21:Q26 E22:E26 Z23:Z29 C25:C26 N25:N29 AF25:AF30 K26 O26:O27 AA26:AA33 AG27 C28:C29 E28:E29 K28:K29 Q28:Q33 H29:I29 O29 G30:G31 J30:J31 M30:M32 AD30 E31 H31:I31 K31 N31 P31 X31:Y31 Z31:Z33 AG31 AC32:AC34 AD32:AE33 AB36:AC37">
    <cfRule type="containsText" dxfId="154" priority="76" operator="between" text="VACC">
      <formula>NOT(ISERROR(SEARCH("VACC",C4)))</formula>
    </cfRule>
  </conditionalFormatting>
  <conditionalFormatting sqref="C5 E5 D6 C7:C31 Q26 H27:H29 V27 E28 P28 R28:R30 Y28 Z28:AA29 G29 I29:K29 O29 T29:T30 U29 X29 AC29 W30 U31 X31">
    <cfRule type="cellIs" dxfId="137" priority="11" operator="equal">
      <formula>"B"</formula>
    </cfRule>
    <cfRule type="cellIs" dxfId="137" priority="12" operator="equal">
      <formula>"AL"</formula>
    </cfRule>
    <cfRule type="cellIs" dxfId="138" priority="13" operator="equal">
      <formula>"DM"</formula>
    </cfRule>
    <cfRule type="cellIs" dxfId="139" priority="14" operator="equal">
      <formula>"CS1"</formula>
    </cfRule>
    <cfRule type="cellIs" dxfId="140" priority="15" operator="equal">
      <formula>"CS2"</formula>
    </cfRule>
    <cfRule type="cellIs" dxfId="141" priority="16" operator="equal">
      <formula>"SB1"</formula>
    </cfRule>
    <cfRule type="cellIs" dxfId="142" priority="17" operator="equal">
      <formula>"SB2"</formula>
    </cfRule>
    <cfRule type="cellIs" dxfId="143" priority="18" operator="equal">
      <formula>"AE"</formula>
    </cfRule>
    <cfRule type="cellIs" dxfId="137" priority="19" operator="equal">
      <formula>"DB"</formula>
    </cfRule>
    <cfRule type="containsText" dxfId="144" priority="20" operator="between" text="$AM">
      <formula>NOT(ISERROR(SEARCH("$AM",C5)))</formula>
    </cfRule>
    <cfRule type="containsText" dxfId="145" priority="21" operator="between" text="$PM">
      <formula>NOT(ISERROR(SEARCH("$PM",C5)))</formula>
    </cfRule>
    <cfRule type="containsText" dxfId="146" priority="22" operator="between" text="$L">
      <formula>NOT(ISERROR(SEARCH("$L",C5)))</formula>
    </cfRule>
    <cfRule type="containsText" dxfId="147" priority="23" operator="between" text="$BTP">
      <formula>NOT(ISERROR(SEARCH("$BTP",C5)))</formula>
    </cfRule>
    <cfRule type="containsText" dxfId="148" priority="24" operator="between" text="$M">
      <formula>NOT(ISERROR(SEARCH("$M",C5)))</formula>
    </cfRule>
    <cfRule type="containsText" dxfId="149" priority="25" operator="between" text="$N">
      <formula>NOT(ISERROR(SEARCH("$N",C5)))</formula>
    </cfRule>
    <cfRule type="containsText" dxfId="150" priority="26" operator="between" text="$FC">
      <formula>NOT(ISERROR(SEARCH("$FC",C5)))</formula>
    </cfRule>
    <cfRule type="containsText" dxfId="151" priority="27" operator="between" text="OAL">
      <formula>NOT(ISERROR(SEARCH("OAL",C5)))</formula>
    </cfRule>
    <cfRule type="containsText" dxfId="152" priority="28" operator="between" text="S+">
      <formula>NOT(ISERROR(SEARCH("S+",C5)))</formula>
    </cfRule>
    <cfRule type="containsText" dxfId="153" priority="29" operator="between" text="EX-D">
      <formula>NOT(ISERROR(SEARCH("EX-D",C5)))</formula>
    </cfRule>
  </conditionalFormatting>
  <conditionalFormatting sqref="C5 E5 D6 C7:C15 C18:C25 C28 E28 Y28 Z28:AA29 J29:K29 T29 R30">
    <cfRule type="expression" dxfId="136" priority="30">
      <formula>WEEKDAY(#REF!,2)&gt;5</formula>
    </cfRule>
  </conditionalFormatting>
  <conditionalFormatting sqref="C5:C26 D5:D31 E5:E7 F5:F31 G5:G28 H5:K26 L5:M19 N5:N23 O5:O13 P5:P29 Q5:Q19 R5:R31 S5 T5:T31 U5:U8 V5:V10 W5:Z29 AB5:AB34 AC5:AC30 AD5:AD28 AE5:AE30 AF5:AF31 AG5:AG25 AA6:AA24 S7:S31 E9:E20 U10:U31 V12:V31 O15:O27 L21:L31 M21:M28 Q21:Q26 E22:E26 N25:N29 AA26:AA33 AG27 C28:C29 E28:E31 K28:K29 Q28:Q33 H29:I29 J29:J31 O29 G30:G31 M30:M32 AD30 H31:I31 K31 N31 P31 W31:Y31 Z31:Z33 AG31 AC32:AC34 AD32:AE33 AB36:AC37">
    <cfRule type="cellIs" dxfId="137" priority="34" operator="equal">
      <formula>"B"</formula>
    </cfRule>
    <cfRule type="cellIs" dxfId="137" priority="35" operator="equal">
      <formula>"AL"</formula>
    </cfRule>
    <cfRule type="cellIs" dxfId="138" priority="36" operator="equal">
      <formula>"DM"</formula>
    </cfRule>
    <cfRule type="cellIs" dxfId="139" priority="37" operator="equal">
      <formula>"CS1"</formula>
    </cfRule>
    <cfRule type="cellIs" dxfId="140" priority="38" operator="equal">
      <formula>"CS2"</formula>
    </cfRule>
    <cfRule type="cellIs" dxfId="141" priority="39" operator="equal">
      <formula>"SB1"</formula>
    </cfRule>
    <cfRule type="cellIs" dxfId="142" priority="40" operator="equal">
      <formula>"SB2"</formula>
    </cfRule>
    <cfRule type="cellIs" dxfId="143" priority="41" operator="equal">
      <formula>"AE"</formula>
    </cfRule>
    <cfRule type="cellIs" dxfId="137" priority="43" operator="equal">
      <formula>"DB"</formula>
    </cfRule>
    <cfRule type="containsText" dxfId="144" priority="44" operator="between" text="$AM">
      <formula>NOT(ISERROR(SEARCH("$AM",C5)))</formula>
    </cfRule>
    <cfRule type="containsText" dxfId="145" priority="45" operator="between" text="$PM">
      <formula>NOT(ISERROR(SEARCH("$PM",C5)))</formula>
    </cfRule>
    <cfRule type="containsText" dxfId="146" priority="46" operator="between" text="$L">
      <formula>NOT(ISERROR(SEARCH("$L",C5)))</formula>
    </cfRule>
    <cfRule type="containsText" dxfId="147" priority="47" operator="between" text="$BTP">
      <formula>NOT(ISERROR(SEARCH("$BTP",C5)))</formula>
    </cfRule>
    <cfRule type="containsText" dxfId="148" priority="48" operator="between" text="$M">
      <formula>NOT(ISERROR(SEARCH("$M",C5)))</formula>
    </cfRule>
    <cfRule type="containsText" dxfId="149" priority="49" operator="between" text="$N">
      <formula>NOT(ISERROR(SEARCH("$N",C5)))</formula>
    </cfRule>
    <cfRule type="containsText" dxfId="150" priority="50" operator="between" text="$FC">
      <formula>NOT(ISERROR(SEARCH("$FC",C5)))</formula>
    </cfRule>
    <cfRule type="containsText" dxfId="151" priority="51" operator="between" text="OAL">
      <formula>NOT(ISERROR(SEARCH("OAL",C5)))</formula>
    </cfRule>
    <cfRule type="containsText" dxfId="152" priority="52" operator="between" text="S+">
      <formula>NOT(ISERROR(SEARCH("S+",C5)))</formula>
    </cfRule>
    <cfRule type="containsText" dxfId="153" priority="53" operator="between" text="EX-D">
      <formula>NOT(ISERROR(SEARCH("EX-D",C5)))</formula>
    </cfRule>
  </conditionalFormatting>
  <conditionalFormatting sqref="C5:C26 D5:D31 E5:E7 F5:F31 G5:G28 H5:K26 L5:M19 N5:N23 O5:O13 P5:P29 Q5:Q19 R5:R14 S5 T5:T31 U5:U8 V5:V10 W5:W31 X5:Z29 AB5:AB34 AC5:AC30 AD5:AD28 AE5:AE30 AF5:AF23 AG5:AG25 AA6:AA24 S7:S31 E9:E20 U10:U31 V12:V31 O15:O24 R16 R18 R20:R31 L21:L31 M21:M28 Q21:Q26 E22:E26 N25:N29 AF25:AF30 O26:O27 AA26:AA33 AG27 C28:C29 E28:E31 K28:K29 Q28:Q33 H29:I29 J29:J31 O29 G30:G31 M30:M32 AD30 H31:I31 K31 N31 P31 X31:Y31 Z31:Z33 AG31 AC32:AC34 AD32:AE33 AB36:AC37">
    <cfRule type="containsText" dxfId="154" priority="42" operator="between" text="VACC">
      <formula>NOT(ISERROR(SEARCH("VACC",C5)))</formula>
    </cfRule>
  </conditionalFormatting>
  <conditionalFormatting sqref="C5:C10 D5:E7 F5:F10 G5:G21 H5:K26 L5:M19 N5:N11 O5:O13 P5:P29 Q5 R5:R14 S5 T5:T27 U5:U8 V5 W5:W29 X5 Y5:Y29 Z5:Z13 AB5:AB14 AC5:AD28 AE5:AE30 AF5:AF18 AG5:AG15 AA6:AA24 Q7:Q19 S7:S31 V7:V10 X7:X25 E9:E18 D10:D31 U10:U31 C12:C23 F12:F21 V12:V18 N13:N23 O15:O24 Z15:Z21 R16 AB17:AB34 AG17:AG24 R18 E20 R20:R25 V20:V25 AF20:AF23 L21:L31 M21:M28 Q21:Q26 E22:E26 F23:F31 G23:G28 Z23:Z29 N25:N29 AF25:AF30 C26 O26:O27 AA26:AA33 R27 V27:V31 X27:X28 AG27 C28:C29 E28:E31 K28:K29 Q28 H29:I29 J29:J31 O29 T29:T31 G30:G31 M30:M32 R30:R31 AC30:AD30 H31:I31 K31 N31 P31 Q31:Q33 W31:Y31 Z31:Z33 AG31 AC32:AC34 AD32:AE33 AB36:AC37">
    <cfRule type="expression" dxfId="136" priority="54">
      <formula>WEEKDAY(#REF!,2)&gt;5</formula>
    </cfRule>
  </conditionalFormatting>
  <conditionalFormatting sqref="BO5:BP39">
    <cfRule type="cellIs" dxfId="155" priority="63" operator="lessThan">
      <formula>1</formula>
    </cfRule>
  </conditionalFormatting>
  <conditionalFormatting sqref="T7:T10 F12 C13 T13:T14 U13 Y13 F16 H16 O16 C17 P17 H19 T20 E23 U24 AE24 E29:F29">
    <cfRule type="expression" dxfId="136" priority="31">
      <formula>WEEKDAY(V$3,2)&gt;5</formula>
    </cfRule>
  </conditionalFormatting>
  <conditionalFormatting sqref="T7:T10 T13:T14 U13 Y13 H16 O16 P17 H19 T20 G21 E23 G23 U24 AE24 G25 G27:G28 F28 E29 G30:G31">
    <cfRule type="expression" dxfId="136" priority="32">
      <formula>WEEKDAY(U$3,2)&gt;5</formula>
    </cfRule>
  </conditionalFormatting>
  <conditionalFormatting sqref="C8:C9 C12:C13 E12:F12 F16 C17 F29">
    <cfRule type="expression" dxfId="136" priority="33">
      <formula>WEEKDAY(E$3,2)&gt;5</formula>
    </cfRule>
  </conditionalFormatting>
  <conditionalFormatting sqref="O8:O9 P9:Q9">
    <cfRule type="expression" dxfId="136" priority="9">
      <formula>WEEKDAY(J$3,2)&gt;5</formula>
    </cfRule>
    <cfRule type="expression" dxfId="136" priority="10">
      <formula>WEEKDAY(I$3,2)&gt;5</formula>
    </cfRule>
  </conditionalFormatting>
  <dataValidations count="2">
    <dataValidation type="list" allowBlank="1" sqref="C5:AG5 D6:P6 R6 T6:U6 W6 Y6:AA6 AC6:AG6 E7:H7 J7:L7 N7:AG7 J8:K8 N8:R8 T8:AA8 AC8:AG8 C9:D9 H9:L9 N9:T9 V9:AB9 AD9:AE9 AG9 C10:AG10 C11:E11 G11:H11 K11:S11 W11:AG11 C12:H12 J12 M12 O12:T12 V12 X12:Y12 AA12:AG12 C13:V13 X13:AG13 C14 E14 G14:M14 O14:P14 T14 V14:AE14 AG14 C15:P15 T15:AG15 C16:AA16 AC16:AG16 D17:H17 K17:Q17 S17:T17 V17:AG17 C18:I18 K18:AG18 C19:D19 F19 H19:Q19 S19 U19 W19:AC19 AF19:AG19 C20:L20 N20:P20 R20:U20 W20:AG20 C21:D21 F21:X21 Z21:AA21 AC21 AE21:AG21 C22:E22 G22:I22 K22:Y22 AA22:AB22 AE22 D23:L23 O23 Q23 S23:V23 X23:AG23 D24:I24 K24:L24 N24:P24 S24:AG24 C25:D25 F25:G25 I25:J25 L25:Q25 S25:Z25 C26:Q26 S26:Y26 C27:D27 F27:I27 K27:M27 O27:P27 R27:AG27 D28:I28 K28:N28 P28:S28 U28:AF28 C29:P29 S29:AF29 C30:D30 F30:H30 L30:M30 O30 Q30:T30 V30:W30 Z30:AA30 AC30:AD30 AG30 D31:AA31 AD31:AG31 K32:M32 K33 M33 AB33:AC33 C34:J34 L34 C7:C8 F8:F9 R14:R15 Y32:Y33 C32:I33 C35:L39 N34:P39 O32:P33 R32:V33 R34:AG37 S38:AG39 AB25:AG26 AF32:AG33" showDropDown="1">
      <formula1>'Setting key Duty'!$B$7:$B$56</formula1>
    </dataValidation>
    <dataValidation type="list" allowBlank="1" sqref="C40:AG46" showDropDown="1">
      <formula1>'Setting key Duty'!$B$7:$B$23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BP46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C5" sqref="C5"/>
    </sheetView>
  </sheetViews>
  <sheetFormatPr defaultColWidth="12.6285714285714" defaultRowHeight="15.75" customHeight="1"/>
  <cols>
    <col min="1" max="1" width="2.13333333333333" customWidth="1"/>
    <col min="2" max="2" width="29.752380952381" customWidth="1"/>
    <col min="3" max="11" width="9.24761904761905" customWidth="1"/>
    <col min="12" max="12" width="9.38095238095238" customWidth="1"/>
    <col min="13" max="13" width="10.6285714285714" customWidth="1"/>
    <col min="14" max="14" width="9.24761904761905" customWidth="1"/>
    <col min="15" max="15" width="10" customWidth="1"/>
    <col min="16" max="17" width="9.24761904761905" customWidth="1"/>
    <col min="18" max="18" width="9.62857142857143" customWidth="1"/>
    <col min="19" max="19" width="9.13333333333333" customWidth="1"/>
    <col min="20" max="26" width="9.24761904761905" customWidth="1"/>
    <col min="27" max="27" width="10.5047619047619" customWidth="1"/>
    <col min="28" max="30" width="9.24761904761905" customWidth="1"/>
    <col min="31" max="31" width="10.5047619047619" customWidth="1"/>
    <col min="32" max="32" width="9.38095238095238" customWidth="1"/>
    <col min="33" max="33" width="9.24761904761905" customWidth="1"/>
    <col min="34" max="40" width="9.38095238095238" hidden="1" customWidth="1" outlineLevel="1"/>
    <col min="41" max="41" width="6.75238095238095" customWidth="1" collapsed="1"/>
    <col min="42" max="42" width="8.87619047619048" customWidth="1" outlineLevel="1"/>
    <col min="43" max="43" width="7.87619047619048" customWidth="1" outlineLevel="1"/>
    <col min="44" max="44" width="9.13333333333333" customWidth="1" outlineLevel="1"/>
    <col min="45" max="45" width="8.24761904761905" customWidth="1" outlineLevel="1"/>
    <col min="46" max="46" width="5.5047619047619" customWidth="1" outlineLevel="1"/>
    <col min="47" max="49" width="9.38095238095238" customWidth="1"/>
    <col min="50" max="57" width="9.38095238095238" customWidth="1" outlineLevel="1"/>
    <col min="58" max="58" width="10" customWidth="1" outlineLevel="1"/>
    <col min="59" max="64" width="9.38095238095238" customWidth="1" outlineLevel="1"/>
    <col min="65" max="65" width="9.38095238095238" customWidth="1"/>
    <col min="66" max="66" width="9.5047619047619" customWidth="1"/>
    <col min="67" max="68" width="9.38095238095238" customWidth="1"/>
  </cols>
  <sheetData>
    <row r="1" ht="3" customHeight="1" spans="1:68">
      <c r="A1" s="284"/>
      <c r="B1" s="285" t="s">
        <v>0</v>
      </c>
      <c r="C1" s="286" t="str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>
  Enter DM for DM, CS1 for CS1, CS2 for CS2, and SB1 for SB1. Use the 'Setting key' tab to customise. Change Date on highlighted cell
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90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0"/>
      <c r="BE1" s="290"/>
      <c r="BF1" s="290"/>
      <c r="BG1" s="290"/>
      <c r="BH1" s="290"/>
      <c r="BI1" s="290"/>
      <c r="BJ1" s="290"/>
      <c r="BK1" s="290"/>
      <c r="BL1" s="290"/>
      <c r="BM1" s="290"/>
      <c r="BN1" s="290"/>
      <c r="BO1" s="290"/>
      <c r="BP1" s="291"/>
    </row>
    <row r="2" ht="26.25" customHeight="1" spans="1:68">
      <c r="A2" s="292"/>
      <c r="B2" s="24" t="s">
        <v>1</v>
      </c>
      <c r="C2" s="167" t="s">
        <v>196</v>
      </c>
      <c r="D2" s="167" t="s">
        <v>197</v>
      </c>
      <c r="E2" s="167" t="s">
        <v>197</v>
      </c>
      <c r="F2" s="167"/>
      <c r="G2" s="167"/>
      <c r="H2" s="167" t="s">
        <v>197</v>
      </c>
      <c r="I2" s="167" t="s">
        <v>197</v>
      </c>
      <c r="J2" s="167"/>
      <c r="K2" s="167" t="s">
        <v>198</v>
      </c>
      <c r="L2" s="167" t="s">
        <v>199</v>
      </c>
      <c r="M2" s="167"/>
      <c r="N2" s="167"/>
      <c r="O2" s="167" t="s">
        <v>200</v>
      </c>
      <c r="P2" s="167"/>
      <c r="Q2" s="167" t="s">
        <v>201</v>
      </c>
      <c r="R2" s="167" t="s">
        <v>202</v>
      </c>
      <c r="S2" s="167" t="s">
        <v>203</v>
      </c>
      <c r="U2" s="167"/>
      <c r="V2" s="167" t="s">
        <v>204</v>
      </c>
      <c r="W2" s="167" t="s">
        <v>205</v>
      </c>
      <c r="X2" s="167"/>
      <c r="Y2" s="167" t="s">
        <v>206</v>
      </c>
      <c r="Z2" s="167" t="s">
        <v>207</v>
      </c>
      <c r="AA2" s="294"/>
      <c r="AB2" s="167"/>
      <c r="AC2" s="167"/>
      <c r="AD2" s="167" t="s">
        <v>208</v>
      </c>
      <c r="AE2" s="167" t="s">
        <v>209</v>
      </c>
      <c r="AF2" s="167" t="s">
        <v>209</v>
      </c>
      <c r="AG2" s="167"/>
      <c r="AH2" s="218"/>
      <c r="AI2" s="218"/>
      <c r="AJ2" s="218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  <c r="AX2" s="295"/>
      <c r="AY2" s="295"/>
      <c r="AZ2" s="296" t="s">
        <v>16</v>
      </c>
      <c r="BA2" s="296"/>
      <c r="BB2" s="296" t="s">
        <v>17</v>
      </c>
      <c r="BC2" s="296"/>
      <c r="BD2" s="296" t="s">
        <v>18</v>
      </c>
      <c r="BE2" s="296"/>
      <c r="BF2" s="296"/>
      <c r="BG2" s="296" t="s">
        <v>19</v>
      </c>
      <c r="BH2" s="296"/>
      <c r="BI2" s="296" t="s">
        <v>20</v>
      </c>
      <c r="BJ2" s="296"/>
      <c r="BK2" s="296"/>
      <c r="BL2" s="296"/>
      <c r="BM2" s="295"/>
      <c r="BN2" s="295"/>
      <c r="BO2" s="295"/>
      <c r="BP2" s="297"/>
    </row>
    <row r="3" ht="26.25" customHeight="1" spans="1:68">
      <c r="A3" s="292"/>
      <c r="B3" s="24" t="s">
        <v>21</v>
      </c>
      <c r="C3" s="388">
        <v>45658</v>
      </c>
      <c r="D3" s="299">
        <f t="shared" ref="D3:AG3" si="0">C3+1</f>
        <v>45659</v>
      </c>
      <c r="E3" s="299">
        <f t="shared" si="0"/>
        <v>45660</v>
      </c>
      <c r="F3" s="299">
        <f t="shared" si="0"/>
        <v>45661</v>
      </c>
      <c r="G3" s="299">
        <f t="shared" si="0"/>
        <v>45662</v>
      </c>
      <c r="H3" s="299">
        <f t="shared" si="0"/>
        <v>45663</v>
      </c>
      <c r="I3" s="299">
        <f t="shared" si="0"/>
        <v>45664</v>
      </c>
      <c r="J3" s="299">
        <f t="shared" si="0"/>
        <v>45665</v>
      </c>
      <c r="K3" s="299">
        <f t="shared" si="0"/>
        <v>45666</v>
      </c>
      <c r="L3" s="299">
        <f t="shared" si="0"/>
        <v>45667</v>
      </c>
      <c r="M3" s="299">
        <f t="shared" si="0"/>
        <v>45668</v>
      </c>
      <c r="N3" s="299">
        <f t="shared" si="0"/>
        <v>45669</v>
      </c>
      <c r="O3" s="299">
        <f t="shared" si="0"/>
        <v>45670</v>
      </c>
      <c r="P3" s="299">
        <f t="shared" si="0"/>
        <v>45671</v>
      </c>
      <c r="Q3" s="299">
        <f t="shared" si="0"/>
        <v>45672</v>
      </c>
      <c r="R3" s="299">
        <f t="shared" si="0"/>
        <v>45673</v>
      </c>
      <c r="S3" s="299">
        <f t="shared" si="0"/>
        <v>45674</v>
      </c>
      <c r="T3" s="299">
        <f t="shared" si="0"/>
        <v>45675</v>
      </c>
      <c r="U3" s="299">
        <f t="shared" si="0"/>
        <v>45676</v>
      </c>
      <c r="V3" s="299">
        <f t="shared" si="0"/>
        <v>45677</v>
      </c>
      <c r="W3" s="299">
        <f t="shared" si="0"/>
        <v>45678</v>
      </c>
      <c r="X3" s="299">
        <f t="shared" si="0"/>
        <v>45679</v>
      </c>
      <c r="Y3" s="299">
        <f t="shared" si="0"/>
        <v>45680</v>
      </c>
      <c r="Z3" s="299">
        <f t="shared" si="0"/>
        <v>45681</v>
      </c>
      <c r="AA3" s="299">
        <f t="shared" si="0"/>
        <v>45682</v>
      </c>
      <c r="AB3" s="299">
        <f t="shared" si="0"/>
        <v>45683</v>
      </c>
      <c r="AC3" s="299">
        <f t="shared" si="0"/>
        <v>45684</v>
      </c>
      <c r="AD3" s="299">
        <f t="shared" si="0"/>
        <v>45685</v>
      </c>
      <c r="AE3" s="299">
        <f t="shared" si="0"/>
        <v>45686</v>
      </c>
      <c r="AF3" s="299">
        <f t="shared" si="0"/>
        <v>45687</v>
      </c>
      <c r="AG3" s="299">
        <f t="shared" si="0"/>
        <v>45688</v>
      </c>
      <c r="AH3" s="221" t="str">
        <f>'Setting key Duty'!$C7</f>
        <v>DM</v>
      </c>
      <c r="AI3" s="222" t="str">
        <f>'Setting key Duty'!$C8</f>
        <v>CS1</v>
      </c>
      <c r="AJ3" s="223" t="str">
        <f>'Setting key Duty'!$C9</f>
        <v>CS2</v>
      </c>
      <c r="AK3" s="302" t="str">
        <f>'Setting key Duty'!$C11</f>
        <v>SB1</v>
      </c>
      <c r="AL3" s="302" t="str">
        <f>'Setting key Duty'!$C12</f>
        <v>SB2</v>
      </c>
      <c r="AM3" s="302" t="str">
        <f>'Setting key Duty'!$C13</f>
        <v>AE</v>
      </c>
      <c r="AN3" s="302" t="str">
        <f>'Setting key Duty'!C14</f>
        <v>EM</v>
      </c>
      <c r="AO3" s="223"/>
      <c r="AP3" s="223" t="s">
        <v>22</v>
      </c>
      <c r="AQ3" s="223" t="s">
        <v>23</v>
      </c>
      <c r="AR3" s="223" t="s">
        <v>24</v>
      </c>
      <c r="AS3" s="223" t="s">
        <v>25</v>
      </c>
      <c r="AT3" s="223" t="s">
        <v>26</v>
      </c>
      <c r="AU3" s="223" t="s">
        <v>27</v>
      </c>
      <c r="AV3" s="223" t="s">
        <v>28</v>
      </c>
      <c r="AW3" s="223" t="s">
        <v>29</v>
      </c>
      <c r="AX3" s="223" t="s">
        <v>30</v>
      </c>
      <c r="AY3" s="223" t="s">
        <v>31</v>
      </c>
      <c r="AZ3" s="302" t="s">
        <v>32</v>
      </c>
      <c r="BA3" s="302" t="s">
        <v>33</v>
      </c>
      <c r="BB3" s="302" t="s">
        <v>34</v>
      </c>
      <c r="BC3" s="302" t="s">
        <v>35</v>
      </c>
      <c r="BD3" s="302" t="s">
        <v>36</v>
      </c>
      <c r="BE3" s="302" t="s">
        <v>37</v>
      </c>
      <c r="BF3" s="302" t="s">
        <v>38</v>
      </c>
      <c r="BG3" s="302" t="s">
        <v>39</v>
      </c>
      <c r="BH3" s="302" t="s">
        <v>40</v>
      </c>
      <c r="BI3" s="302" t="s">
        <v>41</v>
      </c>
      <c r="BJ3" s="302" t="s">
        <v>42</v>
      </c>
      <c r="BK3" s="302" t="str">
        <f>'Setting key Duty'!C52</f>
        <v>Field Camp</v>
      </c>
      <c r="BL3" s="302" t="s">
        <v>43</v>
      </c>
      <c r="BM3" s="302" t="str">
        <f>'Setting key Duty'!$C15</f>
        <v>Block</v>
      </c>
      <c r="BN3" s="302" t="str">
        <f>'Setting key Duty'!C17</f>
        <v>Reserve</v>
      </c>
      <c r="BO3" s="302" t="str">
        <f>'Setting key Duty'!$C22</f>
        <v>AL</v>
      </c>
      <c r="BP3" s="297"/>
    </row>
    <row r="4" ht="18" customHeight="1" spans="1:68">
      <c r="A4" s="303"/>
      <c r="B4" s="260" t="s">
        <v>156</v>
      </c>
      <c r="C4" s="305" t="str">
        <f t="shared" ref="C4:AG4" si="1">TEXT(C3,"ddd")</f>
        <v>Wed</v>
      </c>
      <c r="D4" s="305" t="str">
        <f t="shared" si="1"/>
        <v>Thu</v>
      </c>
      <c r="E4" s="305" t="str">
        <f t="shared" si="1"/>
        <v>Fri</v>
      </c>
      <c r="F4" s="305" t="str">
        <f t="shared" si="1"/>
        <v>Sat</v>
      </c>
      <c r="G4" s="305" t="str">
        <f t="shared" si="1"/>
        <v>Sun</v>
      </c>
      <c r="H4" s="305" t="str">
        <f t="shared" si="1"/>
        <v>Mon</v>
      </c>
      <c r="I4" s="305" t="str">
        <f t="shared" si="1"/>
        <v>Tue</v>
      </c>
      <c r="J4" s="305" t="str">
        <f t="shared" si="1"/>
        <v>Wed</v>
      </c>
      <c r="K4" s="305" t="str">
        <f t="shared" si="1"/>
        <v>Thu</v>
      </c>
      <c r="L4" s="305" t="str">
        <f t="shared" si="1"/>
        <v>Fri</v>
      </c>
      <c r="M4" s="305" t="str">
        <f t="shared" si="1"/>
        <v>Sat</v>
      </c>
      <c r="N4" s="305" t="str">
        <f t="shared" si="1"/>
        <v>Sun</v>
      </c>
      <c r="O4" s="305" t="str">
        <f t="shared" si="1"/>
        <v>Mon</v>
      </c>
      <c r="P4" s="305" t="str">
        <f t="shared" si="1"/>
        <v>Tue</v>
      </c>
      <c r="Q4" s="305" t="str">
        <f t="shared" si="1"/>
        <v>Wed</v>
      </c>
      <c r="R4" s="305" t="str">
        <f t="shared" si="1"/>
        <v>Thu</v>
      </c>
      <c r="S4" s="305" t="str">
        <f t="shared" si="1"/>
        <v>Fri</v>
      </c>
      <c r="T4" s="305" t="str">
        <f t="shared" si="1"/>
        <v>Sat</v>
      </c>
      <c r="U4" s="305" t="str">
        <f t="shared" si="1"/>
        <v>Sun</v>
      </c>
      <c r="V4" s="305" t="str">
        <f t="shared" si="1"/>
        <v>Mon</v>
      </c>
      <c r="W4" s="305" t="str">
        <f t="shared" si="1"/>
        <v>Tue</v>
      </c>
      <c r="X4" s="305" t="str">
        <f t="shared" si="1"/>
        <v>Wed</v>
      </c>
      <c r="Y4" s="305" t="str">
        <f t="shared" si="1"/>
        <v>Thu</v>
      </c>
      <c r="Z4" s="305" t="str">
        <f t="shared" si="1"/>
        <v>Fri</v>
      </c>
      <c r="AA4" s="305" t="str">
        <f t="shared" si="1"/>
        <v>Sat</v>
      </c>
      <c r="AB4" s="305" t="str">
        <f t="shared" si="1"/>
        <v>Sun</v>
      </c>
      <c r="AC4" s="305" t="str">
        <f t="shared" si="1"/>
        <v>Mon</v>
      </c>
      <c r="AD4" s="305" t="str">
        <f t="shared" si="1"/>
        <v>Tue</v>
      </c>
      <c r="AE4" s="305" t="str">
        <f t="shared" si="1"/>
        <v>Wed</v>
      </c>
      <c r="AF4" s="305" t="str">
        <f t="shared" si="1"/>
        <v>Thu</v>
      </c>
      <c r="AG4" s="305" t="str">
        <f t="shared" si="1"/>
        <v>Fri</v>
      </c>
      <c r="AH4" s="227" t="str">
        <f>'Setting key Duty'!$B7</f>
        <v>DM</v>
      </c>
      <c r="AI4" s="228" t="str">
        <f>'Setting key Duty'!$B8</f>
        <v>CS1</v>
      </c>
      <c r="AJ4" s="229" t="str">
        <f>'Setting key Duty'!$B9</f>
        <v>CS2</v>
      </c>
      <c r="AK4" s="307" t="str">
        <f>'Setting key Duty'!$B11</f>
        <v>SB1</v>
      </c>
      <c r="AL4" s="307" t="str">
        <f>'Setting key Duty'!$B12</f>
        <v>SB2</v>
      </c>
      <c r="AM4" s="307" t="str">
        <f>'Setting key Duty'!$B13</f>
        <v>AE</v>
      </c>
      <c r="AN4" s="307" t="str">
        <f>'Setting key Duty'!B14</f>
        <v>EM</v>
      </c>
      <c r="AO4" s="307"/>
      <c r="AP4" s="307"/>
      <c r="AQ4" s="307"/>
      <c r="AR4" s="307"/>
      <c r="AS4" s="307"/>
      <c r="AT4" s="307"/>
      <c r="AU4" s="307"/>
      <c r="AV4" s="307"/>
      <c r="AW4" s="307"/>
      <c r="AX4" s="307"/>
      <c r="AY4" s="307" t="s">
        <v>45</v>
      </c>
      <c r="AZ4" s="307" t="s">
        <v>46</v>
      </c>
      <c r="BA4" s="307"/>
      <c r="BB4" s="307" t="s">
        <v>47</v>
      </c>
      <c r="BC4" s="307"/>
      <c r="BD4" s="307" t="s">
        <v>48</v>
      </c>
      <c r="BE4" s="307"/>
      <c r="BF4" s="307" t="s">
        <v>49</v>
      </c>
      <c r="BG4" s="307" t="s">
        <v>50</v>
      </c>
      <c r="BH4" s="307"/>
      <c r="BI4" s="307" t="s">
        <v>51</v>
      </c>
      <c r="BJ4" s="307"/>
      <c r="BK4" s="307" t="str">
        <f>'Setting key Duty'!B52</f>
        <v>$FC</v>
      </c>
      <c r="BL4" s="307"/>
      <c r="BM4" s="307">
        <f>'Setting key Duty'!$B15</f>
        <v>0</v>
      </c>
      <c r="BN4" s="307" t="str">
        <f>'Setting key Duty'!B17</f>
        <v>RESERVE</v>
      </c>
      <c r="BO4" s="307" t="str">
        <f>'Setting key Duty'!$B22</f>
        <v>AL</v>
      </c>
      <c r="BP4" s="308"/>
    </row>
    <row r="5" ht="19.5" customHeight="1" spans="1:68">
      <c r="A5" s="309" t="s">
        <v>52</v>
      </c>
      <c r="B5" s="332" t="s">
        <v>53</v>
      </c>
      <c r="C5" s="197"/>
      <c r="D5" s="197"/>
      <c r="E5" s="197" t="s">
        <v>158</v>
      </c>
      <c r="F5" s="197" t="s">
        <v>71</v>
      </c>
      <c r="G5" s="197" t="s">
        <v>71</v>
      </c>
      <c r="H5" s="197" t="s">
        <v>71</v>
      </c>
      <c r="I5" s="197" t="s">
        <v>162</v>
      </c>
      <c r="J5" s="197" t="s">
        <v>162</v>
      </c>
      <c r="K5" s="197" t="s">
        <v>59</v>
      </c>
      <c r="L5" s="197" t="s">
        <v>158</v>
      </c>
      <c r="N5" s="197"/>
      <c r="O5" s="197" t="s">
        <v>162</v>
      </c>
      <c r="P5" s="197" t="s">
        <v>162</v>
      </c>
      <c r="Q5" s="197" t="s">
        <v>57</v>
      </c>
      <c r="R5" s="106"/>
      <c r="S5" s="197" t="s">
        <v>162</v>
      </c>
      <c r="T5" s="197" t="s">
        <v>57</v>
      </c>
      <c r="U5" s="197"/>
      <c r="V5" s="197"/>
      <c r="W5" s="197"/>
      <c r="X5" s="197"/>
      <c r="Y5" s="197"/>
      <c r="AA5" s="197"/>
      <c r="AB5" s="197"/>
      <c r="AC5" s="197"/>
      <c r="AD5" s="197"/>
      <c r="AE5" s="197"/>
      <c r="AF5" s="197"/>
      <c r="AG5" s="197"/>
      <c r="AH5" s="311">
        <f t="shared" ref="AH5:AN5" si="2">COUNTIF($C5:$AE5,AH$4)</f>
        <v>2</v>
      </c>
      <c r="AI5" s="312">
        <f t="shared" si="2"/>
        <v>0</v>
      </c>
      <c r="AJ5" s="311">
        <f t="shared" si="2"/>
        <v>1</v>
      </c>
      <c r="AK5" s="313">
        <f t="shared" si="2"/>
        <v>0</v>
      </c>
      <c r="AL5" s="313">
        <f t="shared" si="2"/>
        <v>0</v>
      </c>
      <c r="AM5" s="313">
        <f t="shared" si="2"/>
        <v>0</v>
      </c>
      <c r="AN5" s="313">
        <f t="shared" si="2"/>
        <v>0</v>
      </c>
      <c r="AO5" s="238"/>
      <c r="AP5" s="313">
        <f t="shared" ref="AP5:AP37" si="3">SUMPRODUCT(--WEEKDAY(C$3:AG$3,2)&lt;6,--((C5:AG5="DM"))+(C5:AG5="CS1")+((C5:AG5="CS2"))+(C5:AG5="SB1")+(C5:AG5="AE")+(C5:AG5="EM"))</f>
        <v>0</v>
      </c>
      <c r="AQ5" s="238"/>
      <c r="AR5" s="238">
        <f t="shared" ref="AR5:AR37" si="4">SUMPRODUCT(--WEEKDAY(C$3:AG$3,2)&gt;5,--((C5:AG5="DM"))+(C5:AG5="CS1")+((C5:AG5="CS2"))+(C5:AG5="SB1")+(C5:AG5="AE")+(C5:AG5="EM"))</f>
        <v>0</v>
      </c>
      <c r="AS5" s="238"/>
      <c r="AT5" s="238">
        <f>(AP5-AQ5)/2+(AR5-AS5)</f>
        <v>0</v>
      </c>
      <c r="AU5" s="238">
        <f>AH5+AI5+AJ5+AK5+AM5+AN5</f>
        <v>3</v>
      </c>
      <c r="AV5" s="238">
        <f>BF5+BG5+BI5+BD5+BB5+AZ5+BK5</f>
        <v>0</v>
      </c>
      <c r="AW5" s="238" t="e">
        <f>AT5+AX5</f>
        <v>#VALUE!</v>
      </c>
      <c r="AX5" s="313" t="e">
        <f>(BI5*('Setting key Duty'!$I$8+'Setting key Duty'!$I$12))+(BG5*'Setting key Duty'!$I$9)+(BB5*('Setting key Duty'!$I$13+'Setting key Duty'!$I$9))+(AZ5*('Setting key Duty'!$I$13+'Setting key Duty'!$I$12+'Setting key Duty'!$I$11))+(BD5*('Setting key Duty'!$I$8+'Setting key Duty'!$I$9+'Setting key Duty'!$I$12))</f>
        <v>#VALUE!</v>
      </c>
      <c r="AY5" s="313">
        <f>COUNTIF(C5:AE5,"*BRT*")</f>
        <v>0</v>
      </c>
      <c r="AZ5" s="313">
        <f>COUNTIF(A5:AH5,"*$BTP*")</f>
        <v>0</v>
      </c>
      <c r="BA5" s="313" t="e">
        <f>AZ5*('Setting key Duty'!$I$13+'Setting key Duty'!$I$12+'Setting key Duty'!$I$11)</f>
        <v>#VALUE!</v>
      </c>
      <c r="BB5" s="313">
        <f>COUNTIF(A5:AH5,"*$L*")</f>
        <v>0</v>
      </c>
      <c r="BC5" s="313" t="e">
        <f>BB5*('Setting key Duty'!$I$13+'Setting key Duty'!$I$9)</f>
        <v>#VALUE!</v>
      </c>
      <c r="BD5" s="313">
        <f>COUNTIF(A5:AH5,"*$M*")</f>
        <v>0</v>
      </c>
      <c r="BE5" s="313">
        <f>BD5*('Setting key Duty'!$I$8+'Setting key Duty'!$I$9+'Setting key Duty'!$I$12)</f>
        <v>0</v>
      </c>
      <c r="BF5" s="313">
        <f>COUNTIF(AF5:AH5,"*$N*")</f>
        <v>0</v>
      </c>
      <c r="BG5" s="313">
        <f>COUNTIF(AF5:AH5,"*$PM*")</f>
        <v>0</v>
      </c>
      <c r="BH5" s="313">
        <f>BG5*('Setting key Duty'!$I$9)</f>
        <v>0</v>
      </c>
      <c r="BI5" s="313">
        <f>COUNTIF(A5:AH5,"*$AM*")</f>
        <v>0</v>
      </c>
      <c r="BJ5" s="313">
        <f>BI5*('Setting key Duty'!$I$12+'Setting key Duty'!$I$8)</f>
        <v>0</v>
      </c>
      <c r="BK5" s="313">
        <f>COUNTIF(C5:AH5,"*$FC*")</f>
        <v>0</v>
      </c>
      <c r="BL5" s="313">
        <f>BK5*('Setting key Duty'!$J$11+'Setting key Duty'!$I$8)</f>
        <v>0</v>
      </c>
      <c r="BM5" s="313">
        <f>COUNTIF($C5:$AE5,BM$4)</f>
        <v>0</v>
      </c>
      <c r="BN5" s="313">
        <f>COUNTIF($C5:$AE5,BN$4)</f>
        <v>0</v>
      </c>
      <c r="BO5" s="313">
        <f>COUNTIF($C5:$AE5,BO$4)</f>
        <v>0</v>
      </c>
      <c r="BP5" s="314"/>
    </row>
    <row r="6" ht="36" customHeight="1" spans="1:68">
      <c r="A6" s="309"/>
      <c r="B6" s="375" t="s">
        <v>60</v>
      </c>
      <c r="C6" s="197"/>
      <c r="D6" s="197" t="s">
        <v>56</v>
      </c>
      <c r="E6" s="197"/>
      <c r="F6" s="197"/>
      <c r="G6" s="197"/>
      <c r="H6" s="197" t="s">
        <v>59</v>
      </c>
      <c r="I6" s="106"/>
      <c r="K6" s="197" t="s">
        <v>56</v>
      </c>
      <c r="L6" s="197"/>
      <c r="M6" s="197" t="s">
        <v>158</v>
      </c>
      <c r="N6" s="197" t="s">
        <v>158</v>
      </c>
      <c r="P6" s="197" t="s">
        <v>56</v>
      </c>
      <c r="Q6" s="106"/>
      <c r="R6" s="197" t="s">
        <v>59</v>
      </c>
      <c r="S6" s="197"/>
      <c r="T6" s="197" t="s">
        <v>210</v>
      </c>
      <c r="U6" s="197" t="s">
        <v>56</v>
      </c>
      <c r="V6" s="106"/>
      <c r="W6" s="197" t="s">
        <v>56</v>
      </c>
      <c r="Y6" s="106"/>
      <c r="Z6" s="106"/>
      <c r="AA6" s="197" t="s">
        <v>56</v>
      </c>
      <c r="AB6" s="4"/>
      <c r="AD6" s="197"/>
      <c r="AE6" s="197" t="s">
        <v>59</v>
      </c>
      <c r="AG6" s="197"/>
      <c r="AH6" s="311">
        <f t="shared" ref="AH6:AN6" si="5">COUNTIF($D6:$AE6,AH$4)</f>
        <v>0</v>
      </c>
      <c r="AI6" s="312">
        <f t="shared" si="5"/>
        <v>6</v>
      </c>
      <c r="AJ6" s="311">
        <f t="shared" si="5"/>
        <v>3</v>
      </c>
      <c r="AK6" s="313">
        <f t="shared" si="5"/>
        <v>0</v>
      </c>
      <c r="AL6" s="313">
        <f t="shared" si="5"/>
        <v>0</v>
      </c>
      <c r="AM6" s="313">
        <f t="shared" si="5"/>
        <v>0</v>
      </c>
      <c r="AN6" s="313">
        <f t="shared" si="5"/>
        <v>0</v>
      </c>
      <c r="AO6" s="238"/>
      <c r="AP6" s="313">
        <f t="shared" si="3"/>
        <v>0</v>
      </c>
      <c r="AQ6" s="238"/>
      <c r="AR6" s="238">
        <f t="shared" si="4"/>
        <v>0</v>
      </c>
      <c r="AS6" s="238"/>
      <c r="AT6" s="238">
        <f>(AP6-AQ6)/2+(AR6-AS6)</f>
        <v>0</v>
      </c>
      <c r="AU6" s="238">
        <f>AH6+AI6+AJ6+AK6+AM6+AN6</f>
        <v>9</v>
      </c>
      <c r="AV6" s="238" t="e">
        <f>AT6+AX6</f>
        <v>#VALUE!</v>
      </c>
      <c r="AW6" s="238" t="e">
        <f>AT6+AX6</f>
        <v>#VALUE!</v>
      </c>
      <c r="AX6" s="313" t="e">
        <f>(BI6*('Setting key Duty'!$I$8+'Setting key Duty'!$I$12))+(BG6*'Setting key Duty'!$I$9)+(BB6*('Setting key Duty'!$I$13+'Setting key Duty'!$I$9))+(AZ6*('Setting key Duty'!$I$13+'Setting key Duty'!$I$12+'Setting key Duty'!$I$11))+(BD6*('Setting key Duty'!$I$8+'Setting key Duty'!$I$9+'Setting key Duty'!$I$12))</f>
        <v>#VALUE!</v>
      </c>
      <c r="AY6" s="313">
        <f>COUNTIF(D6:AE6,"*BRT*")</f>
        <v>0</v>
      </c>
      <c r="AZ6" s="313">
        <f>COUNTIF(A6:AH6,"*$BTP*")</f>
        <v>0</v>
      </c>
      <c r="BA6" s="313" t="e">
        <f>AZ6*('Setting key Duty'!$I$13+'Setting key Duty'!$I$12+'Setting key Duty'!$I$11)</f>
        <v>#VALUE!</v>
      </c>
      <c r="BB6" s="313">
        <f>COUNTIF(A6:AH6,"*$L*")</f>
        <v>0</v>
      </c>
      <c r="BC6" s="313" t="e">
        <f>BB6*('Setting key Duty'!$I$13+'Setting key Duty'!$I$9)</f>
        <v>#VALUE!</v>
      </c>
      <c r="BD6" s="313">
        <f>COUNTIF(A6:AH6,"*$M*")</f>
        <v>0</v>
      </c>
      <c r="BE6" s="313">
        <f>BD6*('Setting key Duty'!$I$8+'Setting key Duty'!$I$9+'Setting key Duty'!$I$12)</f>
        <v>0</v>
      </c>
      <c r="BF6" s="313">
        <f>COUNTIF(AF6:AH6,"*$N*")</f>
        <v>0</v>
      </c>
      <c r="BG6" s="313">
        <f>COUNTIF(AF6:AH6,"*$PM*")</f>
        <v>0</v>
      </c>
      <c r="BH6" s="313">
        <f>BG6*('Setting key Duty'!$I$9)</f>
        <v>0</v>
      </c>
      <c r="BI6" s="313">
        <f>COUNTIF(A6:AH6,"*$AM*")</f>
        <v>0</v>
      </c>
      <c r="BJ6" s="313">
        <f>BI6*('Setting key Duty'!$I$12+'Setting key Duty'!$I$8)</f>
        <v>0</v>
      </c>
      <c r="BK6" s="313">
        <f>COUNTIF(D6:AH6,"*$FC*")</f>
        <v>0</v>
      </c>
      <c r="BL6" s="313">
        <f>BK6*('Setting key Duty'!$J$11+'Setting key Duty'!$I$8)</f>
        <v>0</v>
      </c>
      <c r="BM6" s="313">
        <f>COUNTIF($D6:$AE6,BM$4)</f>
        <v>0</v>
      </c>
      <c r="BN6" s="313">
        <f>COUNTIF($D6:$AE6,BN$4)</f>
        <v>0</v>
      </c>
      <c r="BO6" s="313">
        <f>COUNTIF($D6:$AE6,BO$4)</f>
        <v>0</v>
      </c>
      <c r="BP6" s="314"/>
    </row>
    <row r="7" ht="19.5" customHeight="1" spans="1:68">
      <c r="A7" s="309"/>
      <c r="B7" s="334" t="s">
        <v>211</v>
      </c>
      <c r="C7" s="197" t="s">
        <v>54</v>
      </c>
      <c r="D7" s="197"/>
      <c r="E7" s="324" t="s">
        <v>56</v>
      </c>
      <c r="F7" s="197"/>
      <c r="G7" s="197" t="s">
        <v>57</v>
      </c>
      <c r="H7" s="317"/>
      <c r="I7" s="106"/>
      <c r="J7" s="106"/>
      <c r="K7" s="197"/>
      <c r="M7" s="197"/>
      <c r="N7" s="197"/>
      <c r="O7" s="197" t="s">
        <v>57</v>
      </c>
      <c r="P7" s="106"/>
      <c r="Q7" s="197"/>
      <c r="R7" s="197" t="s">
        <v>58</v>
      </c>
      <c r="S7" s="197"/>
      <c r="T7" s="197"/>
      <c r="U7" s="106"/>
      <c r="V7" s="197" t="s">
        <v>58</v>
      </c>
      <c r="W7" s="197"/>
      <c r="Y7" s="197" t="s">
        <v>59</v>
      </c>
      <c r="Z7" s="4" t="s">
        <v>212</v>
      </c>
      <c r="AA7" s="4"/>
      <c r="AB7" s="197" t="s">
        <v>58</v>
      </c>
      <c r="AC7" s="197"/>
      <c r="AD7" s="324" t="s">
        <v>59</v>
      </c>
      <c r="AE7" s="197"/>
      <c r="AF7" s="198" t="s">
        <v>57</v>
      </c>
      <c r="AG7" s="197"/>
      <c r="AH7" s="311">
        <f t="shared" ref="AH7:AN7" si="6">COUNTIF($C7:$D7,AH$4)</f>
        <v>0</v>
      </c>
      <c r="AI7" s="312">
        <f t="shared" si="6"/>
        <v>0</v>
      </c>
      <c r="AJ7" s="311">
        <f t="shared" si="6"/>
        <v>0</v>
      </c>
      <c r="AK7" s="313">
        <f t="shared" si="6"/>
        <v>0</v>
      </c>
      <c r="AL7" s="313">
        <f t="shared" si="6"/>
        <v>0</v>
      </c>
      <c r="AM7" s="313">
        <f t="shared" si="6"/>
        <v>0</v>
      </c>
      <c r="AN7" s="313">
        <f t="shared" si="6"/>
        <v>0</v>
      </c>
      <c r="AO7" s="238"/>
      <c r="AP7" s="313">
        <f t="shared" si="3"/>
        <v>0</v>
      </c>
      <c r="AQ7" s="238"/>
      <c r="AR7" s="238">
        <f t="shared" si="4"/>
        <v>0</v>
      </c>
      <c r="AS7" s="238"/>
      <c r="AT7" s="238">
        <f>(AP7-AQ7)/2+(AR7-AS7)</f>
        <v>0</v>
      </c>
      <c r="AU7" s="238">
        <f>AH7+AI7+AJ7+AK7+AM7+AN7</f>
        <v>0</v>
      </c>
      <c r="AV7" s="238">
        <f>BF7+BG7+BI7+BD7+BB7+AZ7+BK7</f>
        <v>0</v>
      </c>
      <c r="AW7" s="238" t="e">
        <f>AT7+AX7</f>
        <v>#VALUE!</v>
      </c>
      <c r="AX7" s="313" t="e">
        <f>(BI7*('Setting key Duty'!$I$8+'Setting key Duty'!$I$12))+(BG7*'Setting key Duty'!$I$9)+(BB7*('Setting key Duty'!$I$13+'Setting key Duty'!$I$9))+(AZ7*('Setting key Duty'!$I$13+'Setting key Duty'!$I$12+'Setting key Duty'!$I$11))+(BD7*('Setting key Duty'!$I$8+'Setting key Duty'!$I$9+'Setting key Duty'!$I$12))</f>
        <v>#VALUE!</v>
      </c>
      <c r="AY7" s="313">
        <f>COUNTIF(C7:D7,"*BRT*")</f>
        <v>0</v>
      </c>
      <c r="AZ7" s="313">
        <f>COUNTIF(A7:AH7,"*$BTP*")</f>
        <v>0</v>
      </c>
      <c r="BA7" s="313" t="e">
        <f>AZ7*('Setting key Duty'!$I$13+'Setting key Duty'!$I$12+'Setting key Duty'!$I$11)</f>
        <v>#VALUE!</v>
      </c>
      <c r="BB7" s="313">
        <f>COUNTIF(A7:AH7,"*$L*")</f>
        <v>0</v>
      </c>
      <c r="BC7" s="313" t="e">
        <f>BB7*('Setting key Duty'!$I$13+'Setting key Duty'!$I$9)</f>
        <v>#VALUE!</v>
      </c>
      <c r="BD7" s="313">
        <f>COUNTIF(A7:AH7,"*$M*")</f>
        <v>0</v>
      </c>
      <c r="BE7" s="313">
        <f>BD7*('Setting key Duty'!$I$8+'Setting key Duty'!$I$9+'Setting key Duty'!$I$12)</f>
        <v>0</v>
      </c>
      <c r="BF7" s="313">
        <f>COUNTIF(A7:AH7,"*$N*")</f>
        <v>0</v>
      </c>
      <c r="BG7" s="313">
        <f>COUNTIF(AG7:AH7,"*$PM*")</f>
        <v>0</v>
      </c>
      <c r="BH7" s="313">
        <f>BG7*('Setting key Duty'!$I$9)</f>
        <v>0</v>
      </c>
      <c r="BI7" s="313">
        <f>COUNTIF(A7:AH7,"*$AM*")</f>
        <v>0</v>
      </c>
      <c r="BJ7" s="313">
        <f>BI7*('Setting key Duty'!$I$12+'Setting key Duty'!$I$8)</f>
        <v>0</v>
      </c>
      <c r="BK7" s="313">
        <f>COUNTIF(C7:AH7,"*$FC*")</f>
        <v>0</v>
      </c>
      <c r="BL7" s="313">
        <f>BK7*('Setting key Duty'!$J$11+'Setting key Duty'!$I$8)</f>
        <v>0</v>
      </c>
      <c r="BM7" s="313">
        <f>COUNTIF($C7:$D7,BM$4)</f>
        <v>0</v>
      </c>
      <c r="BN7" s="313">
        <f>COUNTIF($C7:$D7,BN$4)</f>
        <v>0</v>
      </c>
      <c r="BO7" s="313">
        <f>COUNTIF($C7:$D7,BO$4)</f>
        <v>0</v>
      </c>
      <c r="BP7" s="314"/>
    </row>
    <row r="8" ht="19.5" customHeight="1" spans="1:68">
      <c r="A8" s="309"/>
      <c r="B8" s="334" t="s">
        <v>63</v>
      </c>
      <c r="C8" s="197"/>
      <c r="D8" s="106"/>
      <c r="E8" s="106"/>
      <c r="F8" s="324"/>
      <c r="G8" s="197" t="s">
        <v>58</v>
      </c>
      <c r="H8" s="106"/>
      <c r="I8" s="197" t="s">
        <v>56</v>
      </c>
      <c r="J8" s="197"/>
      <c r="K8" s="197"/>
      <c r="L8" s="106"/>
      <c r="M8" s="197"/>
      <c r="N8" s="197"/>
      <c r="O8" s="197"/>
      <c r="P8" s="197" t="s">
        <v>57</v>
      </c>
      <c r="Q8" s="197"/>
      <c r="R8" s="197"/>
      <c r="S8" s="197" t="s">
        <v>213</v>
      </c>
      <c r="T8" s="197"/>
      <c r="U8" s="197" t="s">
        <v>57</v>
      </c>
      <c r="W8" s="197" t="s">
        <v>58</v>
      </c>
      <c r="Y8" s="197" t="s">
        <v>214</v>
      </c>
      <c r="Z8" s="198" t="s">
        <v>56</v>
      </c>
      <c r="AA8" s="197" t="s">
        <v>120</v>
      </c>
      <c r="AB8" s="197" t="s">
        <v>120</v>
      </c>
      <c r="AC8" s="197" t="s">
        <v>57</v>
      </c>
      <c r="AD8" s="197"/>
      <c r="AE8" s="197"/>
      <c r="AF8" s="197"/>
      <c r="AG8" s="197" t="s">
        <v>57</v>
      </c>
      <c r="AH8" s="311"/>
      <c r="AI8" s="312"/>
      <c r="AJ8" s="311"/>
      <c r="AK8" s="313"/>
      <c r="AL8" s="313"/>
      <c r="AM8" s="313"/>
      <c r="AN8" s="313"/>
      <c r="AO8" s="238"/>
      <c r="AP8" s="313">
        <f t="shared" si="3"/>
        <v>0</v>
      </c>
      <c r="AQ8" s="238"/>
      <c r="AR8" s="238">
        <f t="shared" si="4"/>
        <v>0</v>
      </c>
      <c r="AS8" s="238"/>
      <c r="AT8" s="238"/>
      <c r="AU8" s="238"/>
      <c r="AV8" s="238"/>
      <c r="AW8" s="238"/>
      <c r="AX8" s="313"/>
      <c r="AY8" s="313"/>
      <c r="AZ8" s="313"/>
      <c r="BA8" s="313"/>
      <c r="BB8" s="313"/>
      <c r="BC8" s="313"/>
      <c r="BD8" s="313"/>
      <c r="BE8" s="313"/>
      <c r="BF8" s="313"/>
      <c r="BG8" s="313"/>
      <c r="BH8" s="313"/>
      <c r="BI8" s="313"/>
      <c r="BJ8" s="313"/>
      <c r="BK8" s="313"/>
      <c r="BL8" s="313"/>
      <c r="BM8" s="313"/>
      <c r="BN8" s="313"/>
      <c r="BO8" s="313"/>
      <c r="BP8" s="314"/>
    </row>
    <row r="9" ht="19.5" customHeight="1" spans="1:68">
      <c r="A9" s="309"/>
      <c r="B9" s="394" t="s">
        <v>215</v>
      </c>
      <c r="C9" s="197"/>
      <c r="D9" s="197" t="s">
        <v>59</v>
      </c>
      <c r="E9" s="4" t="s">
        <v>216</v>
      </c>
      <c r="F9" s="197"/>
      <c r="G9" s="197" t="s">
        <v>56</v>
      </c>
      <c r="H9" s="106"/>
      <c r="I9" s="197"/>
      <c r="J9" s="197"/>
      <c r="K9" s="197"/>
      <c r="L9" s="4" t="s">
        <v>96</v>
      </c>
      <c r="M9" s="106"/>
      <c r="N9" s="197"/>
      <c r="O9" s="197" t="s">
        <v>59</v>
      </c>
      <c r="P9" s="106"/>
      <c r="Q9" s="197" t="s">
        <v>61</v>
      </c>
      <c r="R9" s="106"/>
      <c r="S9" s="197" t="s">
        <v>56</v>
      </c>
      <c r="T9" s="197"/>
      <c r="U9" s="197"/>
      <c r="V9" s="197" t="s">
        <v>59</v>
      </c>
      <c r="W9" s="106"/>
      <c r="X9" s="197" t="s">
        <v>59</v>
      </c>
      <c r="Z9" s="4" t="s">
        <v>212</v>
      </c>
      <c r="AA9" s="197"/>
      <c r="AB9" s="197"/>
      <c r="AC9" s="197" t="s">
        <v>56</v>
      </c>
      <c r="AD9" s="197"/>
      <c r="AE9" s="197"/>
      <c r="AF9" s="198" t="s">
        <v>59</v>
      </c>
      <c r="AG9" s="197"/>
      <c r="AH9" s="311"/>
      <c r="AI9" s="312"/>
      <c r="AJ9" s="311"/>
      <c r="AK9" s="313"/>
      <c r="AL9" s="313"/>
      <c r="AM9" s="313"/>
      <c r="AN9" s="313"/>
      <c r="AO9" s="238"/>
      <c r="AP9" s="313">
        <f t="shared" si="3"/>
        <v>0</v>
      </c>
      <c r="AQ9" s="238"/>
      <c r="AR9" s="238">
        <f t="shared" si="4"/>
        <v>0</v>
      </c>
      <c r="AS9" s="238"/>
      <c r="AT9" s="238">
        <f t="shared" ref="AT9:AT37" si="7">(AP9-AQ9)/2+(AR9-AS9)</f>
        <v>0</v>
      </c>
      <c r="AU9" s="238">
        <f t="shared" ref="AU9:AU37" si="8">AH9+AI9+AJ9+AK9+AM9+AN9</f>
        <v>0</v>
      </c>
      <c r="AV9" s="238">
        <f t="shared" ref="AV9:AV37" si="9">BF9+BG9+BI9+BD9+BB9+AZ9+BK9</f>
        <v>0</v>
      </c>
      <c r="AW9" s="238" t="e">
        <f>AT9+AX9</f>
        <v>#VALUE!</v>
      </c>
      <c r="AX9" s="313" t="e">
        <f>(BI9*('Setting key Duty'!$I$8+'Setting key Duty'!$I$12))+(BG9*'Setting key Duty'!$I$9)+(BB9*('Setting key Duty'!$I$13+'Setting key Duty'!$I$9))+(AZ9*('Setting key Duty'!$I$13+'Setting key Duty'!$I$12+'Setting key Duty'!$I$11))+(BD9*('Setting key Duty'!$I$8+'Setting key Duty'!$I$9+'Setting key Duty'!$I$12))</f>
        <v>#VALUE!</v>
      </c>
      <c r="AY9" s="313">
        <f>COUNTIF(D9:Z9,"*BRT*")</f>
        <v>0</v>
      </c>
      <c r="AZ9" s="313">
        <f t="shared" ref="AZ9:AZ22" si="10">COUNTIF(A9:AH9,"*$BTP*")</f>
        <v>0</v>
      </c>
      <c r="BA9" s="313" t="e">
        <f>AZ9*('Setting key Duty'!$I$13+'Setting key Duty'!$I$12+'Setting key Duty'!$I$11)</f>
        <v>#VALUE!</v>
      </c>
      <c r="BB9" s="313">
        <f>COUNTIF(A9:AH9,"*$L*")</f>
        <v>0</v>
      </c>
      <c r="BC9" s="313" t="e">
        <f>BB9*('Setting key Duty'!$I$13+'Setting key Duty'!$I$9)</f>
        <v>#VALUE!</v>
      </c>
      <c r="BD9" s="313">
        <f>COUNTIF(A9:AH9,"*$M*")</f>
        <v>0</v>
      </c>
      <c r="BE9" s="313">
        <f>BD9*('Setting key Duty'!$I$8+'Setting key Duty'!$I$9+'Setting key Duty'!$I$12)</f>
        <v>0</v>
      </c>
      <c r="BF9" s="313">
        <f>COUNTIF(AH9,"*$N*")</f>
        <v>0</v>
      </c>
      <c r="BG9" s="313">
        <f>COUNTIF(AH9,"*$PM*")</f>
        <v>0</v>
      </c>
      <c r="BH9" s="313">
        <f>BG9*('Setting key Duty'!$I$9)</f>
        <v>0</v>
      </c>
      <c r="BI9" s="313">
        <f>COUNTIF(A9:AH9,"*$AM*")</f>
        <v>0</v>
      </c>
      <c r="BJ9" s="313">
        <f>BI9*('Setting key Duty'!$I$12+'Setting key Duty'!$I$8)</f>
        <v>0</v>
      </c>
      <c r="BK9" s="313">
        <f>COUNTIF(D9:AH9,"*$FC*")</f>
        <v>0</v>
      </c>
      <c r="BL9" s="313">
        <f>BK9*('Setting key Duty'!$J$11+'Setting key Duty'!$I$8)</f>
        <v>0</v>
      </c>
      <c r="BM9" s="313">
        <f>COUNTIF($D9:$Z9,BM$4)</f>
        <v>0</v>
      </c>
      <c r="BN9" s="313">
        <f>COUNTIF($D9:$Z9,BN$4)</f>
        <v>0</v>
      </c>
      <c r="BO9" s="313">
        <f>COUNTIF($D9:$Z9,BO$4)</f>
        <v>0</v>
      </c>
      <c r="BP9" s="314"/>
    </row>
    <row r="10" ht="19.5" customHeight="1" spans="1:68">
      <c r="A10" s="309"/>
      <c r="B10" s="373" t="s">
        <v>99</v>
      </c>
      <c r="C10" s="197" t="s">
        <v>59</v>
      </c>
      <c r="D10" s="197"/>
      <c r="E10" s="106"/>
      <c r="F10" s="197"/>
      <c r="G10" s="197" t="s">
        <v>59</v>
      </c>
      <c r="H10" s="106"/>
      <c r="J10" s="197"/>
      <c r="K10" s="197" t="s">
        <v>217</v>
      </c>
      <c r="L10" s="197"/>
      <c r="M10" s="197"/>
      <c r="N10" s="197"/>
      <c r="O10" s="197" t="s">
        <v>218</v>
      </c>
      <c r="P10" s="197" t="s">
        <v>218</v>
      </c>
      <c r="Q10" s="197" t="s">
        <v>218</v>
      </c>
      <c r="R10" s="197" t="s">
        <v>218</v>
      </c>
      <c r="S10" s="197" t="s">
        <v>218</v>
      </c>
      <c r="T10" s="197" t="s">
        <v>56</v>
      </c>
      <c r="U10" s="197"/>
      <c r="V10" s="197" t="s">
        <v>218</v>
      </c>
      <c r="W10" s="197" t="s">
        <v>218</v>
      </c>
      <c r="X10" s="197" t="s">
        <v>218</v>
      </c>
      <c r="Y10" s="197" t="s">
        <v>218</v>
      </c>
      <c r="Z10" s="197" t="s">
        <v>218</v>
      </c>
      <c r="AA10" s="197" t="s">
        <v>59</v>
      </c>
      <c r="AB10" s="197"/>
      <c r="AC10" s="197" t="s">
        <v>219</v>
      </c>
      <c r="AD10" s="197" t="s">
        <v>56</v>
      </c>
      <c r="AE10" s="197"/>
      <c r="AF10" s="106"/>
      <c r="AG10" s="197" t="s">
        <v>96</v>
      </c>
      <c r="AH10" s="311"/>
      <c r="AI10" s="312"/>
      <c r="AJ10" s="311"/>
      <c r="AK10" s="313"/>
      <c r="AL10" s="313"/>
      <c r="AM10" s="313"/>
      <c r="AN10" s="313"/>
      <c r="AO10" s="238"/>
      <c r="AP10" s="313">
        <f t="shared" si="3"/>
        <v>0</v>
      </c>
      <c r="AQ10" s="238"/>
      <c r="AR10" s="238">
        <f t="shared" si="4"/>
        <v>0</v>
      </c>
      <c r="AS10" s="238"/>
      <c r="AT10" s="238">
        <f t="shared" si="7"/>
        <v>0</v>
      </c>
      <c r="AU10" s="238">
        <f t="shared" si="8"/>
        <v>0</v>
      </c>
      <c r="AV10" s="238">
        <f t="shared" si="9"/>
        <v>2</v>
      </c>
      <c r="AW10" s="238" t="e">
        <f>AT10+$AX$10</f>
        <v>#VALUE!</v>
      </c>
      <c r="AX10" s="313" t="e">
        <f>(BI10*('Setting key Duty'!$I$8+'Setting key Duty'!$I$12))+(BG10*'Setting key Duty'!$I$9)+(BB10*('Setting key Duty'!$I$13+'Setting key Duty'!$I$9))+(AZ10*('Setting key Duty'!$I$13+'Setting key Duty'!$I$12+'Setting key Duty'!$I$11))+(BD10*('Setting key Duty'!$I$8+'Setting key Duty'!$I$9+'Setting key Duty'!$I$12))</f>
        <v>#VALUE!</v>
      </c>
      <c r="AY10" s="313">
        <f>COUNTIF(C10:AC10,"*BRT*")</f>
        <v>0</v>
      </c>
      <c r="AZ10" s="313">
        <f t="shared" si="10"/>
        <v>0</v>
      </c>
      <c r="BA10" s="313" t="e">
        <f>AZ10*('Setting key Duty'!$I$13+'Setting key Duty'!$I$12+'Setting key Duty'!$I$11)</f>
        <v>#VALUE!</v>
      </c>
      <c r="BB10" s="313">
        <f>COUNTIF(D10:AH10,"*$L*")</f>
        <v>0</v>
      </c>
      <c r="BC10" s="313" t="e">
        <f>BB10*('Setting key Duty'!$I$13+'Setting key Duty'!$I$9)</f>
        <v>#VALUE!</v>
      </c>
      <c r="BD10" s="313">
        <f>COUNTIF(D10:AH10,"*$M*")</f>
        <v>0</v>
      </c>
      <c r="BE10" s="313">
        <f>BD10*('Setting key Duty'!$I$8+'Setting key Duty'!$I$9+'Setting key Duty'!$I$12)</f>
        <v>0</v>
      </c>
      <c r="BF10" s="313">
        <f>COUNTIF(D10:AH10,"*$N*")</f>
        <v>0</v>
      </c>
      <c r="BG10" s="313">
        <f>COUNTIF(D10:AH10,"*$PM*")</f>
        <v>2</v>
      </c>
      <c r="BH10" s="313">
        <f>BG10*('Setting key Duty'!$I$9)</f>
        <v>0.25</v>
      </c>
      <c r="BI10" s="313">
        <f>COUNTIF(D10:AH10,"*$AM*")</f>
        <v>0</v>
      </c>
      <c r="BJ10" s="313">
        <f>BI10*('Setting key Duty'!$I$12+'Setting key Duty'!$I$8)</f>
        <v>0</v>
      </c>
      <c r="BK10" s="313">
        <f>COUNTIF(C10:AH10,"*$FC*")</f>
        <v>0</v>
      </c>
      <c r="BL10" s="313">
        <f>BK10*('Setting key Duty'!$J$11+'Setting key Duty'!$I$8)</f>
        <v>0</v>
      </c>
      <c r="BM10" s="313">
        <f>COUNTIF($C10:$AG10,BM$4)</f>
        <v>0</v>
      </c>
      <c r="BN10" s="313">
        <f>COUNTIF($C10:$AG10,BN$4)</f>
        <v>0</v>
      </c>
      <c r="BO10" s="313">
        <f>COUNTIF($D10:$AE10,BO$4)</f>
        <v>0</v>
      </c>
      <c r="BP10" s="314"/>
    </row>
    <row r="11" ht="13.5" spans="1:68">
      <c r="A11" s="309"/>
      <c r="B11" s="375" t="s">
        <v>66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311">
        <f t="shared" ref="AH11:AN11" si="11">COUNTIF($C11:$AE11,AH$4)</f>
        <v>0</v>
      </c>
      <c r="AI11" s="312">
        <f t="shared" si="11"/>
        <v>0</v>
      </c>
      <c r="AJ11" s="311">
        <f t="shared" si="11"/>
        <v>0</v>
      </c>
      <c r="AK11" s="313">
        <f t="shared" si="11"/>
        <v>0</v>
      </c>
      <c r="AL11" s="313">
        <f t="shared" si="11"/>
        <v>0</v>
      </c>
      <c r="AM11" s="313">
        <f t="shared" si="11"/>
        <v>0</v>
      </c>
      <c r="AN11" s="313">
        <f t="shared" si="11"/>
        <v>0</v>
      </c>
      <c r="AO11" s="238"/>
      <c r="AP11" s="313">
        <f t="shared" si="3"/>
        <v>0</v>
      </c>
      <c r="AQ11" s="238"/>
      <c r="AR11" s="238">
        <f t="shared" si="4"/>
        <v>0</v>
      </c>
      <c r="AS11" s="238"/>
      <c r="AT11" s="238">
        <f t="shared" si="7"/>
        <v>0</v>
      </c>
      <c r="AU11" s="238">
        <f t="shared" si="8"/>
        <v>0</v>
      </c>
      <c r="AV11" s="238">
        <f t="shared" si="9"/>
        <v>0</v>
      </c>
      <c r="AW11" s="238" t="e">
        <f t="shared" ref="AW11:AW22" si="12">AT11+AX11</f>
        <v>#VALUE!</v>
      </c>
      <c r="AX11" s="313" t="e">
        <f>(BI11*('Setting key Duty'!$I$8+'Setting key Duty'!$I$12))+(BG11*'Setting key Duty'!$I$9)+(BB11*('Setting key Duty'!$I$13+'Setting key Duty'!$I$9))+(AZ11*('Setting key Duty'!$I$13+'Setting key Duty'!$I$12+'Setting key Duty'!$I$11))+(BD11*('Setting key Duty'!$I$8+'Setting key Duty'!$I$9+'Setting key Duty'!$I$12))</f>
        <v>#VALUE!</v>
      </c>
      <c r="AY11" s="313">
        <f>COUNTIF(C11:AE11,"*BRT*")</f>
        <v>0</v>
      </c>
      <c r="AZ11" s="313">
        <f t="shared" si="10"/>
        <v>0</v>
      </c>
      <c r="BA11" s="313" t="e">
        <f>AZ11*('Setting key Duty'!$I$13+'Setting key Duty'!$I$12+'Setting key Duty'!$I$11)</f>
        <v>#VALUE!</v>
      </c>
      <c r="BB11" s="313">
        <f t="shared" ref="BB11:BB17" si="13">COUNTIF(A11:AH11,"*$L*")</f>
        <v>0</v>
      </c>
      <c r="BC11" s="313" t="e">
        <f>BB11*('Setting key Duty'!$I$13+'Setting key Duty'!$I$9)</f>
        <v>#VALUE!</v>
      </c>
      <c r="BD11" s="313">
        <f t="shared" ref="BD11:BD17" si="14">COUNTIF(A11:AH11,"*$M*")</f>
        <v>0</v>
      </c>
      <c r="BE11" s="313">
        <f>BD11*('Setting key Duty'!$I$8+'Setting key Duty'!$I$9+'Setting key Duty'!$I$12)</f>
        <v>0</v>
      </c>
      <c r="BF11" s="313">
        <f>COUNTIF(A11:AH11,"*$N*")</f>
        <v>0</v>
      </c>
      <c r="BG11" s="313">
        <f>COUNTIF(AF11:AH11,"*$PM*")</f>
        <v>0</v>
      </c>
      <c r="BH11" s="313">
        <f>BG11*('Setting key Duty'!$I$9)</f>
        <v>0</v>
      </c>
      <c r="BI11" s="313">
        <f t="shared" ref="BI11:BI17" si="15">COUNTIF(A11:AH11,"*$AM*")</f>
        <v>0</v>
      </c>
      <c r="BJ11" s="313">
        <f>BI11*('Setting key Duty'!$I$12+'Setting key Duty'!$I$8)</f>
        <v>0</v>
      </c>
      <c r="BK11" s="313">
        <f>COUNTIF(C11:AH11,"*$FC*")</f>
        <v>0</v>
      </c>
      <c r="BL11" s="313">
        <f>BK11*('Setting key Duty'!$J$11+'Setting key Duty'!$I$8)</f>
        <v>0</v>
      </c>
      <c r="BM11" s="313">
        <f>COUNTIF($C11:$AE11,BM$4)</f>
        <v>0</v>
      </c>
      <c r="BN11" s="313">
        <f>COUNTIF($C11:$AE11,BN$4)</f>
        <v>0</v>
      </c>
      <c r="BO11" s="313">
        <f>COUNTIF($C11:$AE11,BO$4)</f>
        <v>0</v>
      </c>
      <c r="BP11" s="314"/>
    </row>
    <row r="12" ht="19.5" customHeight="1" spans="1:68">
      <c r="A12" s="309"/>
      <c r="B12" s="334" t="s">
        <v>68</v>
      </c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/>
      <c r="AF12" s="197"/>
      <c r="AG12" s="197"/>
      <c r="AH12" s="311"/>
      <c r="AI12" s="312"/>
      <c r="AJ12" s="311"/>
      <c r="AK12" s="313"/>
      <c r="AL12" s="313"/>
      <c r="AM12" s="313"/>
      <c r="AN12" s="313"/>
      <c r="AO12" s="238"/>
      <c r="AP12" s="313">
        <f t="shared" si="3"/>
        <v>0</v>
      </c>
      <c r="AQ12" s="238"/>
      <c r="AR12" s="238">
        <f t="shared" si="4"/>
        <v>0</v>
      </c>
      <c r="AS12" s="238"/>
      <c r="AT12" s="238">
        <f t="shared" si="7"/>
        <v>0</v>
      </c>
      <c r="AU12" s="238">
        <f t="shared" si="8"/>
        <v>0</v>
      </c>
      <c r="AV12" s="238">
        <f t="shared" si="9"/>
        <v>0</v>
      </c>
      <c r="AW12" s="238" t="e">
        <f t="shared" si="12"/>
        <v>#VALUE!</v>
      </c>
      <c r="AX12" s="313" t="e">
        <f>(BI12*('Setting key Duty'!$I$8+'Setting key Duty'!$I$12))+(BG12*'Setting key Duty'!$I$9)+(BB12*('Setting key Duty'!$I$13+'Setting key Duty'!$I$9))+(AZ12*('Setting key Duty'!$I$13+'Setting key Duty'!$I$12+'Setting key Duty'!$I$11))+(BD12*('Setting key Duty'!$I$8+'Setting key Duty'!$I$9+'Setting key Duty'!$I$12))</f>
        <v>#VALUE!</v>
      </c>
      <c r="AY12" s="313" t="e">
        <f>COUNTIF(#REF!,"*BRT*")</f>
        <v>#REF!</v>
      </c>
      <c r="AZ12" s="313">
        <f t="shared" si="10"/>
        <v>0</v>
      </c>
      <c r="BA12" s="313" t="e">
        <f>AZ12*('Setting key Duty'!$I$13+'Setting key Duty'!$I$12+'Setting key Duty'!$I$11)</f>
        <v>#VALUE!</v>
      </c>
      <c r="BB12" s="313">
        <f t="shared" si="13"/>
        <v>0</v>
      </c>
      <c r="BC12" s="313" t="e">
        <f>BB12*('Setting key Duty'!$I$13+'Setting key Duty'!$I$9)</f>
        <v>#VALUE!</v>
      </c>
      <c r="BD12" s="313">
        <f t="shared" si="14"/>
        <v>0</v>
      </c>
      <c r="BE12" s="313">
        <f>BD12*('Setting key Duty'!$I$8+'Setting key Duty'!$I$9+'Setting key Duty'!$I$12)</f>
        <v>0</v>
      </c>
      <c r="BF12" s="313">
        <f>COUNTIF(AH12,"*$N*")</f>
        <v>0</v>
      </c>
      <c r="BG12" s="313">
        <f>COUNTIF(AH12,"*$PM*")</f>
        <v>0</v>
      </c>
      <c r="BH12" s="313">
        <f>BG12*('Setting key Duty'!$I$9)</f>
        <v>0</v>
      </c>
      <c r="BI12" s="313">
        <f t="shared" si="15"/>
        <v>0</v>
      </c>
      <c r="BJ12" s="313">
        <f>BI12*('Setting key Duty'!$I$12+'Setting key Duty'!$I$8)</f>
        <v>0</v>
      </c>
      <c r="BK12" s="313">
        <f>COUNTIF(E12:AH12,"*$FC*")</f>
        <v>0</v>
      </c>
      <c r="BL12" s="313">
        <f>BK12*('Setting key Duty'!$J$11+'Setting key Duty'!$I$8)</f>
        <v>0</v>
      </c>
      <c r="BM12" s="313" t="e">
        <f>COUNTIF(#REF!,BM$4)</f>
        <v>#REF!</v>
      </c>
      <c r="BN12" s="313" t="e">
        <f>COUNTIF(#REF!,BN$4)</f>
        <v>#REF!</v>
      </c>
      <c r="BO12" s="313" t="e">
        <f>COUNTIF(#REF!,BO$4)</f>
        <v>#REF!</v>
      </c>
      <c r="BP12" s="314"/>
    </row>
    <row r="13" ht="19.5" customHeight="1" spans="1:68">
      <c r="A13" s="309"/>
      <c r="B13" s="332" t="s">
        <v>70</v>
      </c>
      <c r="C13" s="198"/>
      <c r="D13" s="197" t="s">
        <v>57</v>
      </c>
      <c r="E13" s="197"/>
      <c r="F13" s="197"/>
      <c r="G13" s="106"/>
      <c r="H13" s="197" t="s">
        <v>56</v>
      </c>
      <c r="I13" s="106"/>
      <c r="J13" s="106"/>
      <c r="K13" s="317" t="s">
        <v>58</v>
      </c>
      <c r="L13" s="197"/>
      <c r="M13" s="197" t="s">
        <v>210</v>
      </c>
      <c r="N13" s="197" t="s">
        <v>57</v>
      </c>
      <c r="O13" s="317"/>
      <c r="P13" s="317"/>
      <c r="Q13" s="106"/>
      <c r="R13" s="197" t="s">
        <v>220</v>
      </c>
      <c r="S13" s="106"/>
      <c r="T13" s="106"/>
      <c r="U13" s="197" t="s">
        <v>59</v>
      </c>
      <c r="V13" s="106"/>
      <c r="W13" s="197" t="s">
        <v>221</v>
      </c>
      <c r="X13" s="197" t="s">
        <v>61</v>
      </c>
      <c r="Y13" s="198"/>
      <c r="Z13" s="197" t="s">
        <v>57</v>
      </c>
      <c r="AA13" s="197"/>
      <c r="AB13" s="197"/>
      <c r="AD13" s="197" t="s">
        <v>57</v>
      </c>
      <c r="AE13" s="197"/>
      <c r="AF13" s="197" t="s">
        <v>56</v>
      </c>
      <c r="AG13" s="197"/>
      <c r="AH13" s="311"/>
      <c r="AI13" s="312"/>
      <c r="AJ13" s="311"/>
      <c r="AK13" s="313"/>
      <c r="AL13" s="313"/>
      <c r="AM13" s="313"/>
      <c r="AN13" s="313"/>
      <c r="AO13" s="238"/>
      <c r="AP13" s="313">
        <f t="shared" si="3"/>
        <v>0</v>
      </c>
      <c r="AQ13" s="238"/>
      <c r="AR13" s="238">
        <f t="shared" si="4"/>
        <v>0</v>
      </c>
      <c r="AS13" s="238"/>
      <c r="AT13" s="238">
        <f t="shared" si="7"/>
        <v>0</v>
      </c>
      <c r="AU13" s="238">
        <f t="shared" si="8"/>
        <v>0</v>
      </c>
      <c r="AV13" s="238">
        <f t="shared" si="9"/>
        <v>2</v>
      </c>
      <c r="AW13" s="238" t="e">
        <f t="shared" si="12"/>
        <v>#VALUE!</v>
      </c>
      <c r="AX13" s="313" t="e">
        <f>(BI13*('Setting key Duty'!$I$8+'Setting key Duty'!$I$12))+(BG13*'Setting key Duty'!$I$9)+(BB13*('Setting key Duty'!$I$13+'Setting key Duty'!$I$9))+(AZ13*('Setting key Duty'!$I$13+'Setting key Duty'!$I$12+'Setting key Duty'!$I$11))+(BD13*('Setting key Duty'!$I$8+'Setting key Duty'!$I$9+'Setting key Duty'!$I$12))</f>
        <v>#VALUE!</v>
      </c>
      <c r="AY13" s="313">
        <f>COUNTIF(D13:AC13,"*BRT*")</f>
        <v>0</v>
      </c>
      <c r="AZ13" s="313">
        <f t="shared" si="10"/>
        <v>0</v>
      </c>
      <c r="BA13" s="313" t="e">
        <f>AZ13*('Setting key Duty'!$I$13+'Setting key Duty'!$I$12+'Setting key Duty'!$I$11)</f>
        <v>#VALUE!</v>
      </c>
      <c r="BB13" s="313">
        <f t="shared" si="13"/>
        <v>0</v>
      </c>
      <c r="BC13" s="313" t="e">
        <f>BB13*('Setting key Duty'!$I$13+'Setting key Duty'!$I$9)</f>
        <v>#VALUE!</v>
      </c>
      <c r="BD13" s="313">
        <f t="shared" si="14"/>
        <v>0</v>
      </c>
      <c r="BE13" s="313">
        <f>BD13*('Setting key Duty'!$I$8+'Setting key Duty'!$I$9+'Setting key Duty'!$I$12)</f>
        <v>0</v>
      </c>
      <c r="BF13" s="313">
        <f>COUNTIF(AF13:AH13,"*$N*")</f>
        <v>0</v>
      </c>
      <c r="BG13" s="313">
        <f>COUNTIF(AF13:AH13,"*$PM*")</f>
        <v>0</v>
      </c>
      <c r="BH13" s="313">
        <f>BG13*('Setting key Duty'!$I$9)</f>
        <v>0</v>
      </c>
      <c r="BI13" s="313">
        <f t="shared" si="15"/>
        <v>2</v>
      </c>
      <c r="BJ13" s="313">
        <f>BI13*('Setting key Duty'!$I$12+'Setting key Duty'!$I$8)</f>
        <v>0.875</v>
      </c>
      <c r="BK13" s="313">
        <f>COUNTIF(D13:AH13,"*$FC*")</f>
        <v>0</v>
      </c>
      <c r="BL13" s="313">
        <f>BK13*('Setting key Duty'!$J$11+'Setting key Duty'!$I$8)</f>
        <v>0</v>
      </c>
      <c r="BM13" s="313">
        <f>COUNTIF($D13:$AE13,BM$4)</f>
        <v>0</v>
      </c>
      <c r="BN13" s="313">
        <f>COUNTIF($D13:$AE13,BN$4)</f>
        <v>0</v>
      </c>
      <c r="BO13" s="313">
        <f>COUNTIF($D13:$AE13,BO$4)</f>
        <v>0</v>
      </c>
      <c r="BP13" s="314"/>
    </row>
    <row r="14" ht="19.5" customHeight="1" spans="1:68">
      <c r="A14" s="309"/>
      <c r="B14" s="373" t="s">
        <v>72</v>
      </c>
      <c r="C14" s="197" t="s">
        <v>56</v>
      </c>
      <c r="D14" s="197"/>
      <c r="F14" s="197"/>
      <c r="G14" s="197"/>
      <c r="H14" s="106"/>
      <c r="I14" s="106"/>
      <c r="J14" s="106"/>
      <c r="K14" s="106"/>
      <c r="L14" s="197"/>
      <c r="M14" s="197"/>
      <c r="N14" s="106"/>
      <c r="O14" s="317" t="s">
        <v>58</v>
      </c>
      <c r="P14" s="106"/>
      <c r="Q14" s="197" t="s">
        <v>222</v>
      </c>
      <c r="R14" s="197"/>
      <c r="S14" s="197" t="s">
        <v>58</v>
      </c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311"/>
      <c r="AI14" s="312"/>
      <c r="AJ14" s="311"/>
      <c r="AK14" s="313"/>
      <c r="AL14" s="313"/>
      <c r="AM14" s="313"/>
      <c r="AN14" s="313"/>
      <c r="AO14" s="238"/>
      <c r="AP14" s="313">
        <f t="shared" si="3"/>
        <v>0</v>
      </c>
      <c r="AQ14" s="238"/>
      <c r="AR14" s="238">
        <f t="shared" si="4"/>
        <v>0</v>
      </c>
      <c r="AS14" s="238"/>
      <c r="AT14" s="238">
        <f t="shared" si="7"/>
        <v>0</v>
      </c>
      <c r="AU14" s="238">
        <f t="shared" si="8"/>
        <v>0</v>
      </c>
      <c r="AV14" s="238">
        <f t="shared" si="9"/>
        <v>0</v>
      </c>
      <c r="AW14" s="238" t="e">
        <f t="shared" si="12"/>
        <v>#VALUE!</v>
      </c>
      <c r="AX14" s="313" t="e">
        <f>(BI14*('Setting key Duty'!$I$8+'Setting key Duty'!$I$12))+(BG14*'Setting key Duty'!$I$9)+(BB14*('Setting key Duty'!$I$13+'Setting key Duty'!$I$9))+(AZ14*('Setting key Duty'!$I$13+'Setting key Duty'!$I$12+'Setting key Duty'!$I$11))+(BD14*('Setting key Duty'!$I$8+'Setting key Duty'!$I$9+'Setting key Duty'!$I$12))</f>
        <v>#VALUE!</v>
      </c>
      <c r="AY14" s="313">
        <f>COUNTIF(D14:X14,"*BRT*")</f>
        <v>0</v>
      </c>
      <c r="AZ14" s="313">
        <f t="shared" si="10"/>
        <v>0</v>
      </c>
      <c r="BA14" s="313" t="e">
        <f>AZ14*('Setting key Duty'!$I$13+'Setting key Duty'!$I$12+'Setting key Duty'!$I$11)</f>
        <v>#VALUE!</v>
      </c>
      <c r="BB14" s="313">
        <f t="shared" si="13"/>
        <v>0</v>
      </c>
      <c r="BC14" s="313" t="e">
        <f>BB14*('Setting key Duty'!$I$13+'Setting key Duty'!$I$9)</f>
        <v>#VALUE!</v>
      </c>
      <c r="BD14" s="313">
        <f t="shared" si="14"/>
        <v>0</v>
      </c>
      <c r="BE14" s="313">
        <f>BD14*('Setting key Duty'!$I$8+'Setting key Duty'!$I$9+'Setting key Duty'!$I$12)</f>
        <v>0</v>
      </c>
      <c r="BF14" s="313">
        <f>COUNTIF(AH14,"*$N*")</f>
        <v>0</v>
      </c>
      <c r="BG14" s="313">
        <f>COUNTIF(AH14,"*$PM*")</f>
        <v>0</v>
      </c>
      <c r="BH14" s="313">
        <f>BG14*('Setting key Duty'!$I$9)</f>
        <v>0</v>
      </c>
      <c r="BI14" s="313">
        <f t="shared" si="15"/>
        <v>0</v>
      </c>
      <c r="BJ14" s="313">
        <f>BI14*('Setting key Duty'!$I$12+'Setting key Duty'!$I$8)</f>
        <v>0</v>
      </c>
      <c r="BK14" s="313">
        <f>COUNTIF(D14:AH14,"*$FC*")</f>
        <v>0</v>
      </c>
      <c r="BL14" s="313">
        <f>BK14*('Setting key Duty'!$J$11+'Setting key Duty'!$I$8)</f>
        <v>0</v>
      </c>
      <c r="BM14" s="313">
        <f>COUNTIF($D14:$X14,BM$4)</f>
        <v>0</v>
      </c>
      <c r="BN14" s="313">
        <f>COUNTIF($D14:$X14,BN$4)</f>
        <v>0</v>
      </c>
      <c r="BO14" s="313">
        <f>COUNTIF($D14:$X14,BO$4)</f>
        <v>0</v>
      </c>
      <c r="BP14" s="314"/>
    </row>
    <row r="15" ht="24" customHeight="1" spans="1:68">
      <c r="A15" s="309"/>
      <c r="B15" s="335" t="s">
        <v>76</v>
      </c>
      <c r="C15" s="197"/>
      <c r="D15" s="106"/>
      <c r="F15" s="106"/>
      <c r="G15" s="106"/>
      <c r="H15" s="197"/>
      <c r="I15" s="197"/>
      <c r="J15" s="317" t="s">
        <v>56</v>
      </c>
      <c r="L15" s="197" t="s">
        <v>56</v>
      </c>
      <c r="M15" s="197"/>
      <c r="N15" s="197" t="s">
        <v>56</v>
      </c>
      <c r="O15" s="197"/>
      <c r="P15" s="197"/>
      <c r="Q15" s="197"/>
      <c r="R15" s="197" t="s">
        <v>56</v>
      </c>
      <c r="S15" s="197"/>
      <c r="T15" s="197"/>
      <c r="U15" s="197"/>
      <c r="V15" s="197" t="s">
        <v>223</v>
      </c>
      <c r="W15" s="197" t="s">
        <v>57</v>
      </c>
      <c r="X15" s="197"/>
      <c r="Y15" s="197" t="s">
        <v>58</v>
      </c>
      <c r="Z15" s="53" t="s">
        <v>212</v>
      </c>
      <c r="AA15" s="106"/>
      <c r="AB15" s="197" t="s">
        <v>59</v>
      </c>
      <c r="AC15" s="197"/>
      <c r="AD15" s="198"/>
      <c r="AE15" s="197" t="s">
        <v>56</v>
      </c>
      <c r="AF15" s="106"/>
      <c r="AH15" s="311">
        <f t="shared" ref="AH15:AN15" si="16">COUNTIF($C15:$AB15,AH$4)</f>
        <v>1</v>
      </c>
      <c r="AI15" s="312">
        <f t="shared" si="16"/>
        <v>4</v>
      </c>
      <c r="AJ15" s="311">
        <f t="shared" si="16"/>
        <v>1</v>
      </c>
      <c r="AK15" s="313">
        <f t="shared" si="16"/>
        <v>1</v>
      </c>
      <c r="AL15" s="313">
        <f t="shared" si="16"/>
        <v>0</v>
      </c>
      <c r="AM15" s="313">
        <f t="shared" si="16"/>
        <v>0</v>
      </c>
      <c r="AN15" s="313">
        <f t="shared" si="16"/>
        <v>0</v>
      </c>
      <c r="AO15" s="238"/>
      <c r="AP15" s="313">
        <f t="shared" si="3"/>
        <v>0</v>
      </c>
      <c r="AQ15" s="238"/>
      <c r="AR15" s="238">
        <f t="shared" si="4"/>
        <v>0</v>
      </c>
      <c r="AS15" s="238"/>
      <c r="AT15" s="238">
        <f t="shared" si="7"/>
        <v>0</v>
      </c>
      <c r="AU15" s="238">
        <f t="shared" si="8"/>
        <v>7</v>
      </c>
      <c r="AV15" s="238">
        <f t="shared" si="9"/>
        <v>0</v>
      </c>
      <c r="AW15" s="238" t="e">
        <f t="shared" si="12"/>
        <v>#VALUE!</v>
      </c>
      <c r="AX15" s="313" t="e">
        <f>(BI15*('Setting key Duty'!$I$8+'Setting key Duty'!$I$12))+(BG15*'Setting key Duty'!$I$9)+(BB15*('Setting key Duty'!$I$13+'Setting key Duty'!$I$9))+(AZ15*('Setting key Duty'!$I$13+'Setting key Duty'!$I$12+'Setting key Duty'!$I$11))+(BD15*('Setting key Duty'!$I$8+'Setting key Duty'!$I$9+'Setting key Duty'!$I$12))</f>
        <v>#VALUE!</v>
      </c>
      <c r="AY15" s="313">
        <f>COUNTIF(C15:AB15,"*BRT*")</f>
        <v>0</v>
      </c>
      <c r="AZ15" s="313">
        <f t="shared" si="10"/>
        <v>0</v>
      </c>
      <c r="BA15" s="313" t="e">
        <f>AZ15*('Setting key Duty'!$I$13+'Setting key Duty'!$I$12+'Setting key Duty'!$I$11)</f>
        <v>#VALUE!</v>
      </c>
      <c r="BB15" s="313">
        <f t="shared" si="13"/>
        <v>0</v>
      </c>
      <c r="BC15" s="313" t="e">
        <f>BB15*('Setting key Duty'!$I$13+'Setting key Duty'!$I$9)</f>
        <v>#VALUE!</v>
      </c>
      <c r="BD15" s="313">
        <f t="shared" si="14"/>
        <v>0</v>
      </c>
      <c r="BE15" s="313">
        <f>BD15*('Setting key Duty'!$I$8+'Setting key Duty'!$I$9+'Setting key Duty'!$I$12)</f>
        <v>0</v>
      </c>
      <c r="BF15" s="313">
        <f>COUNTIF(A15:AH15,"*$N*")</f>
        <v>0</v>
      </c>
      <c r="BG15" s="313">
        <f>COUNTIF(AH15,"*$PM*")</f>
        <v>0</v>
      </c>
      <c r="BH15" s="313">
        <f>BG15*('Setting key Duty'!$I$9)</f>
        <v>0</v>
      </c>
      <c r="BI15" s="313">
        <f t="shared" si="15"/>
        <v>0</v>
      </c>
      <c r="BJ15" s="313">
        <f>BI15*('Setting key Duty'!$I$12+'Setting key Duty'!$I$8)</f>
        <v>0</v>
      </c>
      <c r="BK15" s="313">
        <f>COUNTIF(C15:AH15,"*$FC*")</f>
        <v>0</v>
      </c>
      <c r="BL15" s="313">
        <f>BK15*('Setting key Duty'!$J$11+'Setting key Duty'!$I$8)</f>
        <v>0</v>
      </c>
      <c r="BM15" s="313">
        <f>COUNTIF($C15:$AB15,BM$4)</f>
        <v>0</v>
      </c>
      <c r="BN15" s="313">
        <f>COUNTIF($C15:$AB15,BN$4)</f>
        <v>0</v>
      </c>
      <c r="BO15" s="313">
        <f>COUNTIF($C15:$AB15,BO$4)</f>
        <v>0</v>
      </c>
      <c r="BP15" s="314"/>
    </row>
    <row r="16" ht="37.5" customHeight="1" spans="1:68">
      <c r="A16" s="309"/>
      <c r="B16" s="373" t="s">
        <v>224</v>
      </c>
      <c r="C16" s="197"/>
      <c r="D16" s="197"/>
      <c r="E16" s="197" t="s">
        <v>57</v>
      </c>
      <c r="F16" s="197"/>
      <c r="G16" s="106"/>
      <c r="H16" s="197"/>
      <c r="I16" s="197"/>
      <c r="J16" s="197"/>
      <c r="K16" s="197"/>
      <c r="L16" s="197"/>
      <c r="M16" s="197"/>
      <c r="N16" s="197"/>
      <c r="O16" s="197"/>
      <c r="P16" s="197" t="s">
        <v>225</v>
      </c>
      <c r="Q16" s="197" t="s">
        <v>225</v>
      </c>
      <c r="R16" s="197" t="s">
        <v>225</v>
      </c>
      <c r="S16" s="197" t="s">
        <v>96</v>
      </c>
      <c r="T16" s="197"/>
      <c r="U16" s="197"/>
      <c r="V16" s="197"/>
      <c r="X16" s="197" t="s">
        <v>58</v>
      </c>
      <c r="AA16" s="197" t="s">
        <v>57</v>
      </c>
      <c r="AB16" s="198"/>
      <c r="AD16" s="197"/>
      <c r="AE16" s="197"/>
      <c r="AF16" s="197"/>
      <c r="AG16" s="197" t="s">
        <v>59</v>
      </c>
      <c r="AH16" s="311">
        <f t="shared" ref="AH16:AN16" si="17">COUNTIF($D16:$AC16,AH$4)</f>
        <v>2</v>
      </c>
      <c r="AI16" s="312">
        <f t="shared" si="17"/>
        <v>0</v>
      </c>
      <c r="AJ16" s="311">
        <f t="shared" si="17"/>
        <v>0</v>
      </c>
      <c r="AK16" s="313">
        <f t="shared" si="17"/>
        <v>1</v>
      </c>
      <c r="AL16" s="313">
        <f t="shared" si="17"/>
        <v>0</v>
      </c>
      <c r="AM16" s="313">
        <f t="shared" si="17"/>
        <v>0</v>
      </c>
      <c r="AN16" s="313">
        <f t="shared" si="17"/>
        <v>0</v>
      </c>
      <c r="AO16" s="238"/>
      <c r="AP16" s="313">
        <f t="shared" si="3"/>
        <v>0</v>
      </c>
      <c r="AQ16" s="238"/>
      <c r="AR16" s="238">
        <f t="shared" si="4"/>
        <v>0</v>
      </c>
      <c r="AS16" s="238"/>
      <c r="AT16" s="238">
        <f t="shared" si="7"/>
        <v>0</v>
      </c>
      <c r="AU16" s="238">
        <f t="shared" si="8"/>
        <v>3</v>
      </c>
      <c r="AV16" s="238">
        <f t="shared" si="9"/>
        <v>3</v>
      </c>
      <c r="AW16" s="238" t="e">
        <f t="shared" si="12"/>
        <v>#VALUE!</v>
      </c>
      <c r="AX16" s="313" t="e">
        <f>(BI16*('Setting key Duty'!$I$8+'Setting key Duty'!$I$12))+(BG16*'Setting key Duty'!$I$9)+(BB16*('Setting key Duty'!$I$13+'Setting key Duty'!$I$9))+(AZ16*('Setting key Duty'!$I$13+'Setting key Duty'!$I$12+'Setting key Duty'!$I$11))+(BD16*('Setting key Duty'!$I$8+'Setting key Duty'!$I$9+'Setting key Duty'!$I$12))</f>
        <v>#VALUE!</v>
      </c>
      <c r="AY16" s="313">
        <f>COUNTIF(C16:AC16,"*BRT*")</f>
        <v>0</v>
      </c>
      <c r="AZ16" s="313">
        <f t="shared" si="10"/>
        <v>0</v>
      </c>
      <c r="BA16" s="313" t="e">
        <f>AZ16*('Setting key Duty'!$I$13+'Setting key Duty'!$I$12+'Setting key Duty'!$I$11)</f>
        <v>#VALUE!</v>
      </c>
      <c r="BB16" s="313">
        <f t="shared" si="13"/>
        <v>0</v>
      </c>
      <c r="BC16" s="313" t="e">
        <f>BB16*('Setting key Duty'!$I$13+'Setting key Duty'!$I$9)</f>
        <v>#VALUE!</v>
      </c>
      <c r="BD16" s="313">
        <f t="shared" si="14"/>
        <v>0</v>
      </c>
      <c r="BE16" s="313">
        <f>BD16*('Setting key Duty'!$I$8+'Setting key Duty'!$I$9+'Setting key Duty'!$I$12)</f>
        <v>0</v>
      </c>
      <c r="BF16" s="313">
        <f>COUNTIF(AH16,"*$N*")</f>
        <v>0</v>
      </c>
      <c r="BG16" s="313">
        <f>COUNTIF(AH16,"*$PM*")</f>
        <v>0</v>
      </c>
      <c r="BH16" s="313">
        <f>BG16*('Setting key Duty'!$I$9)</f>
        <v>0</v>
      </c>
      <c r="BI16" s="313">
        <f t="shared" si="15"/>
        <v>0</v>
      </c>
      <c r="BJ16" s="313">
        <f>BI16*('Setting key Duty'!$I$12+'Setting key Duty'!$I$8)</f>
        <v>0</v>
      </c>
      <c r="BK16" s="313">
        <f>COUNTIF(C16:AH16,"*$FC*")</f>
        <v>3</v>
      </c>
      <c r="BL16" s="313">
        <f>BK16*('Setting key Duty'!$J$11+'Setting key Duty'!$I$8)</f>
        <v>0.375</v>
      </c>
      <c r="BM16" s="313">
        <f>COUNTIF($C16:$AC16,BM$4)</f>
        <v>0</v>
      </c>
      <c r="BN16" s="313">
        <f>COUNTIF($C16:$AC16,BN$4)</f>
        <v>0</v>
      </c>
      <c r="BO16" s="313">
        <f>COUNTIF($C16:$AC16,BO$4)</f>
        <v>0</v>
      </c>
      <c r="BP16" s="314"/>
    </row>
    <row r="17" ht="19.5" customHeight="1" spans="1:68">
      <c r="A17" s="309"/>
      <c r="B17" s="332" t="s">
        <v>226</v>
      </c>
      <c r="C17" s="197"/>
      <c r="D17" s="197"/>
      <c r="E17" s="197"/>
      <c r="F17" s="197"/>
      <c r="G17" s="197"/>
      <c r="H17" s="197" t="s">
        <v>57</v>
      </c>
      <c r="I17" s="197"/>
      <c r="J17" s="106"/>
      <c r="K17" s="197"/>
      <c r="L17" s="197"/>
      <c r="M17" s="197"/>
      <c r="N17" s="197" t="s">
        <v>59</v>
      </c>
      <c r="O17" s="197"/>
      <c r="P17" s="197"/>
      <c r="Q17" s="197" t="s">
        <v>59</v>
      </c>
      <c r="R17" s="106"/>
      <c r="S17" s="197"/>
      <c r="T17" s="197" t="s">
        <v>59</v>
      </c>
      <c r="U17" s="197"/>
      <c r="V17" s="197" t="s">
        <v>223</v>
      </c>
      <c r="W17" s="197"/>
      <c r="X17" s="197" t="s">
        <v>69</v>
      </c>
      <c r="Y17" s="197"/>
      <c r="Z17" s="197" t="s">
        <v>59</v>
      </c>
      <c r="AA17" s="197"/>
      <c r="AB17" s="106"/>
      <c r="AC17" s="197" t="s">
        <v>80</v>
      </c>
      <c r="AD17" s="197"/>
      <c r="AE17" s="197" t="s">
        <v>57</v>
      </c>
      <c r="AF17" s="196"/>
      <c r="AG17" s="197"/>
      <c r="AH17" s="311">
        <f t="shared" ref="AH17:AN17" si="18">COUNTIF($C17:$AA17,AH$4)</f>
        <v>1</v>
      </c>
      <c r="AI17" s="312">
        <f t="shared" si="18"/>
        <v>0</v>
      </c>
      <c r="AJ17" s="311">
        <f t="shared" si="18"/>
        <v>4</v>
      </c>
      <c r="AK17" s="313">
        <f t="shared" si="18"/>
        <v>0</v>
      </c>
      <c r="AL17" s="313">
        <f t="shared" si="18"/>
        <v>0</v>
      </c>
      <c r="AM17" s="313">
        <f t="shared" si="18"/>
        <v>0</v>
      </c>
      <c r="AN17" s="313">
        <f t="shared" si="18"/>
        <v>0</v>
      </c>
      <c r="AO17" s="238"/>
      <c r="AP17" s="313">
        <f t="shared" si="3"/>
        <v>0</v>
      </c>
      <c r="AQ17" s="238"/>
      <c r="AR17" s="238">
        <f t="shared" si="4"/>
        <v>0</v>
      </c>
      <c r="AS17" s="238"/>
      <c r="AT17" s="238">
        <f t="shared" si="7"/>
        <v>0</v>
      </c>
      <c r="AU17" s="238">
        <f t="shared" si="8"/>
        <v>5</v>
      </c>
      <c r="AV17" s="238">
        <f t="shared" si="9"/>
        <v>0</v>
      </c>
      <c r="AW17" s="238" t="e">
        <f t="shared" si="12"/>
        <v>#VALUE!</v>
      </c>
      <c r="AX17" s="313" t="e">
        <f>(BI17*('Setting key Duty'!$I$8+'Setting key Duty'!$I$12))+(BG17*'Setting key Duty'!$I$9)+(BB17*('Setting key Duty'!$I$13+'Setting key Duty'!$I$9))+(AZ17*('Setting key Duty'!$I$13+'Setting key Duty'!$I$12+'Setting key Duty'!$I$11))+(BD17*('Setting key Duty'!$I$8+'Setting key Duty'!$I$9+'Setting key Duty'!$I$12))</f>
        <v>#VALUE!</v>
      </c>
      <c r="AY17" s="313">
        <f>COUNTIF(C17:AA17,"*BRT*")</f>
        <v>0</v>
      </c>
      <c r="AZ17" s="313">
        <f t="shared" si="10"/>
        <v>0</v>
      </c>
      <c r="BA17" s="313" t="e">
        <f>AZ17*('Setting key Duty'!$I$13+'Setting key Duty'!$I$12+'Setting key Duty'!$I$11)</f>
        <v>#VALUE!</v>
      </c>
      <c r="BB17" s="313">
        <f t="shared" si="13"/>
        <v>0</v>
      </c>
      <c r="BC17" s="313" t="e">
        <f>BB17*('Setting key Duty'!$I$13+'Setting key Duty'!$I$9)</f>
        <v>#VALUE!</v>
      </c>
      <c r="BD17" s="313">
        <f t="shared" si="14"/>
        <v>0</v>
      </c>
      <c r="BE17" s="313">
        <f>BD17*('Setting key Duty'!$I$8+'Setting key Duty'!$I$9+'Setting key Duty'!$I$12)</f>
        <v>0</v>
      </c>
      <c r="BF17" s="313">
        <f>COUNTIF(A17:AH17,"*$N*")</f>
        <v>0</v>
      </c>
      <c r="BG17" s="313">
        <f>COUNTIF(AH17,"*$PM*")</f>
        <v>0</v>
      </c>
      <c r="BH17" s="313">
        <f>BG17*('Setting key Duty'!$I$9)</f>
        <v>0</v>
      </c>
      <c r="BI17" s="313">
        <f t="shared" si="15"/>
        <v>0</v>
      </c>
      <c r="BJ17" s="313">
        <f>BI17*('Setting key Duty'!$I$12+'Setting key Duty'!$I$8)</f>
        <v>0</v>
      </c>
      <c r="BK17" s="313">
        <f>COUNTIF(C17:AH17,"*$FC*")</f>
        <v>0</v>
      </c>
      <c r="BL17" s="313">
        <f>BK17*('Setting key Duty'!$J$11+'Setting key Duty'!$I$8)</f>
        <v>0</v>
      </c>
      <c r="BM17" s="313">
        <f>COUNTIF($C17:$AA17,BM$4)</f>
        <v>0</v>
      </c>
      <c r="BN17" s="313">
        <f>COUNTIF($C17:$AA17,BN$4)</f>
        <v>0</v>
      </c>
      <c r="BO17" s="313">
        <f>COUNTIF($C17:$AA17,BO$4)</f>
        <v>0</v>
      </c>
      <c r="BP17" s="314"/>
    </row>
    <row r="18" ht="19.5" customHeight="1" spans="1:68">
      <c r="A18" s="309"/>
      <c r="B18" s="334" t="s">
        <v>91</v>
      </c>
      <c r="C18" s="197"/>
      <c r="D18" s="197"/>
      <c r="F18" s="324"/>
      <c r="G18" s="324"/>
      <c r="H18" s="324"/>
      <c r="I18" s="197" t="s">
        <v>59</v>
      </c>
      <c r="J18" s="106"/>
      <c r="K18" s="197"/>
      <c r="L18" s="317"/>
      <c r="M18" s="197" t="s">
        <v>59</v>
      </c>
      <c r="N18" s="395"/>
      <c r="O18" s="197"/>
      <c r="P18" s="197"/>
      <c r="Q18" s="197" t="s">
        <v>227</v>
      </c>
      <c r="R18" s="106"/>
      <c r="S18" s="197"/>
      <c r="T18" s="197"/>
      <c r="U18" s="197"/>
      <c r="V18" s="197" t="s">
        <v>223</v>
      </c>
      <c r="W18" s="197"/>
      <c r="X18" s="197" t="s">
        <v>228</v>
      </c>
      <c r="Y18" s="197" t="s">
        <v>132</v>
      </c>
      <c r="AB18" s="106"/>
      <c r="AC18" s="197"/>
      <c r="AD18" s="197" t="s">
        <v>65</v>
      </c>
      <c r="AE18" s="197"/>
      <c r="AF18" s="197" t="s">
        <v>65</v>
      </c>
      <c r="AG18" s="197"/>
      <c r="AH18" s="311">
        <f t="shared" ref="AH18:AN18" si="19">COUNTIF($C18:$AF18,AH$4)</f>
        <v>0</v>
      </c>
      <c r="AI18" s="312">
        <f t="shared" si="19"/>
        <v>0</v>
      </c>
      <c r="AJ18" s="311">
        <f t="shared" si="19"/>
        <v>2</v>
      </c>
      <c r="AK18" s="313">
        <f t="shared" si="19"/>
        <v>0</v>
      </c>
      <c r="AL18" s="313">
        <f t="shared" si="19"/>
        <v>0</v>
      </c>
      <c r="AM18" s="313">
        <f t="shared" si="19"/>
        <v>2</v>
      </c>
      <c r="AN18" s="313">
        <f t="shared" si="19"/>
        <v>0</v>
      </c>
      <c r="AO18" s="238"/>
      <c r="AP18" s="313">
        <f t="shared" si="3"/>
        <v>0</v>
      </c>
      <c r="AQ18" s="238"/>
      <c r="AR18" s="238">
        <f t="shared" si="4"/>
        <v>0</v>
      </c>
      <c r="AS18" s="238"/>
      <c r="AT18" s="238">
        <f t="shared" si="7"/>
        <v>0</v>
      </c>
      <c r="AU18" s="238">
        <f t="shared" si="8"/>
        <v>4</v>
      </c>
      <c r="AV18" s="238">
        <f t="shared" si="9"/>
        <v>3</v>
      </c>
      <c r="AW18" s="238" t="e">
        <f t="shared" si="12"/>
        <v>#VALUE!</v>
      </c>
      <c r="AX18" s="313" t="e">
        <f>(BI18*('Setting key Duty'!$I$8+'Setting key Duty'!$I$12))+(BG18*'Setting key Duty'!$I$9)+(BB18*('Setting key Duty'!$I$13+'Setting key Duty'!$I$9))+(AZ18*('Setting key Duty'!$I$13+'Setting key Duty'!$I$12+'Setting key Duty'!$I$11))+(BD18*('Setting key Duty'!$I$8+'Setting key Duty'!$I$9+'Setting key Duty'!$I$12))</f>
        <v>#VALUE!</v>
      </c>
      <c r="AY18" s="313">
        <f>COUNTIF(C18:AC18,"*BRT*")</f>
        <v>0</v>
      </c>
      <c r="AZ18" s="313">
        <f t="shared" si="10"/>
        <v>0</v>
      </c>
      <c r="BA18" s="313" t="e">
        <f>AZ18*('Setting key Duty'!$I$13+'Setting key Duty'!$I$12+'Setting key Duty'!$I$11)</f>
        <v>#VALUE!</v>
      </c>
      <c r="BB18" s="313">
        <f>COUNTIF(I18:AH18,"*$L*")</f>
        <v>0</v>
      </c>
      <c r="BC18" s="313" t="e">
        <f>BB18*('Setting key Duty'!$I$13+'Setting key Duty'!$I$9)</f>
        <v>#VALUE!</v>
      </c>
      <c r="BD18" s="313">
        <f>COUNTIF(I18:AH18,"*$M*")</f>
        <v>1</v>
      </c>
      <c r="BE18" s="313">
        <f>BD18*('Setting key Duty'!$I$8+'Setting key Duty'!$I$9+'Setting key Duty'!$I$12)</f>
        <v>0.5625</v>
      </c>
      <c r="BF18" s="313">
        <f>COUNTIF(I18:AH18,"*$N*")</f>
        <v>0</v>
      </c>
      <c r="BG18" s="313">
        <f>COUNTIF(I18:AH18,"*$PM*")</f>
        <v>0</v>
      </c>
      <c r="BH18" s="313">
        <f>BG18*('Setting key Duty'!$I$9)</f>
        <v>0</v>
      </c>
      <c r="BI18" s="313">
        <f>COUNTIF(I18:AH18,"*$AM*")</f>
        <v>2</v>
      </c>
      <c r="BJ18" s="313">
        <f>BI18*('Setting key Duty'!$I$12+'Setting key Duty'!$I$8)</f>
        <v>0.875</v>
      </c>
      <c r="BK18" s="313">
        <f>COUNTIF(C18:AH18,"*$FC*")</f>
        <v>0</v>
      </c>
      <c r="BL18" s="313">
        <f>BK18*('Setting key Duty'!$J$11+'Setting key Duty'!$I$8)</f>
        <v>0</v>
      </c>
      <c r="BM18" s="313">
        <f>COUNTIF($C18:$AF18,BM$4)</f>
        <v>0</v>
      </c>
      <c r="BN18" s="313">
        <f>COUNTIF($C18:$AF18,BN$4)</f>
        <v>0</v>
      </c>
      <c r="BO18" s="313">
        <f>COUNTIF($I18:$AE18,BO$4)</f>
        <v>0</v>
      </c>
      <c r="BP18" s="314"/>
    </row>
    <row r="19" ht="26.25" customHeight="1" spans="1:68">
      <c r="A19" s="309"/>
      <c r="B19" s="333" t="s">
        <v>171</v>
      </c>
      <c r="C19" s="197"/>
      <c r="D19" s="197"/>
      <c r="E19" s="197" t="s">
        <v>59</v>
      </c>
      <c r="F19" s="197"/>
      <c r="G19" s="197"/>
      <c r="H19" s="106"/>
      <c r="I19" s="197" t="s">
        <v>57</v>
      </c>
      <c r="J19" s="106"/>
      <c r="K19" s="198"/>
      <c r="L19" s="197"/>
      <c r="M19" s="197" t="s">
        <v>57</v>
      </c>
      <c r="N19" s="197"/>
      <c r="O19" s="197"/>
      <c r="P19" s="106"/>
      <c r="Q19" s="197"/>
      <c r="R19" s="197" t="s">
        <v>57</v>
      </c>
      <c r="S19" s="197"/>
      <c r="U19" s="197"/>
      <c r="V19" s="197" t="s">
        <v>223</v>
      </c>
      <c r="W19" s="197"/>
      <c r="X19" s="197"/>
      <c r="Y19" s="197"/>
      <c r="Z19" s="197"/>
      <c r="AA19" s="197"/>
      <c r="AB19" s="197"/>
      <c r="AC19" s="197" t="s">
        <v>58</v>
      </c>
      <c r="AD19" s="197"/>
      <c r="AE19" s="197"/>
      <c r="AF19" s="197"/>
      <c r="AG19" s="197"/>
      <c r="AH19" s="311"/>
      <c r="AI19" s="312"/>
      <c r="AJ19" s="311"/>
      <c r="AK19" s="313"/>
      <c r="AL19" s="313"/>
      <c r="AM19" s="313"/>
      <c r="AN19" s="313"/>
      <c r="AO19" s="238"/>
      <c r="AP19" s="313">
        <f t="shared" si="3"/>
        <v>0</v>
      </c>
      <c r="AQ19" s="238"/>
      <c r="AR19" s="238">
        <f t="shared" si="4"/>
        <v>0</v>
      </c>
      <c r="AS19" s="238"/>
      <c r="AT19" s="238">
        <f t="shared" si="7"/>
        <v>0</v>
      </c>
      <c r="AU19" s="238">
        <f t="shared" si="8"/>
        <v>0</v>
      </c>
      <c r="AV19" s="238">
        <f t="shared" si="9"/>
        <v>0</v>
      </c>
      <c r="AW19" s="238" t="e">
        <f t="shared" si="12"/>
        <v>#VALUE!</v>
      </c>
      <c r="AX19" s="313" t="e">
        <f>(BI19*('Setting key Duty'!$I$8+'Setting key Duty'!$I$12))+(BG19*'Setting key Duty'!$I$9)+(BB19*('Setting key Duty'!$I$13+'Setting key Duty'!$I$9))+(AZ19*('Setting key Duty'!$I$13+'Setting key Duty'!$I$12+'Setting key Duty'!$I$11))+(BD19*('Setting key Duty'!$I$8+'Setting key Duty'!$I$9+'Setting key Duty'!$I$12))</f>
        <v>#VALUE!</v>
      </c>
      <c r="AY19" s="313">
        <f>COUNTIF(E19:AA19,"*BRT*")</f>
        <v>0</v>
      </c>
      <c r="AZ19" s="313">
        <f t="shared" si="10"/>
        <v>0</v>
      </c>
      <c r="BA19" s="313" t="e">
        <f>AZ19*('Setting key Duty'!$I$13+'Setting key Duty'!$I$12+'Setting key Duty'!$I$11)</f>
        <v>#VALUE!</v>
      </c>
      <c r="BB19" s="313">
        <f>COUNTIF(A19:AH19,"*$L*")</f>
        <v>0</v>
      </c>
      <c r="BC19" s="313" t="e">
        <f>BB19*('Setting key Duty'!$I$13+'Setting key Duty'!$I$9)</f>
        <v>#VALUE!</v>
      </c>
      <c r="BD19" s="313">
        <f>COUNTIF(A19:AH19,"*$M*")</f>
        <v>0</v>
      </c>
      <c r="BE19" s="313">
        <f>BD19*('Setting key Duty'!$I$8+'Setting key Duty'!$I$9+'Setting key Duty'!$I$12)</f>
        <v>0</v>
      </c>
      <c r="BF19" s="313">
        <f>COUNTIF(AG19:AH19,"*$N*")</f>
        <v>0</v>
      </c>
      <c r="BG19" s="313">
        <f>COUNTIF(AG19:AH19,"*$PM*")</f>
        <v>0</v>
      </c>
      <c r="BH19" s="313">
        <f>BG19*('Setting key Duty'!$I$9)</f>
        <v>0</v>
      </c>
      <c r="BI19" s="313">
        <f>COUNTIF(A19:AH19,"*$AM*")</f>
        <v>0</v>
      </c>
      <c r="BJ19" s="313">
        <f>BI19*('Setting key Duty'!$I$12+'Setting key Duty'!$I$8)</f>
        <v>0</v>
      </c>
      <c r="BK19" s="313">
        <f>COUNTIF(E19:AH19,"*$FC*")</f>
        <v>0</v>
      </c>
      <c r="BL19" s="313">
        <f>BK19*('Setting key Duty'!$J$11+'Setting key Duty'!$I$8)</f>
        <v>0</v>
      </c>
      <c r="BM19" s="313">
        <f>COUNTIF($E19:$AA19,BM$4)</f>
        <v>0</v>
      </c>
      <c r="BN19" s="313">
        <f>COUNTIF($E19:$AA19,BN$4)</f>
        <v>0</v>
      </c>
      <c r="BO19" s="313">
        <f>COUNTIF($E19:$AA19,BO$4)</f>
        <v>0</v>
      </c>
      <c r="BP19" s="314"/>
    </row>
    <row r="20" ht="19.5" customHeight="1" spans="1:68">
      <c r="A20" s="309"/>
      <c r="B20" s="390" t="s">
        <v>82</v>
      </c>
      <c r="C20" s="197"/>
      <c r="D20" s="197"/>
      <c r="E20" s="197"/>
      <c r="G20" s="197"/>
      <c r="H20" s="197"/>
      <c r="I20" s="197"/>
      <c r="J20" s="197" t="s">
        <v>57</v>
      </c>
      <c r="K20" s="197"/>
      <c r="L20" s="198" t="s">
        <v>57</v>
      </c>
      <c r="M20" s="198"/>
      <c r="N20" s="197"/>
      <c r="O20" s="197"/>
      <c r="P20" s="197"/>
      <c r="Q20" s="106"/>
      <c r="R20" s="197"/>
      <c r="S20" s="197" t="s">
        <v>57</v>
      </c>
      <c r="T20" s="197"/>
      <c r="U20" s="197"/>
      <c r="V20" s="197" t="s">
        <v>57</v>
      </c>
      <c r="W20" s="197"/>
      <c r="X20" s="197" t="s">
        <v>57</v>
      </c>
      <c r="Y20" s="197"/>
      <c r="Z20" s="197"/>
      <c r="AA20" s="197"/>
      <c r="AB20" s="197" t="s">
        <v>57</v>
      </c>
      <c r="AC20" s="197"/>
      <c r="AD20" s="197"/>
      <c r="AE20" s="197"/>
      <c r="AF20" s="197"/>
      <c r="AG20" s="197"/>
      <c r="AH20" s="311"/>
      <c r="AI20" s="312"/>
      <c r="AJ20" s="311"/>
      <c r="AK20" s="313"/>
      <c r="AL20" s="313"/>
      <c r="AM20" s="313"/>
      <c r="AN20" s="313"/>
      <c r="AO20" s="238"/>
      <c r="AP20" s="313">
        <f t="shared" si="3"/>
        <v>0</v>
      </c>
      <c r="AQ20" s="238"/>
      <c r="AR20" s="238">
        <f t="shared" si="4"/>
        <v>0</v>
      </c>
      <c r="AS20" s="238"/>
      <c r="AT20" s="238">
        <f t="shared" si="7"/>
        <v>0</v>
      </c>
      <c r="AU20" s="238">
        <f t="shared" si="8"/>
        <v>0</v>
      </c>
      <c r="AV20" s="238">
        <f t="shared" si="9"/>
        <v>0</v>
      </c>
      <c r="AW20" s="238" t="e">
        <f t="shared" si="12"/>
        <v>#VALUE!</v>
      </c>
      <c r="AX20" s="313" t="e">
        <f>(BI20*('Setting key Duty'!$I$8+'Setting key Duty'!$I$12))+(BG20*'Setting key Duty'!$I$9)+(BB20*('Setting key Duty'!$I$13+'Setting key Duty'!$I$9))+(AZ20*('Setting key Duty'!$I$13+'Setting key Duty'!$I$12+'Setting key Duty'!$I$11))+(BD20*('Setting key Duty'!$I$8+'Setting key Duty'!$I$9+'Setting key Duty'!$I$12))</f>
        <v>#VALUE!</v>
      </c>
      <c r="AY20" s="313">
        <f>COUNTIF(C20:AC20,"*BRT*")</f>
        <v>0</v>
      </c>
      <c r="AZ20" s="313">
        <f t="shared" si="10"/>
        <v>0</v>
      </c>
      <c r="BA20" s="313" t="e">
        <f>AZ20*('Setting key Duty'!$I$13+'Setting key Duty'!$I$12+'Setting key Duty'!$I$11)</f>
        <v>#VALUE!</v>
      </c>
      <c r="BB20" s="313">
        <f>COUNTIF(A20:AH20,"*$L*")</f>
        <v>0</v>
      </c>
      <c r="BC20" s="313" t="e">
        <f>BB20*('Setting key Duty'!$I$13+'Setting key Duty'!$I$9)</f>
        <v>#VALUE!</v>
      </c>
      <c r="BD20" s="313">
        <f>COUNTIF(A20:AH20,"*$M*")</f>
        <v>0</v>
      </c>
      <c r="BE20" s="313">
        <f>BD20*('Setting key Duty'!$I$8+'Setting key Duty'!$I$9+'Setting key Duty'!$I$12)</f>
        <v>0</v>
      </c>
      <c r="BF20" s="313">
        <f>COUNTIF(AH20,"*$N*")</f>
        <v>0</v>
      </c>
      <c r="BG20" s="313">
        <f>COUNTIF(AH20,"*$PM*")</f>
        <v>0</v>
      </c>
      <c r="BH20" s="313">
        <f>BG20*('Setting key Duty'!$I$9)</f>
        <v>0</v>
      </c>
      <c r="BI20" s="313">
        <f>COUNTIF(A20:AH20,"*$AM*")</f>
        <v>0</v>
      </c>
      <c r="BJ20" s="313">
        <f>BI20*('Setting key Duty'!$I$12+'Setting key Duty'!$I$8)</f>
        <v>0</v>
      </c>
      <c r="BK20" s="313">
        <f>COUNTIF(C20:AH20,"*$FC*")</f>
        <v>0</v>
      </c>
      <c r="BL20" s="313">
        <f>BK20*('Setting key Duty'!$J$11+'Setting key Duty'!$I$8)</f>
        <v>0</v>
      </c>
      <c r="BM20" s="313">
        <f>COUNTIF($C20:$AC20,BM$4)</f>
        <v>0</v>
      </c>
      <c r="BN20" s="313">
        <f>COUNTIF($C20:$AC20,BN$4)</f>
        <v>0</v>
      </c>
      <c r="BO20" s="313">
        <f>COUNTIF($C20:$AC20,BO$4)</f>
        <v>0</v>
      </c>
      <c r="BP20" s="314"/>
    </row>
    <row r="21" ht="19.5" customHeight="1" spans="1:68">
      <c r="A21" s="309"/>
      <c r="B21" s="373" t="s">
        <v>83</v>
      </c>
      <c r="C21" s="197"/>
      <c r="D21" s="197"/>
      <c r="E21" s="106"/>
      <c r="F21" s="197" t="s">
        <v>56</v>
      </c>
      <c r="G21" s="106"/>
      <c r="H21" s="197" t="s">
        <v>58</v>
      </c>
      <c r="I21" s="197"/>
      <c r="J21" s="197"/>
      <c r="K21" s="197"/>
      <c r="L21" s="197"/>
      <c r="M21" s="197" t="s">
        <v>229</v>
      </c>
      <c r="N21" s="197"/>
      <c r="O21" s="197"/>
      <c r="P21" s="197"/>
      <c r="Q21" s="197" t="s">
        <v>56</v>
      </c>
      <c r="R21" s="197"/>
      <c r="S21" s="197"/>
      <c r="T21" s="197"/>
      <c r="U21" s="197"/>
      <c r="X21" s="197" t="s">
        <v>56</v>
      </c>
      <c r="Z21" s="197"/>
      <c r="AA21" s="197"/>
      <c r="AB21" s="197"/>
      <c r="AC21" s="197" t="s">
        <v>59</v>
      </c>
      <c r="AD21" s="197"/>
      <c r="AE21" s="197"/>
      <c r="AF21" s="197"/>
      <c r="AG21" s="197"/>
      <c r="AH21" s="311"/>
      <c r="AI21" s="312"/>
      <c r="AJ21" s="311"/>
      <c r="AK21" s="313"/>
      <c r="AL21" s="313"/>
      <c r="AM21" s="313"/>
      <c r="AN21" s="313"/>
      <c r="AO21" s="238"/>
      <c r="AP21" s="313">
        <f t="shared" si="3"/>
        <v>0</v>
      </c>
      <c r="AQ21" s="238"/>
      <c r="AR21" s="238">
        <f t="shared" si="4"/>
        <v>0</v>
      </c>
      <c r="AS21" s="238"/>
      <c r="AT21" s="238">
        <f t="shared" si="7"/>
        <v>0</v>
      </c>
      <c r="AU21" s="238">
        <f t="shared" si="8"/>
        <v>0</v>
      </c>
      <c r="AV21" s="238">
        <f t="shared" si="9"/>
        <v>0</v>
      </c>
      <c r="AW21" s="238" t="e">
        <f t="shared" si="12"/>
        <v>#VALUE!</v>
      </c>
      <c r="AX21" s="313" t="e">
        <f>(BI21*('Setting key Duty'!$I$8+'Setting key Duty'!$I$12))+(BG21*'Setting key Duty'!$I$9)+(BB21*('Setting key Duty'!$I$13+'Setting key Duty'!$I$9))+(AZ21*('Setting key Duty'!$I$13+'Setting key Duty'!$I$12+'Setting key Duty'!$I$11))+(BD21*('Setting key Duty'!$I$8+'Setting key Duty'!$I$9+'Setting key Duty'!$I$12))</f>
        <v>#VALUE!</v>
      </c>
      <c r="AY21" s="313">
        <f>COUNTIF(D21:AC21,"*BRT*")</f>
        <v>0</v>
      </c>
      <c r="AZ21" s="313">
        <f t="shared" si="10"/>
        <v>0</v>
      </c>
      <c r="BA21" s="313" t="e">
        <f>AZ21*('Setting key Duty'!$I$13+'Setting key Duty'!$I$12+'Setting key Duty'!$I$11)</f>
        <v>#VALUE!</v>
      </c>
      <c r="BB21" s="313">
        <f>COUNTIF(A21:AH21,"*$L*")</f>
        <v>0</v>
      </c>
      <c r="BC21" s="313" t="e">
        <f>BB21*('Setting key Duty'!$I$13+'Setting key Duty'!$I$9)</f>
        <v>#VALUE!</v>
      </c>
      <c r="BD21" s="313">
        <f>COUNTIF(A21:AH21,"*$M*")</f>
        <v>0</v>
      </c>
      <c r="BE21" s="313">
        <f>BD21*('Setting key Duty'!$I$8+'Setting key Duty'!$I$9+'Setting key Duty'!$I$12)</f>
        <v>0</v>
      </c>
      <c r="BF21" s="313">
        <f>COUNTIF(AF21:AH21,"*$N*")</f>
        <v>0</v>
      </c>
      <c r="BG21" s="313">
        <f>COUNTIF(AF21:AH21,"*$PM*")</f>
        <v>0</v>
      </c>
      <c r="BH21" s="313">
        <f>BG21*('Setting key Duty'!$I$9)</f>
        <v>0</v>
      </c>
      <c r="BI21" s="313">
        <f>COUNTIF(A21:AH21,"*$AM*")</f>
        <v>0</v>
      </c>
      <c r="BJ21" s="313">
        <f>BI21*('Setting key Duty'!$I$12+'Setting key Duty'!$I$8)</f>
        <v>0</v>
      </c>
      <c r="BK21" s="313">
        <f>COUNTIF(D21:AH21,"*$FC*")</f>
        <v>0</v>
      </c>
      <c r="BL21" s="313">
        <f>BK21*('Setting key Duty'!$J$11+'Setting key Duty'!$I$8)</f>
        <v>0</v>
      </c>
      <c r="BM21" s="313">
        <f>COUNTIF($D21:$AE21,BM$4)</f>
        <v>0</v>
      </c>
      <c r="BN21" s="313">
        <f>COUNTIF($D21:$AE21,BN$4)</f>
        <v>0</v>
      </c>
      <c r="BO21" s="313">
        <f>COUNTIF($D21:$AE21,BO$4)</f>
        <v>0</v>
      </c>
      <c r="BP21" s="314"/>
    </row>
    <row r="22" ht="19.5" customHeight="1" spans="1:68">
      <c r="A22" s="309"/>
      <c r="B22" s="407" t="s">
        <v>84</v>
      </c>
      <c r="C22" s="197" t="s">
        <v>57</v>
      </c>
      <c r="D22" s="197"/>
      <c r="E22" s="198"/>
      <c r="F22" s="197"/>
      <c r="G22" s="197"/>
      <c r="H22" s="106"/>
      <c r="I22" s="197"/>
      <c r="J22" s="197" t="s">
        <v>59</v>
      </c>
      <c r="K22" s="197"/>
      <c r="L22" s="317" t="s">
        <v>59</v>
      </c>
      <c r="M22" s="106"/>
      <c r="N22" s="197"/>
      <c r="O22" s="197" t="s">
        <v>56</v>
      </c>
      <c r="P22" s="197"/>
      <c r="Q22" s="197"/>
      <c r="R22" s="197"/>
      <c r="S22" s="197"/>
      <c r="T22" s="197"/>
      <c r="U22" s="197"/>
      <c r="V22" s="197" t="s">
        <v>223</v>
      </c>
      <c r="W22" s="197" t="s">
        <v>59</v>
      </c>
      <c r="X22" s="197"/>
      <c r="Y22" s="197" t="s">
        <v>57</v>
      </c>
      <c r="Z22" s="197"/>
      <c r="AA22" s="4"/>
      <c r="AB22" s="197" t="s">
        <v>56</v>
      </c>
      <c r="AC22" s="197"/>
      <c r="AD22" s="197"/>
      <c r="AE22" s="197"/>
      <c r="AF22" s="197"/>
      <c r="AG22" s="197" t="s">
        <v>69</v>
      </c>
      <c r="AH22" s="311"/>
      <c r="AI22" s="312"/>
      <c r="AJ22" s="311"/>
      <c r="AK22" s="313"/>
      <c r="AL22" s="313"/>
      <c r="AM22" s="313"/>
      <c r="AN22" s="313"/>
      <c r="AO22" s="238"/>
      <c r="AP22" s="313">
        <f t="shared" si="3"/>
        <v>0</v>
      </c>
      <c r="AQ22" s="238"/>
      <c r="AR22" s="238">
        <f t="shared" si="4"/>
        <v>0</v>
      </c>
      <c r="AS22" s="238"/>
      <c r="AT22" s="238">
        <f t="shared" si="7"/>
        <v>0</v>
      </c>
      <c r="AU22" s="238">
        <f t="shared" si="8"/>
        <v>0</v>
      </c>
      <c r="AV22" s="238">
        <f t="shared" si="9"/>
        <v>0</v>
      </c>
      <c r="AW22" s="238" t="e">
        <f t="shared" si="12"/>
        <v>#VALUE!</v>
      </c>
      <c r="AX22" s="313" t="e">
        <f>(BI22*('Setting key Duty'!$I$8+'Setting key Duty'!$I$12))+(BG22*'Setting key Duty'!$I$9)+(BB22*('Setting key Duty'!$I$13+'Setting key Duty'!$I$9))+(AZ22*('Setting key Duty'!$I$13+'Setting key Duty'!$I$12+'Setting key Duty'!$I$11))+(BD22*('Setting key Duty'!$I$8+'Setting key Duty'!$I$9+'Setting key Duty'!$I$12))</f>
        <v>#VALUE!</v>
      </c>
      <c r="AY22" s="313">
        <f>COUNTIF(D22:AB22,"*BRT*")</f>
        <v>0</v>
      </c>
      <c r="AZ22" s="313">
        <f t="shared" si="10"/>
        <v>0</v>
      </c>
      <c r="BA22" s="313" t="e">
        <f>AZ22*('Setting key Duty'!$I$13+'Setting key Duty'!$I$12+'Setting key Duty'!$I$11)</f>
        <v>#VALUE!</v>
      </c>
      <c r="BB22" s="313">
        <f>COUNTIF(A22:AH22,"*$L*")</f>
        <v>0</v>
      </c>
      <c r="BC22" s="313" t="e">
        <f>BB22*('Setting key Duty'!$I$13+'Setting key Duty'!$I$9)</f>
        <v>#VALUE!</v>
      </c>
      <c r="BD22" s="313">
        <f>COUNTIF(A22:AH22,"*$M*")</f>
        <v>0</v>
      </c>
      <c r="BE22" s="313">
        <f>BD22*('Setting key Duty'!$I$8+'Setting key Duty'!$I$9+'Setting key Duty'!$I$12)</f>
        <v>0</v>
      </c>
      <c r="BF22" s="313">
        <f>COUNTIF(AF22:AH22,"*$N*")</f>
        <v>0</v>
      </c>
      <c r="BG22" s="313">
        <f>COUNTIF(AF22:AH22,"*$PM*")</f>
        <v>0</v>
      </c>
      <c r="BH22" s="313">
        <f>BG22*('Setting key Duty'!$I$9)</f>
        <v>0</v>
      </c>
      <c r="BI22" s="313">
        <f>COUNTIF(A22:AH22,"*$AM*")</f>
        <v>0</v>
      </c>
      <c r="BJ22" s="313">
        <f>BI22*('Setting key Duty'!$I$12+'Setting key Duty'!$I$8)</f>
        <v>0</v>
      </c>
      <c r="BK22" s="313">
        <f>COUNTIF(D22:AH22,"*$FC*")</f>
        <v>0</v>
      </c>
      <c r="BL22" s="313">
        <f>BK22*('Setting key Duty'!$J$11+'Setting key Duty'!$I$8)</f>
        <v>0</v>
      </c>
      <c r="BM22" s="313">
        <f>COUNTIF($D22:$AE22,BM$4)</f>
        <v>0</v>
      </c>
      <c r="BN22" s="313">
        <f>COUNTIF($D22:$AE22,BN$4)</f>
        <v>0</v>
      </c>
      <c r="BO22" s="313">
        <f>COUNTIF($D22:$AE22,BO$4)</f>
        <v>0</v>
      </c>
      <c r="BP22" s="314"/>
    </row>
    <row r="23" ht="19.5" customHeight="1" spans="1:68">
      <c r="A23" s="309"/>
      <c r="B23" s="373" t="s">
        <v>134</v>
      </c>
      <c r="C23" s="317"/>
      <c r="D23" s="317" t="s">
        <v>65</v>
      </c>
      <c r="E23" s="106"/>
      <c r="F23" s="197" t="s">
        <v>58</v>
      </c>
      <c r="G23" s="324"/>
      <c r="H23" s="317"/>
      <c r="I23" s="197" t="s">
        <v>230</v>
      </c>
      <c r="J23" s="106"/>
      <c r="K23" s="106"/>
      <c r="L23" s="197"/>
      <c r="M23" s="197"/>
      <c r="O23" s="106"/>
      <c r="P23" s="197" t="s">
        <v>58</v>
      </c>
      <c r="Q23" s="197"/>
      <c r="R23" s="197" t="s">
        <v>132</v>
      </c>
      <c r="T23" s="317" t="s">
        <v>65</v>
      </c>
      <c r="U23" s="106"/>
      <c r="V23" s="197"/>
      <c r="Y23" s="198" t="s">
        <v>231</v>
      </c>
      <c r="Z23" s="198" t="s">
        <v>231</v>
      </c>
      <c r="AA23" s="198" t="s">
        <v>231</v>
      </c>
      <c r="AB23" s="198" t="s">
        <v>231</v>
      </c>
      <c r="AC23" s="198" t="s">
        <v>231</v>
      </c>
      <c r="AD23" s="197" t="s">
        <v>96</v>
      </c>
      <c r="AE23" s="197"/>
      <c r="AF23" s="197"/>
      <c r="AG23" s="197" t="s">
        <v>96</v>
      </c>
      <c r="AH23" s="311"/>
      <c r="AI23" s="312"/>
      <c r="AJ23" s="311"/>
      <c r="AK23" s="313"/>
      <c r="AL23" s="313"/>
      <c r="AM23" s="313"/>
      <c r="AN23" s="313"/>
      <c r="AO23" s="238"/>
      <c r="AP23" s="313">
        <f t="shared" si="3"/>
        <v>0</v>
      </c>
      <c r="AQ23" s="238"/>
      <c r="AR23" s="238">
        <f t="shared" si="4"/>
        <v>0</v>
      </c>
      <c r="AS23" s="238"/>
      <c r="AT23" s="238">
        <f t="shared" si="7"/>
        <v>0</v>
      </c>
      <c r="AU23" s="238">
        <f t="shared" si="8"/>
        <v>0</v>
      </c>
      <c r="AV23" s="238">
        <f t="shared" si="9"/>
        <v>0</v>
      </c>
      <c r="AW23" s="238" t="e">
        <f>AT23+$AX$10</f>
        <v>#VALUE!</v>
      </c>
      <c r="AX23" s="313" t="e">
        <f>(BI23*('Setting key Duty'!$I$8+'Setting key Duty'!$I$12))+(BG23*'Setting key Duty'!$I$9)+(BB23*('Setting key Duty'!$I$13+'Setting key Duty'!$I$9))+(AZ23*('Setting key Duty'!$I$13+'Setting key Duty'!$I$12+'Setting key Duty'!$I$11))+(BD23*('Setting key Duty'!$I$8+'Setting key Duty'!$I$9+'Setting key Duty'!$I$12))</f>
        <v>#VALUE!</v>
      </c>
      <c r="AY23" s="313"/>
      <c r="AZ23" s="313"/>
      <c r="BA23" s="313"/>
      <c r="BB23" s="313"/>
      <c r="BC23" s="313"/>
      <c r="BD23" s="313"/>
      <c r="BE23" s="313"/>
      <c r="BF23" s="313"/>
      <c r="BG23" s="313"/>
      <c r="BH23" s="313"/>
      <c r="BI23" s="313"/>
      <c r="BJ23" s="313"/>
      <c r="BK23" s="313"/>
      <c r="BL23" s="313"/>
      <c r="BM23" s="313"/>
      <c r="BN23" s="313"/>
      <c r="BO23" s="313"/>
      <c r="BP23" s="314"/>
    </row>
    <row r="24" ht="19.5" customHeight="1" spans="1:68">
      <c r="A24" s="309"/>
      <c r="B24" s="333" t="s">
        <v>85</v>
      </c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311"/>
      <c r="AI24" s="312"/>
      <c r="AJ24" s="311"/>
      <c r="AK24" s="313"/>
      <c r="AL24" s="313"/>
      <c r="AM24" s="313"/>
      <c r="AN24" s="313"/>
      <c r="AO24" s="238"/>
      <c r="AP24" s="313">
        <f t="shared" si="3"/>
        <v>0</v>
      </c>
      <c r="AQ24" s="238"/>
      <c r="AR24" s="238">
        <f t="shared" si="4"/>
        <v>0</v>
      </c>
      <c r="AS24" s="238"/>
      <c r="AT24" s="238">
        <f t="shared" si="7"/>
        <v>0</v>
      </c>
      <c r="AU24" s="238">
        <f t="shared" si="8"/>
        <v>0</v>
      </c>
      <c r="AV24" s="238">
        <f t="shared" si="9"/>
        <v>0</v>
      </c>
      <c r="AW24" s="238" t="e">
        <f>AT24+AX24</f>
        <v>#VALUE!</v>
      </c>
      <c r="AX24" s="313" t="e">
        <f>(BI24*('Setting key Duty'!$I$8+'Setting key Duty'!$I$12))+(BG24*'Setting key Duty'!$I$9)+(BB24*('Setting key Duty'!$I$13+'Setting key Duty'!$I$9))+(AZ24*('Setting key Duty'!$I$13+'Setting key Duty'!$I$12+'Setting key Duty'!$I$11))+(BD24*('Setting key Duty'!$I$8+'Setting key Duty'!$I$9+'Setting key Duty'!$I$12))</f>
        <v>#VALUE!</v>
      </c>
      <c r="AY24" s="313">
        <f>COUNTIF(D24:AC24,"*BRT*")</f>
        <v>0</v>
      </c>
      <c r="AZ24" s="313">
        <f t="shared" ref="AZ24:AZ37" si="20">COUNTIF(A24:AH24,"*$BTP*")</f>
        <v>0</v>
      </c>
      <c r="BA24" s="313" t="e">
        <f>AZ24*('Setting key Duty'!$I$13+'Setting key Duty'!$I$12+'Setting key Duty'!$I$11)</f>
        <v>#VALUE!</v>
      </c>
      <c r="BB24" s="313">
        <f t="shared" ref="BB24:BB32" si="21">COUNTIF(A24:AH24,"*$L*")</f>
        <v>0</v>
      </c>
      <c r="BC24" s="313" t="e">
        <f>BB24*('Setting key Duty'!$I$13+'Setting key Duty'!$I$9)</f>
        <v>#VALUE!</v>
      </c>
      <c r="BD24" s="313">
        <f t="shared" ref="BD24:BD32" si="22">COUNTIF(A24:AH24,"*$M*")</f>
        <v>0</v>
      </c>
      <c r="BE24" s="313">
        <f>BD24*('Setting key Duty'!$I$8+'Setting key Duty'!$I$9+'Setting key Duty'!$I$12)</f>
        <v>0</v>
      </c>
      <c r="BF24" s="313">
        <f>COUNTIF(AH24,"*$N*")</f>
        <v>0</v>
      </c>
      <c r="BG24" s="313">
        <f>COUNTIF(AH24,"*$PM*")</f>
        <v>0</v>
      </c>
      <c r="BH24" s="313">
        <f>BG24*('Setting key Duty'!$I$9)</f>
        <v>0</v>
      </c>
      <c r="BI24" s="313">
        <f t="shared" ref="BI24:BI32" si="23">COUNTIF(A24:AH24,"*$AM*")</f>
        <v>0</v>
      </c>
      <c r="BJ24" s="313">
        <f>BI24*('Setting key Duty'!$I$12+'Setting key Duty'!$I$8)</f>
        <v>0</v>
      </c>
      <c r="BK24" s="313">
        <f t="shared" ref="BK24:BK32" si="24">COUNTIF(D24:AH24,"*$FC*")</f>
        <v>0</v>
      </c>
      <c r="BL24" s="313">
        <f>BK24*('Setting key Duty'!$J$11+'Setting key Duty'!$I$8)</f>
        <v>0</v>
      </c>
      <c r="BM24" s="313">
        <f>COUNTIF($D24:$AC24,BM$4)</f>
        <v>0</v>
      </c>
      <c r="BN24" s="313">
        <f>COUNTIF($D24:$AC24,BN$4)</f>
        <v>0</v>
      </c>
      <c r="BO24" s="313">
        <f>COUNTIF($D24:$AC24,BO$4)</f>
        <v>0</v>
      </c>
      <c r="BP24" s="314"/>
    </row>
    <row r="25" ht="19.5" customHeight="1" spans="1:68">
      <c r="A25" s="309"/>
      <c r="B25" s="392" t="s">
        <v>86</v>
      </c>
      <c r="C25" s="197"/>
      <c r="D25" s="198"/>
      <c r="E25" s="197"/>
      <c r="F25" s="197" t="s">
        <v>57</v>
      </c>
      <c r="G25" s="197"/>
      <c r="H25" s="324"/>
      <c r="I25" s="198"/>
      <c r="J25" s="317" t="s">
        <v>58</v>
      </c>
      <c r="K25" s="197"/>
      <c r="L25" s="197"/>
      <c r="M25" s="197"/>
      <c r="N25" s="197"/>
      <c r="O25" s="197"/>
      <c r="P25" s="197" t="s">
        <v>59</v>
      </c>
      <c r="Q25" s="197"/>
      <c r="R25" s="197"/>
      <c r="S25" s="197" t="s">
        <v>59</v>
      </c>
      <c r="T25" s="197"/>
      <c r="U25" s="197"/>
      <c r="V25" s="197" t="s">
        <v>56</v>
      </c>
      <c r="X25" s="136" t="s">
        <v>232</v>
      </c>
      <c r="Y25" s="197" t="s">
        <v>56</v>
      </c>
      <c r="AA25" s="197"/>
      <c r="AB25" s="197"/>
      <c r="AC25" s="197"/>
      <c r="AD25" s="197"/>
      <c r="AE25" s="197"/>
      <c r="AF25" s="197"/>
      <c r="AG25" s="197"/>
      <c r="AH25" s="311"/>
      <c r="AI25" s="312"/>
      <c r="AJ25" s="311"/>
      <c r="AK25" s="313"/>
      <c r="AL25" s="313"/>
      <c r="AM25" s="313"/>
      <c r="AN25" s="313"/>
      <c r="AO25" s="238"/>
      <c r="AP25" s="313">
        <f t="shared" si="3"/>
        <v>0</v>
      </c>
      <c r="AQ25" s="238"/>
      <c r="AR25" s="238">
        <f t="shared" si="4"/>
        <v>0</v>
      </c>
      <c r="AS25" s="238"/>
      <c r="AT25" s="238">
        <f t="shared" si="7"/>
        <v>0</v>
      </c>
      <c r="AU25" s="238">
        <f t="shared" si="8"/>
        <v>0</v>
      </c>
      <c r="AV25" s="238">
        <f t="shared" si="9"/>
        <v>0</v>
      </c>
      <c r="AW25" s="238" t="e">
        <f>AT25+AX25</f>
        <v>#VALUE!</v>
      </c>
      <c r="AX25" s="313" t="e">
        <f>(BI25*('Setting key Duty'!$I$8+'Setting key Duty'!$I$12))+(BG25*'Setting key Duty'!$I$9)+(BB25*('Setting key Duty'!$I$13+'Setting key Duty'!$I$9))+(AZ25*('Setting key Duty'!$I$13+'Setting key Duty'!$I$12+'Setting key Duty'!$I$11))+(BD25*('Setting key Duty'!$I$8+'Setting key Duty'!$I$9+'Setting key Duty'!$I$12))</f>
        <v>#VALUE!</v>
      </c>
      <c r="AY25" s="313">
        <f>COUNTIF(D25:AC25,"*BRT*")</f>
        <v>0</v>
      </c>
      <c r="AZ25" s="313">
        <f t="shared" si="20"/>
        <v>0</v>
      </c>
      <c r="BA25" s="313" t="e">
        <f>AZ25*('Setting key Duty'!$I$13+'Setting key Duty'!$I$12+'Setting key Duty'!$I$11)</f>
        <v>#VALUE!</v>
      </c>
      <c r="BB25" s="313">
        <f t="shared" si="21"/>
        <v>0</v>
      </c>
      <c r="BC25" s="313" t="e">
        <f>BB25*('Setting key Duty'!$I$13+'Setting key Duty'!$I$9)</f>
        <v>#VALUE!</v>
      </c>
      <c r="BD25" s="313">
        <f t="shared" si="22"/>
        <v>0</v>
      </c>
      <c r="BE25" s="313">
        <f>BD25*('Setting key Duty'!$I$8+'Setting key Duty'!$I$9+'Setting key Duty'!$I$12)</f>
        <v>0</v>
      </c>
      <c r="BF25" s="313">
        <f>COUNTIF(AE25:AH25,"*$N*")</f>
        <v>0</v>
      </c>
      <c r="BG25" s="313">
        <f>COUNTIF(AE25:AH25,"*$PM*")</f>
        <v>0</v>
      </c>
      <c r="BH25" s="313">
        <f>BG25*('Setting key Duty'!$I$9)</f>
        <v>0</v>
      </c>
      <c r="BI25" s="313">
        <f t="shared" si="23"/>
        <v>0</v>
      </c>
      <c r="BJ25" s="313">
        <f>BI25*('Setting key Duty'!$I$12+'Setting key Duty'!$I$8)</f>
        <v>0</v>
      </c>
      <c r="BK25" s="313">
        <f t="shared" si="24"/>
        <v>0</v>
      </c>
      <c r="BL25" s="313">
        <f>BK25*('Setting key Duty'!$J$11+'Setting key Duty'!$I$8)</f>
        <v>0</v>
      </c>
      <c r="BM25" s="313">
        <f>COUNTIF($D25:$AE25,BM$4)</f>
        <v>0</v>
      </c>
      <c r="BN25" s="313">
        <f>COUNTIF($D25:$AE25,BN$4)</f>
        <v>0</v>
      </c>
      <c r="BO25" s="313">
        <f>COUNTIF($D25:$AE25,BO$4)</f>
        <v>0</v>
      </c>
      <c r="BP25" s="314"/>
    </row>
    <row r="26" ht="19.5" customHeight="1" spans="1:68">
      <c r="A26" s="309"/>
      <c r="B26" s="335" t="s">
        <v>233</v>
      </c>
      <c r="C26" s="197"/>
      <c r="D26" s="197"/>
      <c r="E26" s="197"/>
      <c r="F26" s="197" t="s">
        <v>59</v>
      </c>
      <c r="G26" s="198"/>
      <c r="H26" s="324"/>
      <c r="I26" s="324"/>
      <c r="K26" s="197" t="s">
        <v>57</v>
      </c>
      <c r="L26" s="197"/>
      <c r="M26" s="197" t="s">
        <v>56</v>
      </c>
      <c r="N26" s="106"/>
      <c r="O26" s="197"/>
      <c r="P26" s="197"/>
      <c r="Q26" s="197"/>
      <c r="R26" s="197" t="s">
        <v>234</v>
      </c>
      <c r="S26" s="197" t="s">
        <v>235</v>
      </c>
      <c r="U26" s="197"/>
      <c r="V26" s="197"/>
      <c r="W26" s="106"/>
      <c r="X26" s="197" t="s">
        <v>61</v>
      </c>
      <c r="Z26" s="197" t="s">
        <v>236</v>
      </c>
      <c r="AB26" s="198"/>
      <c r="AG26" s="197"/>
      <c r="AH26" s="311"/>
      <c r="AI26" s="312"/>
      <c r="AJ26" s="311"/>
      <c r="AK26" s="313"/>
      <c r="AL26" s="313"/>
      <c r="AM26" s="313"/>
      <c r="AN26" s="313"/>
      <c r="AO26" s="238"/>
      <c r="AP26" s="313">
        <f t="shared" si="3"/>
        <v>0</v>
      </c>
      <c r="AQ26" s="238"/>
      <c r="AR26" s="238">
        <f t="shared" si="4"/>
        <v>0</v>
      </c>
      <c r="AS26" s="238"/>
      <c r="AT26" s="238">
        <f t="shared" si="7"/>
        <v>0</v>
      </c>
      <c r="AU26" s="238">
        <f t="shared" si="8"/>
        <v>0</v>
      </c>
      <c r="AV26" s="238">
        <f t="shared" si="9"/>
        <v>2</v>
      </c>
      <c r="AW26" s="238" t="e">
        <f>AT26+AX26</f>
        <v>#VALUE!</v>
      </c>
      <c r="AX26" s="313" t="e">
        <f>(BI26*('Setting key Duty'!$I$8+'Setting key Duty'!$I$12))+(BG26*'Setting key Duty'!$I$9)+(BB26*('Setting key Duty'!$I$13+'Setting key Duty'!$I$9))+(AZ26*('Setting key Duty'!$I$13+'Setting key Duty'!$I$12+'Setting key Duty'!$I$11))+(BD26*('Setting key Duty'!$I$8+'Setting key Duty'!$I$9+'Setting key Duty'!$I$12))</f>
        <v>#VALUE!</v>
      </c>
      <c r="AY26" s="313">
        <f t="shared" ref="AY26:AY32" si="25">COUNTIF(D26:AA26,"*BRT*")</f>
        <v>0</v>
      </c>
      <c r="AZ26" s="313">
        <f t="shared" si="20"/>
        <v>0</v>
      </c>
      <c r="BA26" s="313" t="e">
        <f>AZ26*('Setting key Duty'!$I$13+'Setting key Duty'!$I$12+'Setting key Duty'!$I$11)</f>
        <v>#VALUE!</v>
      </c>
      <c r="BB26" s="313">
        <f t="shared" si="21"/>
        <v>0</v>
      </c>
      <c r="BC26" s="313" t="e">
        <f>BB26*('Setting key Duty'!$I$13+'Setting key Duty'!$I$9)</f>
        <v>#VALUE!</v>
      </c>
      <c r="BD26" s="313">
        <f t="shared" si="22"/>
        <v>0</v>
      </c>
      <c r="BE26" s="313">
        <f>BD26*('Setting key Duty'!$I$8+'Setting key Duty'!$I$9+'Setting key Duty'!$I$12)</f>
        <v>0</v>
      </c>
      <c r="BF26" s="313">
        <f t="shared" ref="BF26:BF32" si="26">COUNTIF(AH26,"*$N*")</f>
        <v>0</v>
      </c>
      <c r="BG26" s="313">
        <f t="shared" ref="BG26:BG32" si="27">COUNTIF(AH26,"*$PM*")</f>
        <v>0</v>
      </c>
      <c r="BH26" s="313">
        <f>BG26*('Setting key Duty'!$I$9)</f>
        <v>0</v>
      </c>
      <c r="BI26" s="313">
        <f t="shared" si="23"/>
        <v>2</v>
      </c>
      <c r="BJ26" s="313">
        <f>BI26*('Setting key Duty'!$I$12+'Setting key Duty'!$I$8)</f>
        <v>0.875</v>
      </c>
      <c r="BK26" s="313">
        <f t="shared" si="24"/>
        <v>0</v>
      </c>
      <c r="BL26" s="313">
        <f>BK26*('Setting key Duty'!$J$11+'Setting key Duty'!$I$8)</f>
        <v>0</v>
      </c>
      <c r="BM26" s="313">
        <f t="shared" ref="BM26:BM32" si="28">COUNTIF($D26:$AA26,BM$4)</f>
        <v>0</v>
      </c>
      <c r="BN26" s="313">
        <f t="shared" ref="BN26:BN32" si="29">COUNTIF($D26:$AA26,BN$4)</f>
        <v>0</v>
      </c>
      <c r="BO26" s="313">
        <f t="shared" ref="BO26:BO32" si="30">COUNTIF($D26:$AA26,BO$4)</f>
        <v>0</v>
      </c>
      <c r="BP26" s="314"/>
    </row>
    <row r="27" ht="19.5" customHeight="1" spans="1:68">
      <c r="A27" s="309"/>
      <c r="B27" s="373" t="s">
        <v>108</v>
      </c>
      <c r="C27" s="317" t="s">
        <v>65</v>
      </c>
      <c r="D27" s="324"/>
      <c r="E27" s="197" t="s">
        <v>106</v>
      </c>
      <c r="F27" s="324"/>
      <c r="G27" s="324"/>
      <c r="H27" s="197"/>
      <c r="I27" s="197"/>
      <c r="J27" s="197" t="s">
        <v>237</v>
      </c>
      <c r="L27" s="197" t="s">
        <v>180</v>
      </c>
      <c r="M27" s="317"/>
      <c r="N27" s="317"/>
      <c r="O27" s="317"/>
      <c r="P27" s="197" t="s">
        <v>238</v>
      </c>
      <c r="Q27" s="317"/>
      <c r="S27" s="197" t="s">
        <v>236</v>
      </c>
      <c r="T27" s="197"/>
      <c r="U27" s="197"/>
      <c r="V27" s="197" t="s">
        <v>223</v>
      </c>
      <c r="W27" s="197" t="s">
        <v>169</v>
      </c>
      <c r="X27" s="197" t="s">
        <v>169</v>
      </c>
      <c r="Y27" s="197" t="s">
        <v>169</v>
      </c>
      <c r="Z27" s="197" t="s">
        <v>169</v>
      </c>
      <c r="AA27" s="197" t="s">
        <v>169</v>
      </c>
      <c r="AB27" s="197"/>
      <c r="AC27" s="197" t="s">
        <v>54</v>
      </c>
      <c r="AD27" s="197" t="s">
        <v>54</v>
      </c>
      <c r="AE27" s="197"/>
      <c r="AF27" s="197"/>
      <c r="AG27" s="317" t="s">
        <v>54</v>
      </c>
      <c r="AH27" s="311"/>
      <c r="AI27" s="312"/>
      <c r="AJ27" s="311"/>
      <c r="AK27" s="313"/>
      <c r="AL27" s="313"/>
      <c r="AM27" s="313"/>
      <c r="AN27" s="313"/>
      <c r="AO27" s="238"/>
      <c r="AP27" s="313">
        <f t="shared" si="3"/>
        <v>0</v>
      </c>
      <c r="AQ27" s="238"/>
      <c r="AR27" s="238">
        <f t="shared" si="4"/>
        <v>0</v>
      </c>
      <c r="AS27" s="238"/>
      <c r="AT27" s="238">
        <f t="shared" si="7"/>
        <v>0</v>
      </c>
      <c r="AU27" s="238">
        <f t="shared" si="8"/>
        <v>0</v>
      </c>
      <c r="AV27" s="238">
        <f t="shared" si="9"/>
        <v>10</v>
      </c>
      <c r="AW27" s="238" t="e">
        <f t="shared" ref="AW27:AW32" si="31">AT27+$AX$10</f>
        <v>#VALUE!</v>
      </c>
      <c r="AX27" s="313" t="e">
        <f>(BI27*('Setting key Duty'!$I$8+'Setting key Duty'!$I$12))+(BG27*'Setting key Duty'!$I$9)+(BB27*('Setting key Duty'!$I$13+'Setting key Duty'!$I$9))+(AZ27*('Setting key Duty'!$I$13+'Setting key Duty'!$I$12+'Setting key Duty'!$I$11))+(BD27*('Setting key Duty'!$I$8+'Setting key Duty'!$I$9+'Setting key Duty'!$I$12))</f>
        <v>#VALUE!</v>
      </c>
      <c r="AY27" s="313">
        <f t="shared" si="25"/>
        <v>0</v>
      </c>
      <c r="AZ27" s="313">
        <f t="shared" si="20"/>
        <v>2</v>
      </c>
      <c r="BA27" s="313" t="e">
        <f>AZ27*('Setting key Duty'!$I$13+'Setting key Duty'!$I$12+'Setting key Duty'!$I$11)</f>
        <v>#VALUE!</v>
      </c>
      <c r="BB27" s="313">
        <f t="shared" si="21"/>
        <v>0</v>
      </c>
      <c r="BC27" s="313" t="e">
        <f>BB27*('Setting key Duty'!$I$13+'Setting key Duty'!$I$9)</f>
        <v>#VALUE!</v>
      </c>
      <c r="BD27" s="313">
        <f t="shared" si="22"/>
        <v>0</v>
      </c>
      <c r="BE27" s="313">
        <f>BD27*('Setting key Duty'!$I$8+'Setting key Duty'!$I$9+'Setting key Duty'!$I$12)</f>
        <v>0</v>
      </c>
      <c r="BF27" s="313">
        <f t="shared" si="26"/>
        <v>0</v>
      </c>
      <c r="BG27" s="313">
        <f t="shared" si="27"/>
        <v>0</v>
      </c>
      <c r="BH27" s="313">
        <f>BG27*('Setting key Duty'!$I$9)</f>
        <v>0</v>
      </c>
      <c r="BI27" s="313">
        <f t="shared" si="23"/>
        <v>3</v>
      </c>
      <c r="BJ27" s="313">
        <f>BI27*('Setting key Duty'!$I$12+'Setting key Duty'!$I$8)</f>
        <v>1.3125</v>
      </c>
      <c r="BK27" s="313">
        <f t="shared" si="24"/>
        <v>5</v>
      </c>
      <c r="BL27" s="313">
        <f>BK27*('Setting key Duty'!$J$11+'Setting key Duty'!$I$8)</f>
        <v>0.625</v>
      </c>
      <c r="BM27" s="313">
        <f t="shared" si="28"/>
        <v>0</v>
      </c>
      <c r="BN27" s="313">
        <f t="shared" si="29"/>
        <v>0</v>
      </c>
      <c r="BO27" s="313">
        <f t="shared" si="30"/>
        <v>0</v>
      </c>
      <c r="BP27" s="314"/>
    </row>
    <row r="28" ht="19.5" customHeight="1" spans="1:68">
      <c r="A28" s="309"/>
      <c r="B28" s="373" t="s">
        <v>119</v>
      </c>
      <c r="C28" s="317"/>
      <c r="D28" s="197"/>
      <c r="E28" s="197" t="s">
        <v>96</v>
      </c>
      <c r="F28" s="197"/>
      <c r="G28" s="198"/>
      <c r="H28" s="324"/>
      <c r="I28" s="317" t="s">
        <v>58</v>
      </c>
      <c r="J28" s="106"/>
      <c r="K28" s="317"/>
      <c r="L28" s="317" t="s">
        <v>93</v>
      </c>
      <c r="M28" s="317"/>
      <c r="N28" s="317" t="s">
        <v>58</v>
      </c>
      <c r="O28" s="197"/>
      <c r="P28" s="106"/>
      <c r="Q28" s="317" t="s">
        <v>58</v>
      </c>
      <c r="R28" s="197"/>
      <c r="S28" s="197" t="s">
        <v>239</v>
      </c>
      <c r="T28" s="317"/>
      <c r="U28" s="317" t="s">
        <v>58</v>
      </c>
      <c r="V28" s="317"/>
      <c r="W28" s="317"/>
      <c r="X28" s="317" t="s">
        <v>65</v>
      </c>
      <c r="Y28" s="197"/>
      <c r="Z28" s="197" t="s">
        <v>58</v>
      </c>
      <c r="AA28" s="197" t="s">
        <v>120</v>
      </c>
      <c r="AB28" s="197" t="s">
        <v>120</v>
      </c>
      <c r="AC28" s="197"/>
      <c r="AD28" s="197" t="s">
        <v>93</v>
      </c>
      <c r="AE28" s="198" t="s">
        <v>65</v>
      </c>
      <c r="AG28" s="197" t="s">
        <v>56</v>
      </c>
      <c r="AH28" s="311"/>
      <c r="AI28" s="312"/>
      <c r="AJ28" s="311"/>
      <c r="AK28" s="313"/>
      <c r="AL28" s="313"/>
      <c r="AM28" s="313"/>
      <c r="AN28" s="313"/>
      <c r="AO28" s="238"/>
      <c r="AP28" s="313">
        <f t="shared" si="3"/>
        <v>0</v>
      </c>
      <c r="AQ28" s="238"/>
      <c r="AR28" s="238">
        <f t="shared" si="4"/>
        <v>0</v>
      </c>
      <c r="AS28" s="238"/>
      <c r="AT28" s="238">
        <f t="shared" si="7"/>
        <v>0</v>
      </c>
      <c r="AU28" s="238">
        <f t="shared" si="8"/>
        <v>0</v>
      </c>
      <c r="AV28" s="238">
        <f t="shared" si="9"/>
        <v>0</v>
      </c>
      <c r="AW28" s="238" t="e">
        <f t="shared" si="31"/>
        <v>#VALUE!</v>
      </c>
      <c r="AX28" s="313" t="e">
        <f>(BI28*('Setting key Duty'!$I$8+'Setting key Duty'!$I$12))+(BG28*'Setting key Duty'!$I$9)+(BB28*('Setting key Duty'!$I$13+'Setting key Duty'!$I$9))+(AZ28*('Setting key Duty'!$I$13+'Setting key Duty'!$I$12+'Setting key Duty'!$I$11))+(BD28*('Setting key Duty'!$I$8+'Setting key Duty'!$I$9+'Setting key Duty'!$I$12))</f>
        <v>#VALUE!</v>
      </c>
      <c r="AY28" s="313">
        <f t="shared" si="25"/>
        <v>0</v>
      </c>
      <c r="AZ28" s="313">
        <f t="shared" si="20"/>
        <v>0</v>
      </c>
      <c r="BA28" s="313" t="e">
        <f>AZ28*('Setting key Duty'!$I$13+'Setting key Duty'!$I$12+'Setting key Duty'!$I$11)</f>
        <v>#VALUE!</v>
      </c>
      <c r="BB28" s="313">
        <f t="shared" si="21"/>
        <v>0</v>
      </c>
      <c r="BC28" s="313" t="e">
        <f>BB28*('Setting key Duty'!$I$13+'Setting key Duty'!$I$9)</f>
        <v>#VALUE!</v>
      </c>
      <c r="BD28" s="313">
        <f t="shared" si="22"/>
        <v>0</v>
      </c>
      <c r="BE28" s="313">
        <f>BD28*('Setting key Duty'!$I$8+'Setting key Duty'!$I$9+'Setting key Duty'!$I$12)</f>
        <v>0</v>
      </c>
      <c r="BF28" s="313">
        <f t="shared" si="26"/>
        <v>0</v>
      </c>
      <c r="BG28" s="313">
        <f t="shared" si="27"/>
        <v>0</v>
      </c>
      <c r="BH28" s="313">
        <f>BG28*('Setting key Duty'!$I$9)</f>
        <v>0</v>
      </c>
      <c r="BI28" s="313">
        <f t="shared" si="23"/>
        <v>0</v>
      </c>
      <c r="BJ28" s="313">
        <f>BI28*('Setting key Duty'!$I$12+'Setting key Duty'!$I$8)</f>
        <v>0</v>
      </c>
      <c r="BK28" s="313">
        <f t="shared" si="24"/>
        <v>0</v>
      </c>
      <c r="BL28" s="313">
        <f>BK28*('Setting key Duty'!$J$11+'Setting key Duty'!$I$8)</f>
        <v>0</v>
      </c>
      <c r="BM28" s="313">
        <f t="shared" si="28"/>
        <v>0</v>
      </c>
      <c r="BN28" s="313">
        <f t="shared" si="29"/>
        <v>0</v>
      </c>
      <c r="BO28" s="313">
        <f t="shared" si="30"/>
        <v>0</v>
      </c>
      <c r="BP28" s="314"/>
    </row>
    <row r="29" ht="19.5" customHeight="1" spans="1:68">
      <c r="A29" s="309"/>
      <c r="B29" s="373" t="s">
        <v>121</v>
      </c>
      <c r="C29" s="106"/>
      <c r="D29" s="197"/>
      <c r="E29" s="197"/>
      <c r="F29" s="197"/>
      <c r="G29" s="198"/>
      <c r="H29" s="197" t="s">
        <v>230</v>
      </c>
      <c r="I29" s="317"/>
      <c r="J29" s="197" t="s">
        <v>219</v>
      </c>
      <c r="K29" s="317"/>
      <c r="M29" s="317" t="s">
        <v>58</v>
      </c>
      <c r="N29" s="317"/>
      <c r="O29" s="4"/>
      <c r="P29" s="197" t="s">
        <v>240</v>
      </c>
      <c r="Q29" s="197"/>
      <c r="R29" s="197" t="s">
        <v>241</v>
      </c>
      <c r="S29" s="197"/>
      <c r="T29" s="317"/>
      <c r="U29" s="197"/>
      <c r="V29" s="197" t="s">
        <v>223</v>
      </c>
      <c r="W29" s="317"/>
      <c r="X29" s="197" t="s">
        <v>242</v>
      </c>
      <c r="Y29" s="197" t="s">
        <v>242</v>
      </c>
      <c r="Z29" s="197" t="s">
        <v>242</v>
      </c>
      <c r="AA29" s="197" t="s">
        <v>242</v>
      </c>
      <c r="AB29" s="197" t="s">
        <v>242</v>
      </c>
      <c r="AC29" s="197" t="s">
        <v>243</v>
      </c>
      <c r="AD29" s="197" t="s">
        <v>243</v>
      </c>
      <c r="AE29" s="197"/>
      <c r="AF29" s="198"/>
      <c r="AG29" s="197" t="s">
        <v>96</v>
      </c>
      <c r="AH29" s="311"/>
      <c r="AI29" s="312"/>
      <c r="AJ29" s="311"/>
      <c r="AK29" s="313"/>
      <c r="AL29" s="313"/>
      <c r="AM29" s="313"/>
      <c r="AN29" s="313"/>
      <c r="AO29" s="238"/>
      <c r="AP29" s="313">
        <f t="shared" si="3"/>
        <v>0</v>
      </c>
      <c r="AQ29" s="238"/>
      <c r="AR29" s="238">
        <f t="shared" si="4"/>
        <v>0</v>
      </c>
      <c r="AS29" s="238"/>
      <c r="AT29" s="238">
        <f t="shared" si="7"/>
        <v>0</v>
      </c>
      <c r="AU29" s="238">
        <f t="shared" si="8"/>
        <v>0</v>
      </c>
      <c r="AV29" s="238">
        <f t="shared" si="9"/>
        <v>8</v>
      </c>
      <c r="AW29" s="238" t="e">
        <f t="shared" si="31"/>
        <v>#VALUE!</v>
      </c>
      <c r="AX29" s="313" t="e">
        <f>(BI29*('Setting key Duty'!$I$8+'Setting key Duty'!$I$12))+(BG29*'Setting key Duty'!$I$9)+(BB29*('Setting key Duty'!$I$13+'Setting key Duty'!$I$9))+(AZ29*('Setting key Duty'!$I$13+'Setting key Duty'!$I$12+'Setting key Duty'!$I$11))+(BD29*('Setting key Duty'!$I$8+'Setting key Duty'!$I$9+'Setting key Duty'!$I$12))</f>
        <v>#VALUE!</v>
      </c>
      <c r="AY29" s="313">
        <f t="shared" si="25"/>
        <v>0</v>
      </c>
      <c r="AZ29" s="313">
        <f t="shared" si="20"/>
        <v>1</v>
      </c>
      <c r="BA29" s="313" t="e">
        <f>AZ29*('Setting key Duty'!$I$13+'Setting key Duty'!$I$12+'Setting key Duty'!$I$11)</f>
        <v>#VALUE!</v>
      </c>
      <c r="BB29" s="313">
        <f t="shared" si="21"/>
        <v>0</v>
      </c>
      <c r="BC29" s="313" t="e">
        <f>BB29*('Setting key Duty'!$I$13+'Setting key Duty'!$I$9)</f>
        <v>#VALUE!</v>
      </c>
      <c r="BD29" s="313">
        <f t="shared" si="22"/>
        <v>1</v>
      </c>
      <c r="BE29" s="313">
        <f>BD29*('Setting key Duty'!$I$8+'Setting key Duty'!$I$9+'Setting key Duty'!$I$12)</f>
        <v>0.5625</v>
      </c>
      <c r="BF29" s="313">
        <f t="shared" si="26"/>
        <v>0</v>
      </c>
      <c r="BG29" s="313">
        <f t="shared" si="27"/>
        <v>0</v>
      </c>
      <c r="BH29" s="313">
        <f>BG29*('Setting key Duty'!$I$9)</f>
        <v>0</v>
      </c>
      <c r="BI29" s="313">
        <f t="shared" si="23"/>
        <v>1</v>
      </c>
      <c r="BJ29" s="313">
        <f>BI29*('Setting key Duty'!$I$12+'Setting key Duty'!$I$8)</f>
        <v>0.4375</v>
      </c>
      <c r="BK29" s="313">
        <f t="shared" si="24"/>
        <v>5</v>
      </c>
      <c r="BL29" s="313">
        <f>BK29*('Setting key Duty'!$J$11+'Setting key Duty'!$I$8)</f>
        <v>0.625</v>
      </c>
      <c r="BM29" s="313">
        <f t="shared" si="28"/>
        <v>0</v>
      </c>
      <c r="BN29" s="313">
        <f t="shared" si="29"/>
        <v>0</v>
      </c>
      <c r="BO29" s="313">
        <f t="shared" si="30"/>
        <v>0</v>
      </c>
      <c r="BP29" s="314"/>
    </row>
    <row r="30" ht="19.5" customHeight="1" spans="1:68">
      <c r="A30" s="309"/>
      <c r="B30" s="373" t="s">
        <v>129</v>
      </c>
      <c r="C30" s="317"/>
      <c r="D30" s="317"/>
      <c r="E30" s="197" t="s">
        <v>58</v>
      </c>
      <c r="F30" s="197"/>
      <c r="G30" s="317"/>
      <c r="H30" s="197"/>
      <c r="I30" s="197" t="s">
        <v>244</v>
      </c>
      <c r="J30" s="317"/>
      <c r="K30" s="197" t="s">
        <v>237</v>
      </c>
      <c r="M30" s="317"/>
      <c r="O30" s="317"/>
      <c r="P30" s="317" t="s">
        <v>93</v>
      </c>
      <c r="Q30" s="197" t="s">
        <v>245</v>
      </c>
      <c r="S30" s="197" t="s">
        <v>246</v>
      </c>
      <c r="T30" s="197"/>
      <c r="U30" s="197"/>
      <c r="V30" s="197" t="s">
        <v>65</v>
      </c>
      <c r="W30" s="197" t="s">
        <v>247</v>
      </c>
      <c r="X30" s="197" t="s">
        <v>248</v>
      </c>
      <c r="Y30" s="197" t="s">
        <v>133</v>
      </c>
      <c r="Z30" s="197" t="s">
        <v>249</v>
      </c>
      <c r="AA30" s="197"/>
      <c r="AB30" s="106"/>
      <c r="AC30" s="197" t="s">
        <v>250</v>
      </c>
      <c r="AD30" s="197"/>
      <c r="AE30" s="197"/>
      <c r="AF30" s="197"/>
      <c r="AG30" s="106"/>
      <c r="AH30" s="311"/>
      <c r="AI30" s="312"/>
      <c r="AJ30" s="311"/>
      <c r="AK30" s="313"/>
      <c r="AL30" s="313"/>
      <c r="AM30" s="313"/>
      <c r="AN30" s="313"/>
      <c r="AO30" s="238"/>
      <c r="AP30" s="313">
        <f t="shared" si="3"/>
        <v>0</v>
      </c>
      <c r="AQ30" s="238"/>
      <c r="AR30" s="238">
        <f t="shared" si="4"/>
        <v>0</v>
      </c>
      <c r="AS30" s="238"/>
      <c r="AT30" s="238">
        <f t="shared" si="7"/>
        <v>0</v>
      </c>
      <c r="AU30" s="238">
        <f t="shared" si="8"/>
        <v>0</v>
      </c>
      <c r="AV30" s="238">
        <f t="shared" si="9"/>
        <v>6</v>
      </c>
      <c r="AW30" s="238" t="e">
        <f t="shared" si="31"/>
        <v>#VALUE!</v>
      </c>
      <c r="AX30" s="313" t="e">
        <f>(BI30*('Setting key Duty'!$I$8+'Setting key Duty'!$I$12))+(BG30*'Setting key Duty'!$I$9)+(BB30*('Setting key Duty'!$I$13+'Setting key Duty'!$I$9))+(AZ30*('Setting key Duty'!$I$13+'Setting key Duty'!$I$12+'Setting key Duty'!$I$11))+(BD30*('Setting key Duty'!$I$8+'Setting key Duty'!$I$9+'Setting key Duty'!$I$12))</f>
        <v>#VALUE!</v>
      </c>
      <c r="AY30" s="313">
        <f t="shared" si="25"/>
        <v>0</v>
      </c>
      <c r="AZ30" s="313">
        <f t="shared" si="20"/>
        <v>1</v>
      </c>
      <c r="BA30" s="313" t="e">
        <f>AZ30*('Setting key Duty'!$I$13+'Setting key Duty'!$I$12+'Setting key Duty'!$I$11)</f>
        <v>#VALUE!</v>
      </c>
      <c r="BB30" s="313">
        <f t="shared" si="21"/>
        <v>0</v>
      </c>
      <c r="BC30" s="313" t="e">
        <f>BB30*('Setting key Duty'!$I$13+'Setting key Duty'!$I$9)</f>
        <v>#VALUE!</v>
      </c>
      <c r="BD30" s="313">
        <f t="shared" si="22"/>
        <v>0</v>
      </c>
      <c r="BE30" s="313">
        <f>BD30*('Setting key Duty'!$I$8+'Setting key Duty'!$I$9+'Setting key Duty'!$I$12)</f>
        <v>0</v>
      </c>
      <c r="BF30" s="313">
        <f t="shared" si="26"/>
        <v>0</v>
      </c>
      <c r="BG30" s="313">
        <f t="shared" si="27"/>
        <v>0</v>
      </c>
      <c r="BH30" s="313">
        <f>BG30*('Setting key Duty'!$I$9)</f>
        <v>0</v>
      </c>
      <c r="BI30" s="313">
        <f t="shared" si="23"/>
        <v>5</v>
      </c>
      <c r="BJ30" s="313">
        <f>BI30*('Setting key Duty'!$I$12+'Setting key Duty'!$I$8)</f>
        <v>2.1875</v>
      </c>
      <c r="BK30" s="313">
        <f t="shared" si="24"/>
        <v>0</v>
      </c>
      <c r="BL30" s="313">
        <f>BK30*('Setting key Duty'!$J$11+'Setting key Duty'!$I$8)</f>
        <v>0</v>
      </c>
      <c r="BM30" s="313">
        <f t="shared" si="28"/>
        <v>0</v>
      </c>
      <c r="BN30" s="313">
        <f t="shared" si="29"/>
        <v>0</v>
      </c>
      <c r="BO30" s="313">
        <f t="shared" si="30"/>
        <v>0</v>
      </c>
      <c r="BP30" s="314"/>
    </row>
    <row r="31" ht="43.5" customHeight="1" spans="1:68">
      <c r="A31" s="309"/>
      <c r="B31" s="373" t="s">
        <v>142</v>
      </c>
      <c r="D31" s="317" t="s">
        <v>58</v>
      </c>
      <c r="E31" s="106"/>
      <c r="H31" s="197"/>
      <c r="I31" s="197" t="s">
        <v>251</v>
      </c>
      <c r="K31" s="317"/>
      <c r="L31" s="197" t="s">
        <v>58</v>
      </c>
      <c r="N31" s="317"/>
      <c r="O31" s="197" t="s">
        <v>218</v>
      </c>
      <c r="P31" s="197" t="s">
        <v>218</v>
      </c>
      <c r="Q31" s="197" t="s">
        <v>218</v>
      </c>
      <c r="R31" s="197" t="s">
        <v>218</v>
      </c>
      <c r="S31" s="197" t="s">
        <v>218</v>
      </c>
      <c r="T31" s="317" t="s">
        <v>58</v>
      </c>
      <c r="U31" s="317" t="s">
        <v>210</v>
      </c>
      <c r="V31" s="197" t="s">
        <v>218</v>
      </c>
      <c r="W31" s="197" t="s">
        <v>218</v>
      </c>
      <c r="X31" s="197" t="s">
        <v>218</v>
      </c>
      <c r="Y31" s="197" t="s">
        <v>218</v>
      </c>
      <c r="Z31" s="197" t="s">
        <v>218</v>
      </c>
      <c r="AA31" s="317" t="s">
        <v>58</v>
      </c>
      <c r="AC31" s="197" t="s">
        <v>252</v>
      </c>
      <c r="AD31" s="197"/>
      <c r="AE31" s="197"/>
      <c r="AF31" s="197"/>
      <c r="AG31" s="317"/>
      <c r="AH31" s="311"/>
      <c r="AI31" s="312"/>
      <c r="AJ31" s="311"/>
      <c r="AK31" s="313"/>
      <c r="AL31" s="313"/>
      <c r="AM31" s="313"/>
      <c r="AN31" s="313"/>
      <c r="AO31" s="238"/>
      <c r="AP31" s="313">
        <f t="shared" si="3"/>
        <v>0</v>
      </c>
      <c r="AQ31" s="238"/>
      <c r="AR31" s="238">
        <f t="shared" si="4"/>
        <v>0</v>
      </c>
      <c r="AS31" s="238"/>
      <c r="AT31" s="238">
        <f t="shared" si="7"/>
        <v>0</v>
      </c>
      <c r="AU31" s="238">
        <f t="shared" si="8"/>
        <v>0</v>
      </c>
      <c r="AV31" s="238">
        <f t="shared" si="9"/>
        <v>2</v>
      </c>
      <c r="AW31" s="238" t="e">
        <f t="shared" si="31"/>
        <v>#VALUE!</v>
      </c>
      <c r="AX31" s="313" t="e">
        <f>(BI31*('Setting key Duty'!$I$8+'Setting key Duty'!$I$12))+(BG31*'Setting key Duty'!$I$9)+(BB31*('Setting key Duty'!$I$13+'Setting key Duty'!$I$9))+(AZ31*('Setting key Duty'!$I$13+'Setting key Duty'!$I$12+'Setting key Duty'!$I$11))+(BD31*('Setting key Duty'!$I$8+'Setting key Duty'!$I$9+'Setting key Duty'!$I$12))</f>
        <v>#VALUE!</v>
      </c>
      <c r="AY31" s="313">
        <f t="shared" si="25"/>
        <v>0</v>
      </c>
      <c r="AZ31" s="313">
        <f t="shared" si="20"/>
        <v>0</v>
      </c>
      <c r="BA31" s="313" t="e">
        <f>AZ31*('Setting key Duty'!$I$13+'Setting key Duty'!$I$12+'Setting key Duty'!$I$11)</f>
        <v>#VALUE!</v>
      </c>
      <c r="BB31" s="313">
        <f t="shared" si="21"/>
        <v>0</v>
      </c>
      <c r="BC31" s="313" t="e">
        <f>BB31*('Setting key Duty'!$I$13+'Setting key Duty'!$I$9)</f>
        <v>#VALUE!</v>
      </c>
      <c r="BD31" s="313">
        <f t="shared" si="22"/>
        <v>1</v>
      </c>
      <c r="BE31" s="313">
        <f>BD31*('Setting key Duty'!$I$8+'Setting key Duty'!$I$9+'Setting key Duty'!$I$12)</f>
        <v>0.5625</v>
      </c>
      <c r="BF31" s="313">
        <f t="shared" si="26"/>
        <v>0</v>
      </c>
      <c r="BG31" s="313">
        <f t="shared" si="27"/>
        <v>0</v>
      </c>
      <c r="BH31" s="313">
        <f>BG31*('Setting key Duty'!$I$9)</f>
        <v>0</v>
      </c>
      <c r="BI31" s="313">
        <f t="shared" si="23"/>
        <v>1</v>
      </c>
      <c r="BJ31" s="313">
        <f>BI31*('Setting key Duty'!$I$12+'Setting key Duty'!$I$8)</f>
        <v>0.4375</v>
      </c>
      <c r="BK31" s="313">
        <f t="shared" si="24"/>
        <v>0</v>
      </c>
      <c r="BL31" s="313">
        <f>BK31*('Setting key Duty'!$J$11+'Setting key Duty'!$I$8)</f>
        <v>0</v>
      </c>
      <c r="BM31" s="313">
        <f t="shared" si="28"/>
        <v>0</v>
      </c>
      <c r="BN31" s="313">
        <f t="shared" si="29"/>
        <v>0</v>
      </c>
      <c r="BO31" s="313">
        <f t="shared" si="30"/>
        <v>0</v>
      </c>
      <c r="BP31" s="314"/>
    </row>
    <row r="32" ht="19.5" customHeight="1" spans="1:68">
      <c r="A32" s="309"/>
      <c r="B32" s="376" t="s">
        <v>189</v>
      </c>
      <c r="C32" s="324"/>
      <c r="D32" s="324"/>
      <c r="E32" s="324" t="s">
        <v>65</v>
      </c>
      <c r="F32" s="324"/>
      <c r="G32" s="324"/>
      <c r="H32" s="317" t="s">
        <v>65</v>
      </c>
      <c r="J32" s="317" t="s">
        <v>65</v>
      </c>
      <c r="L32" s="324" t="s">
        <v>253</v>
      </c>
      <c r="M32" s="317" t="s">
        <v>65</v>
      </c>
      <c r="O32" s="317"/>
      <c r="P32" s="317" t="s">
        <v>65</v>
      </c>
      <c r="Q32" s="106"/>
      <c r="R32" s="317" t="s">
        <v>65</v>
      </c>
      <c r="S32" s="317"/>
      <c r="T32" s="317"/>
      <c r="U32" s="317" t="s">
        <v>65</v>
      </c>
      <c r="V32" s="317"/>
      <c r="W32" s="317" t="s">
        <v>253</v>
      </c>
      <c r="X32" s="317" t="s">
        <v>93</v>
      </c>
      <c r="Z32" s="324" t="s">
        <v>65</v>
      </c>
      <c r="AA32" s="106"/>
      <c r="AB32" s="317" t="s">
        <v>65</v>
      </c>
      <c r="AC32" s="324"/>
      <c r="AD32" s="197"/>
      <c r="AE32" s="197"/>
      <c r="AF32" s="197"/>
      <c r="AG32" s="317" t="s">
        <v>253</v>
      </c>
      <c r="AH32" s="311"/>
      <c r="AI32" s="312"/>
      <c r="AJ32" s="311"/>
      <c r="AK32" s="313"/>
      <c r="AL32" s="313"/>
      <c r="AM32" s="313"/>
      <c r="AN32" s="313"/>
      <c r="AO32" s="238"/>
      <c r="AP32" s="313">
        <f t="shared" si="3"/>
        <v>0</v>
      </c>
      <c r="AQ32" s="238"/>
      <c r="AR32" s="238">
        <f t="shared" si="4"/>
        <v>0</v>
      </c>
      <c r="AS32" s="238"/>
      <c r="AT32" s="238">
        <f t="shared" si="7"/>
        <v>0</v>
      </c>
      <c r="AU32" s="238">
        <f t="shared" si="8"/>
        <v>0</v>
      </c>
      <c r="AV32" s="238">
        <f t="shared" si="9"/>
        <v>0</v>
      </c>
      <c r="AW32" s="238" t="e">
        <f t="shared" si="31"/>
        <v>#VALUE!</v>
      </c>
      <c r="AX32" s="313" t="e">
        <f>(BI32*('Setting key Duty'!$I$8+'Setting key Duty'!$I$12))+(BG32*'Setting key Duty'!$I$9)+(BB32*('Setting key Duty'!$I$13+'Setting key Duty'!$I$9))+(AZ32*('Setting key Duty'!$I$13+'Setting key Duty'!$I$12+'Setting key Duty'!$I$11))+(BD32*('Setting key Duty'!$I$8+'Setting key Duty'!$I$9+'Setting key Duty'!$I$12))</f>
        <v>#VALUE!</v>
      </c>
      <c r="AY32" s="313">
        <f t="shared" si="25"/>
        <v>0</v>
      </c>
      <c r="AZ32" s="313">
        <f t="shared" si="20"/>
        <v>0</v>
      </c>
      <c r="BA32" s="313" t="e">
        <f>AZ32*('Setting key Duty'!$I$13+'Setting key Duty'!$I$12+'Setting key Duty'!$I$11)</f>
        <v>#VALUE!</v>
      </c>
      <c r="BB32" s="313">
        <f t="shared" si="21"/>
        <v>0</v>
      </c>
      <c r="BC32" s="313" t="e">
        <f>BB32*('Setting key Duty'!$I$13+'Setting key Duty'!$I$9)</f>
        <v>#VALUE!</v>
      </c>
      <c r="BD32" s="313">
        <f t="shared" si="22"/>
        <v>0</v>
      </c>
      <c r="BE32" s="313">
        <f>BD32*('Setting key Duty'!$I$8+'Setting key Duty'!$I$9+'Setting key Duty'!$I$12)</f>
        <v>0</v>
      </c>
      <c r="BF32" s="313">
        <f t="shared" si="26"/>
        <v>0</v>
      </c>
      <c r="BG32" s="313">
        <f t="shared" si="27"/>
        <v>0</v>
      </c>
      <c r="BH32" s="313">
        <f>BG32*('Setting key Duty'!$I$9)</f>
        <v>0</v>
      </c>
      <c r="BI32" s="313">
        <f t="shared" si="23"/>
        <v>0</v>
      </c>
      <c r="BJ32" s="313">
        <f>BI32*('Setting key Duty'!$I$12+'Setting key Duty'!$I$8)</f>
        <v>0</v>
      </c>
      <c r="BK32" s="313">
        <f t="shared" si="24"/>
        <v>0</v>
      </c>
      <c r="BL32" s="313">
        <f>BK32*('Setting key Duty'!$J$11+'Setting key Duty'!$I$8)</f>
        <v>0</v>
      </c>
      <c r="BM32" s="313">
        <f t="shared" si="28"/>
        <v>0</v>
      </c>
      <c r="BN32" s="313">
        <f t="shared" si="29"/>
        <v>0</v>
      </c>
      <c r="BO32" s="313">
        <f t="shared" si="30"/>
        <v>0</v>
      </c>
      <c r="BP32" s="314"/>
    </row>
    <row r="33" ht="19.5" customHeight="1" spans="1:68">
      <c r="A33" s="309"/>
      <c r="B33" s="347" t="s">
        <v>191</v>
      </c>
      <c r="C33" s="324"/>
      <c r="D33" s="324"/>
      <c r="E33" s="324">
        <v>3</v>
      </c>
      <c r="F33" s="324"/>
      <c r="G33" s="197" t="s">
        <v>65</v>
      </c>
      <c r="H33" s="317"/>
      <c r="I33" s="317">
        <v>4</v>
      </c>
      <c r="J33" s="317" t="s">
        <v>254</v>
      </c>
      <c r="K33" s="324" t="s">
        <v>93</v>
      </c>
      <c r="L33" s="317" t="s">
        <v>65</v>
      </c>
      <c r="M33" s="324"/>
      <c r="N33" s="197" t="s">
        <v>65</v>
      </c>
      <c r="P33" s="197" t="s">
        <v>250</v>
      </c>
      <c r="Q33" s="106"/>
      <c r="R33" s="197" t="s">
        <v>255</v>
      </c>
      <c r="S33" s="317"/>
      <c r="U33" s="317"/>
      <c r="V33" s="317" t="s">
        <v>93</v>
      </c>
      <c r="Y33" s="197" t="s">
        <v>256</v>
      </c>
      <c r="Z33" s="197" t="s">
        <v>256</v>
      </c>
      <c r="AA33" s="197" t="s">
        <v>256</v>
      </c>
      <c r="AB33" s="197" t="s">
        <v>256</v>
      </c>
      <c r="AC33" s="197" t="s">
        <v>256</v>
      </c>
      <c r="AD33" s="197"/>
      <c r="AE33" s="197"/>
      <c r="AF33" s="197"/>
      <c r="AH33" s="311"/>
      <c r="AI33" s="312"/>
      <c r="AJ33" s="311"/>
      <c r="AK33" s="313"/>
      <c r="AL33" s="313"/>
      <c r="AM33" s="313"/>
      <c r="AN33" s="313"/>
      <c r="AO33" s="238"/>
      <c r="AP33" s="313">
        <f t="shared" si="3"/>
        <v>0</v>
      </c>
      <c r="AQ33" s="238"/>
      <c r="AR33" s="238">
        <f t="shared" si="4"/>
        <v>0</v>
      </c>
      <c r="AS33" s="238"/>
      <c r="AT33" s="238">
        <f t="shared" si="7"/>
        <v>0</v>
      </c>
      <c r="AU33" s="238">
        <f t="shared" si="8"/>
        <v>0</v>
      </c>
      <c r="AV33" s="238">
        <f t="shared" si="9"/>
        <v>7</v>
      </c>
      <c r="AW33" s="238" t="e">
        <f>AT33+AX33</f>
        <v>#VALUE!</v>
      </c>
      <c r="AX33" s="313" t="e">
        <f>(BI33*('Setting key Duty'!$I$8+'Setting key Duty'!$I$12))+(BG33*'Setting key Duty'!$I$9)+(BB33*('Setting key Duty'!$I$13+'Setting key Duty'!$I$9))+(AZ33*('Setting key Duty'!$I$13+'Setting key Duty'!$I$12+'Setting key Duty'!$I$11))+(BD33*('Setting key Duty'!$I$8+'Setting key Duty'!$I$9+'Setting key Duty'!$I$12))</f>
        <v>#VALUE!</v>
      </c>
      <c r="AY33" s="313">
        <f>COUNTIF(C33:X33,"*BRT*")</f>
        <v>0</v>
      </c>
      <c r="AZ33" s="313">
        <f t="shared" si="20"/>
        <v>1</v>
      </c>
      <c r="BA33" s="313" t="e">
        <f>AZ33*('Setting key Duty'!$I$13+'Setting key Duty'!$I$12+'Setting key Duty'!$I$11)</f>
        <v>#VALUE!</v>
      </c>
      <c r="BB33" s="313">
        <f>COUNTIF(D33:AH33,"*$L*")</f>
        <v>0</v>
      </c>
      <c r="BC33" s="313" t="e">
        <f>BB33*('Setting key Duty'!$I$13+'Setting key Duty'!$I$9)</f>
        <v>#VALUE!</v>
      </c>
      <c r="BD33" s="313">
        <f>COUNTIF(D33:AH33,"*$M*")</f>
        <v>0</v>
      </c>
      <c r="BE33" s="313">
        <f>BD33*('Setting key Duty'!$I$8+'Setting key Duty'!$I$9+'Setting key Duty'!$I$12)</f>
        <v>0</v>
      </c>
      <c r="BF33" s="313">
        <f>COUNTIF(D33:AH33,"*$N*")</f>
        <v>0</v>
      </c>
      <c r="BG33" s="313">
        <f>COUNTIF(D33:AH33,"*$PM*")</f>
        <v>0</v>
      </c>
      <c r="BH33" s="313">
        <f>BG33*('Setting key Duty'!$I$9)</f>
        <v>0</v>
      </c>
      <c r="BI33" s="313">
        <f>COUNTIF(D33:AH33,"*$AM*")</f>
        <v>1</v>
      </c>
      <c r="BJ33" s="313">
        <f>BI33*('Setting key Duty'!$I$12+'Setting key Duty'!$I$8)</f>
        <v>0.4375</v>
      </c>
      <c r="BK33" s="313">
        <f>COUNTIF(C33:AH33,"*$FC*")</f>
        <v>5</v>
      </c>
      <c r="BL33" s="313">
        <f>BK33*('Setting key Duty'!$J$11+'Setting key Duty'!$I$8)</f>
        <v>0.625</v>
      </c>
      <c r="BM33" s="313">
        <f>COUNTIF($C33:$AG33,BM$4)</f>
        <v>0</v>
      </c>
      <c r="BN33" s="313">
        <f>COUNTIF($C33:$AG33,BN$4)</f>
        <v>0</v>
      </c>
      <c r="BO33" s="313">
        <f>COUNTIF($D33:$AE33,BO$4)</f>
        <v>0</v>
      </c>
      <c r="BP33" s="314"/>
    </row>
    <row r="34" ht="19.5" customHeight="1" spans="1:68">
      <c r="A34" s="309"/>
      <c r="B34" s="347" t="s">
        <v>192</v>
      </c>
      <c r="C34" s="317"/>
      <c r="D34" s="317"/>
      <c r="E34" s="317">
        <v>2</v>
      </c>
      <c r="F34" s="317"/>
      <c r="G34" s="324"/>
      <c r="H34" s="317" t="s">
        <v>93</v>
      </c>
      <c r="I34" s="317">
        <v>3</v>
      </c>
      <c r="J34" s="317">
        <v>4</v>
      </c>
      <c r="L34" s="317" t="s">
        <v>254</v>
      </c>
      <c r="M34" s="197" t="s">
        <v>257</v>
      </c>
      <c r="N34" s="317"/>
      <c r="O34" s="197" t="s">
        <v>258</v>
      </c>
      <c r="Q34" s="106"/>
      <c r="R34" s="317" t="s">
        <v>93</v>
      </c>
      <c r="S34" s="197" t="s">
        <v>255</v>
      </c>
      <c r="T34" s="317"/>
      <c r="U34" s="317"/>
      <c r="W34" s="197" t="s">
        <v>259</v>
      </c>
      <c r="X34" s="317"/>
      <c r="Y34" s="317" t="s">
        <v>69</v>
      </c>
      <c r="Z34" s="197" t="s">
        <v>260</v>
      </c>
      <c r="AA34" s="197"/>
      <c r="AC34" s="136" t="s">
        <v>246</v>
      </c>
      <c r="AD34" s="197"/>
      <c r="AE34" s="197"/>
      <c r="AF34" s="197"/>
      <c r="AG34" s="317" t="s">
        <v>65</v>
      </c>
      <c r="AH34" s="311"/>
      <c r="AI34" s="312"/>
      <c r="AJ34" s="311"/>
      <c r="AK34" s="344"/>
      <c r="AL34" s="344"/>
      <c r="AM34" s="344"/>
      <c r="AN34" s="344"/>
      <c r="AO34" s="246"/>
      <c r="AP34" s="313">
        <f t="shared" si="3"/>
        <v>0</v>
      </c>
      <c r="AQ34" s="238"/>
      <c r="AR34" s="238">
        <f t="shared" si="4"/>
        <v>0</v>
      </c>
      <c r="AS34" s="246"/>
      <c r="AT34" s="238">
        <f t="shared" si="7"/>
        <v>0</v>
      </c>
      <c r="AU34" s="238">
        <f t="shared" si="8"/>
        <v>0</v>
      </c>
      <c r="AV34" s="238">
        <f t="shared" si="9"/>
        <v>6</v>
      </c>
      <c r="AW34" s="238" t="e">
        <f>AT34+AX34</f>
        <v>#VALUE!</v>
      </c>
      <c r="AX34" s="313" t="e">
        <f>(BI34*('Setting key Duty'!$I$8+'Setting key Duty'!$I$12))+(BG34*'Setting key Duty'!$I$9)+(BB34*('Setting key Duty'!$I$13+'Setting key Duty'!$I$9))+(AZ34*('Setting key Duty'!$I$13+'Setting key Duty'!$I$12+'Setting key Duty'!$I$11))+(BD34*('Setting key Duty'!$I$8+'Setting key Duty'!$I$9+'Setting key Duty'!$I$12))</f>
        <v>#VALUE!</v>
      </c>
      <c r="AY34" s="313">
        <f>COUNTIF(C34:Y34,"*BRT*")</f>
        <v>0</v>
      </c>
      <c r="AZ34" s="313">
        <f t="shared" si="20"/>
        <v>2</v>
      </c>
      <c r="BA34" s="313" t="e">
        <f>AZ34*('Setting key Duty'!$I$13+'Setting key Duty'!$I$12+'Setting key Duty'!$I$11)</f>
        <v>#VALUE!</v>
      </c>
      <c r="BB34" s="313">
        <f>COUNTIF(D34:AH34,"*$L*")</f>
        <v>0</v>
      </c>
      <c r="BC34" s="313" t="e">
        <f>BB34*('Setting key Duty'!$I$13+'Setting key Duty'!$I$9)</f>
        <v>#VALUE!</v>
      </c>
      <c r="BD34" s="313">
        <f>COUNTIF(D34:AH34,"*$M*")</f>
        <v>2</v>
      </c>
      <c r="BE34" s="313">
        <f>BD34*('Setting key Duty'!$I$8+'Setting key Duty'!$I$9+'Setting key Duty'!$I$12)</f>
        <v>1.125</v>
      </c>
      <c r="BF34" s="313">
        <f>COUNTIF(D34:AH34,"*$N*")</f>
        <v>0</v>
      </c>
      <c r="BG34" s="313">
        <f>COUNTIF(D34:AH34,"*$PM*")</f>
        <v>0</v>
      </c>
      <c r="BH34" s="313">
        <f>BG34*('Setting key Duty'!$I$9)</f>
        <v>0</v>
      </c>
      <c r="BI34" s="313">
        <f>COUNTIF(D34:AH34,"*$AM*")</f>
        <v>2</v>
      </c>
      <c r="BJ34" s="313">
        <f>BI34*('Setting key Duty'!$I$12+'Setting key Duty'!$I$8)</f>
        <v>0.875</v>
      </c>
      <c r="BK34" s="313">
        <f>COUNTIF(C34:AH34,"*$FC*")</f>
        <v>0</v>
      </c>
      <c r="BL34" s="313">
        <f>BK34*('Setting key Duty'!$J$11+'Setting key Duty'!$I$8)</f>
        <v>0</v>
      </c>
      <c r="BM34" s="313">
        <f>COUNTIF($C34:$AG34,BM$4)</f>
        <v>0</v>
      </c>
      <c r="BN34" s="313">
        <f>COUNTIF($C34:$AG34,BN$4)</f>
        <v>0</v>
      </c>
      <c r="BO34" s="313">
        <f>COUNTIF($D34:$AE34,BO$4)</f>
        <v>0</v>
      </c>
      <c r="BP34" s="345"/>
    </row>
    <row r="35" ht="19.5" customHeight="1" spans="1:68">
      <c r="A35" s="309"/>
      <c r="B35" s="347" t="s">
        <v>193</v>
      </c>
      <c r="C35" s="349"/>
      <c r="D35" s="317" t="s">
        <v>93</v>
      </c>
      <c r="E35" s="317" t="s">
        <v>253</v>
      </c>
      <c r="F35" s="317"/>
      <c r="G35" s="324"/>
      <c r="H35" s="106"/>
      <c r="I35" s="317" t="s">
        <v>93</v>
      </c>
      <c r="J35" s="317" t="s">
        <v>261</v>
      </c>
      <c r="K35" s="317">
        <v>1</v>
      </c>
      <c r="L35" s="317" t="s">
        <v>261</v>
      </c>
      <c r="M35" s="106"/>
      <c r="N35" s="317"/>
      <c r="O35" s="317" t="s">
        <v>93</v>
      </c>
      <c r="P35" s="317"/>
      <c r="Q35" s="317" t="s">
        <v>93</v>
      </c>
      <c r="R35" s="317">
        <v>2</v>
      </c>
      <c r="S35" s="317"/>
      <c r="T35" s="317"/>
      <c r="U35" s="317"/>
      <c r="V35" s="317"/>
      <c r="W35" s="317" t="s">
        <v>93</v>
      </c>
      <c r="X35" s="317">
        <v>3</v>
      </c>
      <c r="Y35" s="317" t="s">
        <v>93</v>
      </c>
      <c r="Z35" s="317" t="s">
        <v>93</v>
      </c>
      <c r="AC35" s="317">
        <v>4</v>
      </c>
      <c r="AD35" s="197"/>
      <c r="AE35" s="197"/>
      <c r="AF35" s="197"/>
      <c r="AG35" s="317"/>
      <c r="AH35" s="311"/>
      <c r="AI35" s="312"/>
      <c r="AJ35" s="311"/>
      <c r="AK35" s="344"/>
      <c r="AL35" s="344"/>
      <c r="AM35" s="344"/>
      <c r="AN35" s="344"/>
      <c r="AO35" s="246"/>
      <c r="AP35" s="313">
        <f t="shared" si="3"/>
        <v>0</v>
      </c>
      <c r="AQ35" s="238"/>
      <c r="AR35" s="238">
        <f t="shared" si="4"/>
        <v>0</v>
      </c>
      <c r="AS35" s="246"/>
      <c r="AT35" s="238">
        <f t="shared" si="7"/>
        <v>0</v>
      </c>
      <c r="AU35" s="238">
        <f t="shared" si="8"/>
        <v>0</v>
      </c>
      <c r="AV35" s="238">
        <f t="shared" si="9"/>
        <v>0</v>
      </c>
      <c r="AW35" s="238" t="e">
        <f>AT35+AX35</f>
        <v>#VALUE!</v>
      </c>
      <c r="AX35" s="313" t="e">
        <f>(BI35*('Setting key Duty'!$I$8+'Setting key Duty'!$I$12))+(BG35*'Setting key Duty'!$I$9)+(BB35*('Setting key Duty'!$I$13+'Setting key Duty'!$I$9))+(AZ35*('Setting key Duty'!$I$13+'Setting key Duty'!$I$12+'Setting key Duty'!$I$11))+(BD35*('Setting key Duty'!$I$8+'Setting key Duty'!$I$9+'Setting key Duty'!$I$12))</f>
        <v>#VALUE!</v>
      </c>
      <c r="AY35" s="313">
        <f>COUNTIF(C35:Y35,"*BRT*")</f>
        <v>0</v>
      </c>
      <c r="AZ35" s="313">
        <f t="shared" si="20"/>
        <v>0</v>
      </c>
      <c r="BA35" s="313" t="e">
        <f>AZ35*('Setting key Duty'!$I$13+'Setting key Duty'!$I$12+'Setting key Duty'!$I$11)</f>
        <v>#VALUE!</v>
      </c>
      <c r="BB35" s="313">
        <f>COUNTIF(D35:AH35,"*$L*")</f>
        <v>0</v>
      </c>
      <c r="BC35" s="313" t="e">
        <f>BB35*('Setting key Duty'!$I$13+'Setting key Duty'!$I$9)</f>
        <v>#VALUE!</v>
      </c>
      <c r="BD35" s="313">
        <f>COUNTIF(D35:AH35,"*$M*")</f>
        <v>0</v>
      </c>
      <c r="BE35" s="313">
        <f>BD35*('Setting key Duty'!$I$8+'Setting key Duty'!$I$9+'Setting key Duty'!$I$12)</f>
        <v>0</v>
      </c>
      <c r="BF35" s="313">
        <f>COUNTIF(D35:AH35,"*$N*")</f>
        <v>0</v>
      </c>
      <c r="BG35" s="313">
        <f>COUNTIF(D35:AH35,"*$PM*")</f>
        <v>0</v>
      </c>
      <c r="BH35" s="313">
        <f>BG35*('Setting key Duty'!$I$9)</f>
        <v>0</v>
      </c>
      <c r="BI35" s="313">
        <f>COUNTIF(D35:AH35,"*$AM*")</f>
        <v>0</v>
      </c>
      <c r="BJ35" s="313">
        <f>BI35*('Setting key Duty'!$I$12+'Setting key Duty'!$I$8)</f>
        <v>0</v>
      </c>
      <c r="BK35" s="313">
        <f>COUNTIF(C35:AH35,"*$FC*")</f>
        <v>0</v>
      </c>
      <c r="BL35" s="313">
        <f>BK35*('Setting key Duty'!$J$11+'Setting key Duty'!$I$8)</f>
        <v>0</v>
      </c>
      <c r="BM35" s="313">
        <f>COUNTIF($C35:$AG35,BM$4)</f>
        <v>0</v>
      </c>
      <c r="BN35" s="313">
        <f>COUNTIF($C35:$AG35,BN$4)</f>
        <v>0</v>
      </c>
      <c r="BO35" s="313">
        <f>COUNTIF($D35:$AE35,BO$4)</f>
        <v>0</v>
      </c>
      <c r="BP35" s="345"/>
    </row>
    <row r="36" ht="19.5" customHeight="1" spans="1:68">
      <c r="A36" s="309"/>
      <c r="B36" s="347" t="s">
        <v>262</v>
      </c>
      <c r="C36" s="349"/>
      <c r="D36" s="317"/>
      <c r="E36" s="317" t="s">
        <v>93</v>
      </c>
      <c r="F36" s="324" t="s">
        <v>65</v>
      </c>
      <c r="H36" s="106"/>
      <c r="I36" s="317" t="s">
        <v>65</v>
      </c>
      <c r="K36" s="317" t="s">
        <v>65</v>
      </c>
      <c r="L36" s="317"/>
      <c r="M36" s="106"/>
      <c r="O36" s="317" t="s">
        <v>65</v>
      </c>
      <c r="P36" s="317"/>
      <c r="Q36" s="317" t="s">
        <v>65</v>
      </c>
      <c r="R36" s="106"/>
      <c r="S36" s="317" t="s">
        <v>65</v>
      </c>
      <c r="T36" s="317"/>
      <c r="U36" s="317"/>
      <c r="V36" s="317"/>
      <c r="W36" s="317" t="s">
        <v>65</v>
      </c>
      <c r="X36" s="317"/>
      <c r="Y36" s="317" t="s">
        <v>65</v>
      </c>
      <c r="AA36" s="317" t="s">
        <v>65</v>
      </c>
      <c r="AC36" s="317" t="s">
        <v>93</v>
      </c>
      <c r="AD36" s="197"/>
      <c r="AE36" s="197"/>
      <c r="AF36" s="197"/>
      <c r="AG36" s="317" t="s">
        <v>93</v>
      </c>
      <c r="AH36" s="311"/>
      <c r="AI36" s="312"/>
      <c r="AJ36" s="311"/>
      <c r="AK36" s="344"/>
      <c r="AL36" s="344"/>
      <c r="AM36" s="344"/>
      <c r="AN36" s="344"/>
      <c r="AO36" s="246"/>
      <c r="AP36" s="313">
        <f t="shared" si="3"/>
        <v>0</v>
      </c>
      <c r="AQ36" s="238"/>
      <c r="AR36" s="238">
        <f t="shared" si="4"/>
        <v>0</v>
      </c>
      <c r="AS36" s="246"/>
      <c r="AT36" s="238">
        <f t="shared" si="7"/>
        <v>0</v>
      </c>
      <c r="AU36" s="238">
        <f t="shared" si="8"/>
        <v>0</v>
      </c>
      <c r="AV36" s="238">
        <f t="shared" si="9"/>
        <v>0</v>
      </c>
      <c r="AW36" s="238" t="e">
        <f>AT36+AX36</f>
        <v>#VALUE!</v>
      </c>
      <c r="AX36" s="313" t="e">
        <f>(BI36*('Setting key Duty'!$I$8+'Setting key Duty'!$I$12))+(BG36*'Setting key Duty'!$I$9)+(BB36*('Setting key Duty'!$I$13+'Setting key Duty'!$I$9))+(AZ36*('Setting key Duty'!$I$13+'Setting key Duty'!$I$12+'Setting key Duty'!$I$11))+(BD36*('Setting key Duty'!$I$8+'Setting key Duty'!$I$9+'Setting key Duty'!$I$12))</f>
        <v>#VALUE!</v>
      </c>
      <c r="AY36" s="313">
        <f>COUNTIF(C36:Y36,"*BRT*")</f>
        <v>0</v>
      </c>
      <c r="AZ36" s="313">
        <f t="shared" si="20"/>
        <v>0</v>
      </c>
      <c r="BA36" s="313" t="e">
        <f>AZ36*('Setting key Duty'!$I$13+'Setting key Duty'!$I$12+'Setting key Duty'!$I$11)</f>
        <v>#VALUE!</v>
      </c>
      <c r="BB36" s="313">
        <f>COUNTIF(D36:AH36,"*$L*")</f>
        <v>0</v>
      </c>
      <c r="BC36" s="313" t="e">
        <f>BB36*('Setting key Duty'!$I$13+'Setting key Duty'!$I$9)</f>
        <v>#VALUE!</v>
      </c>
      <c r="BD36" s="313">
        <f>COUNTIF(D36:AH36,"*$M*")</f>
        <v>0</v>
      </c>
      <c r="BE36" s="313">
        <f>BD36*('Setting key Duty'!$I$8+'Setting key Duty'!$I$9+'Setting key Duty'!$I$12)</f>
        <v>0</v>
      </c>
      <c r="BF36" s="313">
        <f>COUNTIF(D36:AH36,"*$N*")</f>
        <v>0</v>
      </c>
      <c r="BG36" s="313">
        <f>COUNTIF(D36:AH36,"*$PM*")</f>
        <v>0</v>
      </c>
      <c r="BH36" s="313">
        <f>BG36*('Setting key Duty'!$I$9)</f>
        <v>0</v>
      </c>
      <c r="BI36" s="313">
        <f>COUNTIF(D36:AH36,"*$AM*")</f>
        <v>0</v>
      </c>
      <c r="BJ36" s="313">
        <f>BI36*('Setting key Duty'!$I$12+'Setting key Duty'!$I$8)</f>
        <v>0</v>
      </c>
      <c r="BK36" s="313">
        <f>COUNTIF(C36:AH36,"*$FC*")</f>
        <v>0</v>
      </c>
      <c r="BL36" s="313">
        <f>BK36*('Setting key Duty'!$J$11+'Setting key Duty'!$I$8)</f>
        <v>0</v>
      </c>
      <c r="BM36" s="313">
        <f>COUNTIF($C36:$AG36,BM$4)</f>
        <v>0</v>
      </c>
      <c r="BN36" s="313">
        <f>COUNTIF($C36:$AG36,BN$4)</f>
        <v>0</v>
      </c>
      <c r="BO36" s="313">
        <f>COUNTIF($D36:$AE36,BO$4)</f>
        <v>0</v>
      </c>
      <c r="BP36" s="345"/>
    </row>
    <row r="37" ht="19.5" customHeight="1" spans="1:68">
      <c r="A37" s="309"/>
      <c r="B37" s="347" t="s">
        <v>195</v>
      </c>
      <c r="C37" s="349"/>
      <c r="D37" s="317"/>
      <c r="E37" s="317">
        <v>3</v>
      </c>
      <c r="F37" s="317"/>
      <c r="G37" s="324"/>
      <c r="H37" s="317"/>
      <c r="I37" s="317">
        <v>4</v>
      </c>
      <c r="J37" s="317" t="s">
        <v>93</v>
      </c>
      <c r="K37" s="317"/>
      <c r="L37" s="317" t="s">
        <v>254</v>
      </c>
      <c r="M37" s="106"/>
      <c r="N37" s="317"/>
      <c r="O37" s="197" t="s">
        <v>238</v>
      </c>
      <c r="P37" s="317"/>
      <c r="Q37" s="197" t="s">
        <v>263</v>
      </c>
      <c r="S37" s="317" t="s">
        <v>93</v>
      </c>
      <c r="T37" s="317"/>
      <c r="U37" s="317"/>
      <c r="V37" s="317"/>
      <c r="X37" s="197" t="s">
        <v>180</v>
      </c>
      <c r="Y37" s="197" t="s">
        <v>260</v>
      </c>
      <c r="AC37" s="197" t="s">
        <v>65</v>
      </c>
      <c r="AD37" s="197"/>
      <c r="AE37" s="197"/>
      <c r="AF37" s="197"/>
      <c r="AH37" s="311"/>
      <c r="AI37" s="312"/>
      <c r="AJ37" s="311"/>
      <c r="AK37" s="344"/>
      <c r="AL37" s="344"/>
      <c r="AM37" s="344"/>
      <c r="AN37" s="344"/>
      <c r="AO37" s="246"/>
      <c r="AP37" s="313">
        <f t="shared" si="3"/>
        <v>0</v>
      </c>
      <c r="AQ37" s="238"/>
      <c r="AR37" s="238">
        <f t="shared" si="4"/>
        <v>0</v>
      </c>
      <c r="AS37" s="246"/>
      <c r="AT37" s="238">
        <f t="shared" si="7"/>
        <v>0</v>
      </c>
      <c r="AU37" s="238">
        <f t="shared" si="8"/>
        <v>0</v>
      </c>
      <c r="AV37" s="238">
        <f t="shared" si="9"/>
        <v>4</v>
      </c>
      <c r="AW37" s="238" t="e">
        <f>AT37+AX37</f>
        <v>#VALUE!</v>
      </c>
      <c r="AX37" s="313" t="e">
        <f>(BI37*('Setting key Duty'!$I$8+'Setting key Duty'!$I$12))+(BG37*'Setting key Duty'!$I$9)+(BB37*('Setting key Duty'!$I$13+'Setting key Duty'!$I$9))+(AZ37*('Setting key Duty'!$I$13+'Setting key Duty'!$I$12+'Setting key Duty'!$I$11))+(BD37*('Setting key Duty'!$I$8+'Setting key Duty'!$I$9+'Setting key Duty'!$I$12))</f>
        <v>#VALUE!</v>
      </c>
      <c r="AY37" s="313">
        <f>COUNTIF(C37:Y37,"*BRT*")</f>
        <v>0</v>
      </c>
      <c r="AZ37" s="313">
        <f t="shared" si="20"/>
        <v>2</v>
      </c>
      <c r="BA37" s="313" t="e">
        <f>AZ37*('Setting key Duty'!$I$13+'Setting key Duty'!$I$12+'Setting key Duty'!$I$11)</f>
        <v>#VALUE!</v>
      </c>
      <c r="BB37" s="313">
        <f>COUNTIF(D37:AH37,"*$L*")</f>
        <v>0</v>
      </c>
      <c r="BC37" s="313" t="e">
        <f>BB37*('Setting key Duty'!$I$13+'Setting key Duty'!$I$9)</f>
        <v>#VALUE!</v>
      </c>
      <c r="BD37" s="313">
        <f>COUNTIF(D37:AH37,"*$M*")</f>
        <v>1</v>
      </c>
      <c r="BE37" s="313">
        <f>BD37*('Setting key Duty'!$I$8+'Setting key Duty'!$I$9+'Setting key Duty'!$I$12)</f>
        <v>0.5625</v>
      </c>
      <c r="BF37" s="313">
        <f>COUNTIF(D37:AH37,"*$N*")</f>
        <v>0</v>
      </c>
      <c r="BG37" s="313">
        <f>COUNTIF(D37:AH37,"*$PM*")</f>
        <v>0</v>
      </c>
      <c r="BH37" s="313">
        <f>BG37*('Setting key Duty'!$I$9)</f>
        <v>0</v>
      </c>
      <c r="BI37" s="313">
        <f>COUNTIF(D37:AH37,"*$AM*")</f>
        <v>1</v>
      </c>
      <c r="BJ37" s="313">
        <f>BI37*('Setting key Duty'!$I$12+'Setting key Duty'!$I$8)</f>
        <v>0.4375</v>
      </c>
      <c r="BK37" s="313">
        <f>COUNTIF(C37:AH37,"*$FC*")</f>
        <v>0</v>
      </c>
      <c r="BL37" s="313">
        <f>BK37*('Setting key Duty'!$J$11+'Setting key Duty'!$I$8)</f>
        <v>0</v>
      </c>
      <c r="BM37" s="313">
        <f>COUNTIF($C37:$AG37,BM$4)</f>
        <v>0</v>
      </c>
      <c r="BN37" s="313">
        <f>COUNTIF($C37:$AG37,BN$4)</f>
        <v>0</v>
      </c>
      <c r="BO37" s="313">
        <f>COUNTIF($D37:$AE37,BO$4)</f>
        <v>0</v>
      </c>
      <c r="BP37" s="345"/>
    </row>
    <row r="38" ht="19.5" customHeight="1" spans="1:68">
      <c r="A38" s="309"/>
      <c r="B38" s="354"/>
      <c r="C38" s="349"/>
      <c r="D38" s="317"/>
      <c r="E38" s="317"/>
      <c r="F38" s="317"/>
      <c r="G38" s="324"/>
      <c r="H38" s="317"/>
      <c r="I38" s="317"/>
      <c r="J38" s="317"/>
      <c r="K38" s="317"/>
      <c r="L38" s="317"/>
      <c r="N38" s="317"/>
      <c r="O38" s="317"/>
      <c r="P38" s="317"/>
      <c r="Q38" s="106"/>
      <c r="R38" s="106"/>
      <c r="S38" s="317"/>
      <c r="T38" s="317"/>
      <c r="U38" s="317"/>
      <c r="V38" s="317"/>
      <c r="X38" s="317"/>
      <c r="AD38" s="317"/>
      <c r="AE38" s="317"/>
      <c r="AF38" s="317"/>
      <c r="AG38" s="317"/>
      <c r="AH38" s="311"/>
      <c r="AI38" s="312"/>
      <c r="AJ38" s="311"/>
      <c r="AK38" s="344"/>
      <c r="AL38" s="344"/>
      <c r="AM38" s="344"/>
      <c r="AN38" s="344"/>
      <c r="AO38" s="246"/>
      <c r="AP38" s="313"/>
      <c r="AQ38" s="246"/>
      <c r="AR38" s="238"/>
      <c r="AS38" s="246"/>
      <c r="AT38" s="238"/>
      <c r="AU38" s="238"/>
      <c r="AV38" s="238"/>
      <c r="AW38" s="238"/>
      <c r="AX38" s="313"/>
      <c r="AY38" s="313"/>
      <c r="AZ38" s="313"/>
      <c r="BA38" s="313"/>
      <c r="BB38" s="313"/>
      <c r="BC38" s="313"/>
      <c r="BD38" s="313"/>
      <c r="BE38" s="313"/>
      <c r="BF38" s="313"/>
      <c r="BG38" s="313"/>
      <c r="BH38" s="313"/>
      <c r="BI38" s="313"/>
      <c r="BJ38" s="313"/>
      <c r="BK38" s="313"/>
      <c r="BL38" s="313"/>
      <c r="BM38" s="313"/>
      <c r="BN38" s="313"/>
      <c r="BO38" s="313"/>
      <c r="BP38" s="345"/>
    </row>
    <row r="39" ht="19.5" customHeight="1" spans="1:68">
      <c r="A39" s="309"/>
      <c r="B39" s="354" t="s">
        <v>148</v>
      </c>
      <c r="C39" s="349"/>
      <c r="D39" s="317"/>
      <c r="E39" s="317"/>
      <c r="F39" s="317"/>
      <c r="G39" s="317"/>
      <c r="H39" s="317"/>
      <c r="I39" s="317"/>
      <c r="J39" s="317"/>
      <c r="K39" s="317"/>
      <c r="L39" s="317"/>
      <c r="N39" s="317"/>
      <c r="O39" s="317"/>
      <c r="P39" s="317"/>
      <c r="Q39" s="106"/>
      <c r="R39" s="106"/>
      <c r="S39" s="317"/>
      <c r="T39" s="317"/>
      <c r="U39" s="317"/>
      <c r="V39" s="317"/>
      <c r="W39" s="317"/>
      <c r="X39" s="317"/>
      <c r="Y39" s="317"/>
      <c r="Z39" s="317"/>
      <c r="AA39" s="317"/>
      <c r="AB39" s="317"/>
      <c r="AC39" s="317"/>
      <c r="AD39" s="317"/>
      <c r="AE39" s="317"/>
      <c r="AF39" s="317"/>
      <c r="AG39" s="317"/>
      <c r="AH39" s="311">
        <f t="shared" ref="AH39:AN39" si="32">COUNTIF($C39:$AG39,AH$4)</f>
        <v>0</v>
      </c>
      <c r="AI39" s="312">
        <f t="shared" si="32"/>
        <v>0</v>
      </c>
      <c r="AJ39" s="311">
        <f t="shared" si="32"/>
        <v>0</v>
      </c>
      <c r="AK39" s="344">
        <f t="shared" si="32"/>
        <v>0</v>
      </c>
      <c r="AL39" s="344">
        <f t="shared" si="32"/>
        <v>0</v>
      </c>
      <c r="AM39" s="344">
        <f t="shared" si="32"/>
        <v>0</v>
      </c>
      <c r="AN39" s="344">
        <f t="shared" si="32"/>
        <v>0</v>
      </c>
      <c r="AO39" s="246"/>
      <c r="AP39" s="313"/>
      <c r="AQ39" s="246"/>
      <c r="AR39" s="238"/>
      <c r="AS39" s="246"/>
      <c r="AT39" s="246"/>
      <c r="AU39" s="238"/>
      <c r="AV39" s="238"/>
      <c r="AW39" s="238"/>
      <c r="AX39" s="313"/>
      <c r="AY39" s="313"/>
      <c r="AZ39" s="313"/>
      <c r="BA39" s="313"/>
      <c r="BB39" s="313"/>
      <c r="BC39" s="313"/>
      <c r="BD39" s="313"/>
      <c r="BE39" s="313"/>
      <c r="BF39" s="313"/>
      <c r="BG39" s="313"/>
      <c r="BH39" s="313"/>
      <c r="BI39" s="313"/>
      <c r="BJ39" s="313"/>
      <c r="BK39" s="313"/>
      <c r="BL39" s="313"/>
      <c r="BM39" s="344"/>
      <c r="BN39" s="344"/>
      <c r="BO39" s="344"/>
      <c r="BP39" s="345"/>
    </row>
    <row r="40" ht="19.5" customHeight="1" spans="1:68">
      <c r="A40" s="309"/>
      <c r="B40" s="357"/>
      <c r="C40" s="358"/>
      <c r="D40" s="359"/>
      <c r="E40" s="359"/>
      <c r="F40" s="359"/>
      <c r="G40" s="359"/>
      <c r="H40" s="35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  <c r="AA40" s="358"/>
      <c r="AB40" s="358"/>
      <c r="AC40" s="358"/>
      <c r="AD40" s="358"/>
      <c r="AE40" s="358"/>
      <c r="AF40" s="358"/>
      <c r="AG40" s="358"/>
      <c r="AH40" s="361"/>
      <c r="AI40" s="362"/>
      <c r="AJ40" s="361"/>
      <c r="AK40" s="363"/>
      <c r="AL40" s="363"/>
      <c r="AM40" s="363"/>
      <c r="AN40" s="363"/>
      <c r="AO40" s="253"/>
      <c r="AP40" s="253"/>
      <c r="AQ40" s="253"/>
      <c r="AR40" s="253">
        <f>SUMPRODUCT(--WEEKDAY(C$3:AG$3,2)&gt;5,--((C40:AG40="DM"))+(C40:AG40="CS1")+((C40:AG40="CS2"))+(C40:AG40="SB1")+(C40:AG40="AE")+(C40:AG40="EM"))</f>
        <v>0</v>
      </c>
      <c r="AS40" s="253"/>
      <c r="AT40" s="253">
        <f>(AP40-AQ40)/2+(AR40-AS40)</f>
        <v>0</v>
      </c>
      <c r="AU40" s="253"/>
      <c r="AV40" s="253"/>
      <c r="AW40" s="253"/>
      <c r="AX40" s="363"/>
      <c r="AY40" s="363"/>
      <c r="AZ40" s="363"/>
      <c r="BA40" s="363"/>
      <c r="BB40" s="363"/>
      <c r="BC40" s="363"/>
      <c r="BD40" s="363"/>
      <c r="BE40" s="363"/>
      <c r="BF40" s="363"/>
      <c r="BG40" s="363"/>
      <c r="BH40" s="363"/>
      <c r="BI40" s="363"/>
      <c r="BJ40" s="363"/>
      <c r="BK40" s="363"/>
      <c r="BL40" s="363"/>
      <c r="BM40" s="363"/>
      <c r="BN40" s="363"/>
      <c r="BO40" s="363"/>
      <c r="BP40" s="364"/>
    </row>
    <row r="41" ht="19.5" customHeight="1" spans="1:68">
      <c r="A41" s="309"/>
      <c r="B41" s="365" t="s">
        <v>57</v>
      </c>
      <c r="C41" s="366" t="str">
        <f t="shared" ref="C41:L41" si="33">VLOOKUP("DM",C4:C39,1,FALSE)</f>
        <v>DM</v>
      </c>
      <c r="D41" s="366" t="str">
        <f t="shared" si="33"/>
        <v>DM</v>
      </c>
      <c r="E41" s="366" t="str">
        <f t="shared" si="33"/>
        <v>DM</v>
      </c>
      <c r="F41" s="366" t="str">
        <f t="shared" si="33"/>
        <v>DM</v>
      </c>
      <c r="G41" s="366" t="str">
        <f t="shared" si="33"/>
        <v>DM</v>
      </c>
      <c r="H41" s="366" t="str">
        <f t="shared" si="33"/>
        <v>DM</v>
      </c>
      <c r="I41" s="366" t="str">
        <f t="shared" si="33"/>
        <v>DM</v>
      </c>
      <c r="J41" s="366" t="str">
        <f t="shared" si="33"/>
        <v>DM</v>
      </c>
      <c r="K41" s="366" t="str">
        <f t="shared" si="33"/>
        <v>DM</v>
      </c>
      <c r="L41" s="366" t="str">
        <f t="shared" si="33"/>
        <v>DM</v>
      </c>
      <c r="M41" s="366" t="str">
        <f>VLOOKUP("DM",M4:M33,1,FALSE)</f>
        <v>DM</v>
      </c>
      <c r="N41" s="366" t="str">
        <f>VLOOKUP("DM",N4:N39,1,FALSE)</f>
        <v>DM</v>
      </c>
      <c r="O41" s="366" t="str">
        <f>VLOOKUP("DM",O4:O39,1,FALSE)</f>
        <v>DM</v>
      </c>
      <c r="P41" s="366" t="str">
        <f>VLOOKUP("DM",P4:P39,1,FALSE)</f>
        <v>DM</v>
      </c>
      <c r="Q41" s="366" t="str">
        <f>VLOOKUP("DM",Q4:Q37,1,FALSE)</f>
        <v>DM</v>
      </c>
      <c r="R41" s="366" t="str">
        <f>VLOOKUP("DM",R4:R31,1,FALSE)</f>
        <v>DM</v>
      </c>
      <c r="S41" s="366" t="str">
        <f>VLOOKUP("DM",S4:S39,1,FALSE)</f>
        <v>DM</v>
      </c>
      <c r="T41" s="366" t="str">
        <f>VLOOKUP("DM",T4:T39,1,FALSE)</f>
        <v>DM</v>
      </c>
      <c r="U41" s="366" t="str">
        <f>VLOOKUP("DM",U4:U39,1,FALSE)</f>
        <v>DM</v>
      </c>
      <c r="V41" s="366" t="str">
        <f>VLOOKUP("DM",V4:V30,1,FALSE)</f>
        <v>DM</v>
      </c>
      <c r="W41" s="366" t="str">
        <f>VLOOKUP("DM",W4:W30,1,FALSE)</f>
        <v>DM</v>
      </c>
      <c r="X41" s="366" t="str">
        <f>VLOOKUP("DM",X4:X39,1,FALSE)</f>
        <v>DM</v>
      </c>
      <c r="Y41" s="366" t="str">
        <f>VLOOKUP("DM",Y4:Y39,1,FALSE)</f>
        <v>DM</v>
      </c>
      <c r="Z41" s="366" t="str">
        <f>VLOOKUP("DM",Z4:Z39,1,FALSE)</f>
        <v>DM</v>
      </c>
      <c r="AA41" s="366" t="str">
        <f>VLOOKUP("DM",AA5:AA39,1,FALSE)</f>
        <v>DM</v>
      </c>
      <c r="AB41" s="366" t="str">
        <f t="shared" ref="AB41:AG41" si="34">VLOOKUP("DM",AB4:AB39,1,FALSE)</f>
        <v>DM</v>
      </c>
      <c r="AC41" s="366" t="str">
        <f t="shared" si="34"/>
        <v>DM</v>
      </c>
      <c r="AD41" s="366" t="str">
        <f t="shared" si="34"/>
        <v>DM</v>
      </c>
      <c r="AE41" s="366" t="str">
        <f t="shared" si="34"/>
        <v>DM</v>
      </c>
      <c r="AF41" s="366" t="str">
        <f t="shared" si="34"/>
        <v>DM</v>
      </c>
      <c r="AG41" s="366" t="str">
        <f t="shared" si="34"/>
        <v>DM</v>
      </c>
      <c r="AH41" s="311"/>
      <c r="AI41" s="312"/>
      <c r="AJ41" s="311"/>
      <c r="AK41" s="313"/>
      <c r="AL41" s="313"/>
      <c r="AM41" s="313"/>
      <c r="AN41" s="313"/>
      <c r="AO41" s="313"/>
      <c r="AP41" s="313"/>
      <c r="AQ41" s="313"/>
      <c r="AR41" s="313"/>
      <c r="AS41" s="313"/>
      <c r="AT41" s="313"/>
      <c r="AU41" s="313"/>
      <c r="AV41" s="313"/>
      <c r="AW41" s="313"/>
      <c r="AX41" s="313"/>
      <c r="AY41" s="313"/>
      <c r="AZ41" s="313"/>
      <c r="BA41" s="313"/>
      <c r="BB41" s="313"/>
      <c r="BC41" s="313"/>
      <c r="BD41" s="313"/>
      <c r="BE41" s="313"/>
      <c r="BF41" s="313"/>
      <c r="BG41" s="313"/>
      <c r="BH41" s="313"/>
      <c r="BI41" s="313"/>
      <c r="BJ41" s="313"/>
      <c r="BK41" s="313"/>
      <c r="BL41" s="313"/>
      <c r="BM41" s="313"/>
      <c r="BN41" s="313"/>
      <c r="BO41" s="313"/>
      <c r="BP41" s="314"/>
    </row>
    <row r="42" ht="19.5" customHeight="1" spans="1:68">
      <c r="A42" s="309" t="e">
        <f>LTE()</f>
        <v>#NAME?</v>
      </c>
      <c r="B42" s="368" t="s">
        <v>56</v>
      </c>
      <c r="C42" s="366" t="str">
        <f>VLOOKUP("CS1",C5:C39,1,FALSE)</f>
        <v>CS1</v>
      </c>
      <c r="D42" s="366" t="str">
        <f>VLOOKUP("CS1",D1:D39,1,FALSE)</f>
        <v>CS1</v>
      </c>
      <c r="E42" s="366" t="str">
        <f>VLOOKUP("CS1",E7:E39,1,FALSE)</f>
        <v>CS1</v>
      </c>
      <c r="F42" s="366" t="str">
        <f>VLOOKUP("CS1",F7:F39,1,FALSE)</f>
        <v>CS1</v>
      </c>
      <c r="G42" s="366" t="str">
        <f>VLOOKUP("CS1",G6:G39,1,FALSE)</f>
        <v>CS1</v>
      </c>
      <c r="H42" s="366" t="str">
        <f>VLOOKUP("CS1",H5:H39,1,FALSE)</f>
        <v>CS1</v>
      </c>
      <c r="I42" s="366" t="str">
        <f>VLOOKUP("CS1",I7:I39,1,FALSE)</f>
        <v>CS1</v>
      </c>
      <c r="J42" s="366" t="str">
        <f>VLOOKUP("CS1",J4:J39,1,FALSE)</f>
        <v>CS1</v>
      </c>
      <c r="K42" s="366" t="str">
        <f>VLOOKUP("CS1",K1:K39,1,FALSE)</f>
        <v>CS1</v>
      </c>
      <c r="L42" s="366" t="str">
        <f>VLOOKUP("CS1",L1:L39,1,FALSE)</f>
        <v>CS1</v>
      </c>
      <c r="M42" s="366" t="str">
        <f>VLOOKUP("CS1",M6:M33,1,FALSE)</f>
        <v>CS1</v>
      </c>
      <c r="N42" s="366" t="str">
        <f>VLOOKUP("CS1",N5:N39,1,FALSE)</f>
        <v>CS1</v>
      </c>
      <c r="O42" s="366" t="str">
        <f>VLOOKUP("CS1",O7:O39,1,FALSE)</f>
        <v>CS1</v>
      </c>
      <c r="P42" s="366" t="str">
        <f>VLOOKUP("CS1",P5:P39,1,FALSE)</f>
        <v>CS1</v>
      </c>
      <c r="Q42" s="366" t="str">
        <f>VLOOKUP("CS1",Q7:Q37,1,FALSE)</f>
        <v>CS1</v>
      </c>
      <c r="R42" s="366" t="str">
        <f>VLOOKUP("CS1",R6:R31,1,FALSE)</f>
        <v>CS1</v>
      </c>
      <c r="S42" s="366" t="str">
        <f>VLOOKUP("CS1",S6:S39,1,FALSE)</f>
        <v>CS1</v>
      </c>
      <c r="T42" s="366" t="str">
        <f>VLOOKUP("CS1",T6:T39,1,FALSE)</f>
        <v>CS1</v>
      </c>
      <c r="U42" s="366" t="str">
        <f>VLOOKUP("CS1",U5:U39,1,FALSE)</f>
        <v>CS1</v>
      </c>
      <c r="V42" s="366" t="str">
        <f>VLOOKUP("CS1",V1:V30,1,FALSE)</f>
        <v>CS1</v>
      </c>
      <c r="W42" s="366" t="str">
        <f>VLOOKUP("CS1",W1:W30,1,FALSE)</f>
        <v>CS1</v>
      </c>
      <c r="X42" s="366" t="str">
        <f>VLOOKUP("CS1",X1:X39,1,FALSE)</f>
        <v>CS1</v>
      </c>
      <c r="Y42" s="366" t="str">
        <f>VLOOKUP("CS1",Y6:Y39,1,FALSE)</f>
        <v>CS1</v>
      </c>
      <c r="Z42" s="366" t="str">
        <f>VLOOKUP("CS1",Z8:Z39,1,FALSE)</f>
        <v>CS1</v>
      </c>
      <c r="AA42" s="366" t="str">
        <f>VLOOKUP("CS1",AA5:AA39,1,FALSE)</f>
        <v>CS1</v>
      </c>
      <c r="AB42" s="366" t="str">
        <f>VLOOKUP("CS1",AB9:AB39,1,FALSE)</f>
        <v>CS1</v>
      </c>
      <c r="AC42" s="366" t="str">
        <f>VLOOKUP("CS1",AC7:AC39,1,FALSE)</f>
        <v>CS1</v>
      </c>
      <c r="AD42" s="366" t="str">
        <f>VLOOKUP("CS1",AD6:AD39,1,FALSE)</f>
        <v>CS1</v>
      </c>
      <c r="AE42" s="366" t="str">
        <f>VLOOKUP("CS1",AE6:AE39,1,FALSE)</f>
        <v>CS1</v>
      </c>
      <c r="AF42" s="366" t="str">
        <f>VLOOKUP("CS1",AF7:AF39,1,FALSE)</f>
        <v>CS1</v>
      </c>
      <c r="AG42" s="366" t="str">
        <f>VLOOKUP("CS1",AG6:AG39,1,FALSE)</f>
        <v>CS1</v>
      </c>
      <c r="AH42" s="311"/>
      <c r="AI42" s="312"/>
      <c r="AJ42" s="311"/>
      <c r="AK42" s="313"/>
      <c r="AL42" s="313"/>
      <c r="AM42" s="313"/>
      <c r="AN42" s="313"/>
      <c r="AO42" s="313"/>
      <c r="AP42" s="313"/>
      <c r="AQ42" s="313"/>
      <c r="AR42" s="313"/>
      <c r="AS42" s="313"/>
      <c r="AT42" s="313"/>
      <c r="AU42" s="313"/>
      <c r="AV42" s="313"/>
      <c r="AW42" s="313"/>
      <c r="AX42" s="313"/>
      <c r="AY42" s="313"/>
      <c r="AZ42" s="313"/>
      <c r="BA42" s="313"/>
      <c r="BB42" s="313"/>
      <c r="BC42" s="313"/>
      <c r="BD42" s="313"/>
      <c r="BE42" s="313"/>
      <c r="BF42" s="313"/>
      <c r="BG42" s="313"/>
      <c r="BH42" s="313"/>
      <c r="BI42" s="313"/>
      <c r="BJ42" s="313"/>
      <c r="BK42" s="313"/>
      <c r="BL42" s="313"/>
      <c r="BM42" s="313"/>
      <c r="BN42" s="313"/>
      <c r="BO42" s="313"/>
      <c r="BP42" s="314"/>
    </row>
    <row r="43" ht="19.5" customHeight="1" spans="1:68">
      <c r="A43" s="309"/>
      <c r="B43" s="369" t="s">
        <v>59</v>
      </c>
      <c r="C43" s="366" t="str">
        <f>VLOOKUP("CS2",C6:C39,1,FALSE)</f>
        <v>CS2</v>
      </c>
      <c r="D43" s="366" t="str">
        <f>VLOOKUP("CS2",D9:D39,1,FALSE)</f>
        <v>CS2</v>
      </c>
      <c r="E43" s="366" t="str">
        <f>VLOOKUP("CS2",E7:E39,1,FALSE)</f>
        <v>CS2</v>
      </c>
      <c r="F43" s="366" t="str">
        <f>VLOOKUP("CS2",F7:F39,1,FALSE)</f>
        <v>CS2</v>
      </c>
      <c r="G43" s="366" t="str">
        <f>VLOOKUP("CS2",G6:G39,1,FALSE)</f>
        <v>CS2</v>
      </c>
      <c r="H43" s="366" t="str">
        <f>VLOOKUP("CS2",H1:H39,1,FALSE)</f>
        <v>CS2</v>
      </c>
      <c r="I43" s="366" t="str">
        <f>VLOOKUP("CS2",I7:I39,1,FALSE)</f>
        <v>CS2</v>
      </c>
      <c r="J43" s="366" t="str">
        <f>VLOOKUP("CS2",J4:J39,1,FALSE)</f>
        <v>CS2</v>
      </c>
      <c r="K43" s="366" t="str">
        <f>VLOOKUP("CS2",K5:K39,1,FALSE)</f>
        <v>CS2</v>
      </c>
      <c r="L43" s="366" t="str">
        <f>VLOOKUP("CS2",L4:L39,1,FALSE)</f>
        <v>CS2</v>
      </c>
      <c r="M43" s="366" t="str">
        <f>VLOOKUP("CS2",M7:M33,1,FALSE)</f>
        <v>CS2</v>
      </c>
      <c r="N43" s="366" t="str">
        <f>VLOOKUP("CS2",N5:N39,1,FALSE)</f>
        <v>CS2</v>
      </c>
      <c r="O43" s="366" t="str">
        <f>VLOOKUP("CS2",O5:O39,1,FALSE)</f>
        <v>CS2</v>
      </c>
      <c r="P43" s="366" t="str">
        <f>VLOOKUP("CS2",P7:P39,1,FALSE)</f>
        <v>CS2</v>
      </c>
      <c r="Q43" s="366" t="str">
        <f>VLOOKUP("CS2",Q7:Q37,1,FALSE)</f>
        <v>CS2</v>
      </c>
      <c r="R43" s="366" t="str">
        <f>VLOOKUP("CS2",R6:R31,1,FALSE)</f>
        <v>CS2</v>
      </c>
      <c r="S43" s="366" t="str">
        <f>VLOOKUP("CS2",S6:S39,1,FALSE)</f>
        <v>CS2</v>
      </c>
      <c r="T43" s="366" t="str">
        <f>VLOOKUP("CS2",T1:T39,1,FALSE)</f>
        <v>CS2</v>
      </c>
      <c r="U43" s="366" t="str">
        <f>VLOOKUP("CS2",U1:U39,1,FALSE)</f>
        <v>CS2</v>
      </c>
      <c r="V43" s="366" t="str">
        <f>VLOOKUP("CS2",V1:V30,1,FALSE)</f>
        <v>CS2</v>
      </c>
      <c r="W43" s="366" t="str">
        <f>VLOOKUP("CS2",W10:W30,1,FALSE)</f>
        <v>CS2</v>
      </c>
      <c r="X43" s="366" t="str">
        <f>VLOOKUP("CS2",X8:X39,1,FALSE)</f>
        <v>CS2</v>
      </c>
      <c r="Y43" s="366" t="str">
        <f>VLOOKUP("CS2",Y6:Y39,1,FALSE)</f>
        <v>CS2</v>
      </c>
      <c r="Z43" s="366" t="str">
        <f>VLOOKUP("CS2",Z8:Z39,1,FALSE)</f>
        <v>CS2</v>
      </c>
      <c r="AA43" s="366" t="str">
        <f>VLOOKUP("CS2",AA5:AA39,1,FALSE)</f>
        <v>CS2</v>
      </c>
      <c r="AB43" s="366" t="str">
        <f>VLOOKUP("CS2",AB1:AB39,1,FALSE)</f>
        <v>CS2</v>
      </c>
      <c r="AC43" s="366" t="str">
        <f>VLOOKUP("CS2",AC7:AC39,1,FALSE)</f>
        <v>CS2</v>
      </c>
      <c r="AD43" s="366" t="str">
        <f>VLOOKUP("CS2",AD6:AD39,1,FALSE)</f>
        <v>CS2</v>
      </c>
      <c r="AE43" s="366" t="str">
        <f>VLOOKUP("CS2",AE6:AE39,1,FALSE)</f>
        <v>CS2</v>
      </c>
      <c r="AF43" s="366" t="str">
        <f>VLOOKUP("CS2",AF7:AF39,1,FALSE)</f>
        <v>CS2</v>
      </c>
      <c r="AG43" s="366" t="str">
        <f>VLOOKUP("CS2",AG6:AG39,1,FALSE)</f>
        <v>CS2</v>
      </c>
      <c r="AH43" s="311"/>
      <c r="AI43" s="312"/>
      <c r="AJ43" s="311"/>
      <c r="AK43" s="313"/>
      <c r="AL43" s="313"/>
      <c r="AM43" s="313"/>
      <c r="AN43" s="313"/>
      <c r="AO43" s="313"/>
      <c r="AP43" s="313"/>
      <c r="AQ43" s="313"/>
      <c r="AR43" s="313"/>
      <c r="AS43" s="313"/>
      <c r="AT43" s="313"/>
      <c r="AU43" s="313"/>
      <c r="AV43" s="313"/>
      <c r="AW43" s="313"/>
      <c r="AX43" s="313"/>
      <c r="AY43" s="313"/>
      <c r="AZ43" s="313"/>
      <c r="BA43" s="313"/>
      <c r="BB43" s="313"/>
      <c r="BC43" s="313"/>
      <c r="BD43" s="313"/>
      <c r="BE43" s="313"/>
      <c r="BF43" s="313"/>
      <c r="BG43" s="313"/>
      <c r="BH43" s="313"/>
      <c r="BI43" s="313"/>
      <c r="BJ43" s="313"/>
      <c r="BK43" s="313"/>
      <c r="BL43" s="313"/>
      <c r="BM43" s="313"/>
      <c r="BN43" s="313"/>
      <c r="BO43" s="313"/>
      <c r="BP43" s="314"/>
    </row>
    <row r="44" ht="19.5" customHeight="1" spans="1:68">
      <c r="A44" s="309"/>
      <c r="B44" s="370" t="s">
        <v>58</v>
      </c>
      <c r="C44" s="366" t="e">
        <f>VLOOKUP("SB1",C6:C39,1,FALSE)</f>
        <v>#N/A</v>
      </c>
      <c r="D44" s="366" t="str">
        <f>VLOOKUP("SB1",D3:D39,1,FALSE)</f>
        <v>SB1</v>
      </c>
      <c r="E44" s="366" t="str">
        <f>VLOOKUP("SB1",E7:E39,1,FALSE)</f>
        <v>SB1</v>
      </c>
      <c r="F44" s="366" t="str">
        <f>VLOOKUP("SB1",F7:F39,1,FALSE)</f>
        <v>SB1</v>
      </c>
      <c r="G44" s="366" t="str">
        <f>VLOOKUP("SB1",G6:G39,1,FALSE)</f>
        <v>SB1</v>
      </c>
      <c r="H44" s="366" t="str">
        <f>VLOOKUP("SB1",H7:H39,1,FALSE)</f>
        <v>SB1</v>
      </c>
      <c r="I44" s="366" t="str">
        <f>VLOOKUP("SB1",I7:I39,1,FALSE)</f>
        <v>SB1</v>
      </c>
      <c r="J44" s="366" t="str">
        <f>VLOOKUP("SB1",J4:J39,1,FALSE)</f>
        <v>SB1</v>
      </c>
      <c r="K44" s="366" t="str">
        <f>VLOOKUP("SB1",K6:K39,1,FALSE)</f>
        <v>SB1</v>
      </c>
      <c r="L44" s="366" t="str">
        <f>VLOOKUP("SB1",L6:L39,1,FALSE)</f>
        <v>SB1</v>
      </c>
      <c r="M44" s="366" t="str">
        <f>VLOOKUP("SB1",M7:M33,1,FALSE)</f>
        <v>SB1</v>
      </c>
      <c r="N44" s="366" t="str">
        <f>VLOOKUP("SB1",N5:N39,1,FALSE)</f>
        <v>SB1</v>
      </c>
      <c r="O44" s="366" t="str">
        <f>VLOOKUP("SB1",O7:O39,1,FALSE)</f>
        <v>SB1</v>
      </c>
      <c r="P44" s="366" t="str">
        <f>VLOOKUP("SB1",P7:P39,1,FALSE)</f>
        <v>SB1</v>
      </c>
      <c r="Q44" s="366" t="str">
        <f>VLOOKUP("SB1",Q7:Q37,1,FALSE)</f>
        <v>SB1</v>
      </c>
      <c r="R44" s="366" t="str">
        <f>VLOOKUP("SB1",R6:R31,1,FALSE)</f>
        <v>SB1</v>
      </c>
      <c r="S44" s="366" t="str">
        <f>VLOOKUP("SB1",S6:S39,1,FALSE)</f>
        <v>SB1</v>
      </c>
      <c r="T44" s="366" t="str">
        <f>VLOOKUP("SB1",T6:T39,1,FALSE)</f>
        <v>SB1</v>
      </c>
      <c r="U44" s="366" t="str">
        <f>VLOOKUP("SB1",U8:U39,1,FALSE)</f>
        <v>SB1</v>
      </c>
      <c r="V44" s="366" t="str">
        <f>VLOOKUP("SB1",V7:V30,1,FALSE)</f>
        <v>SB1</v>
      </c>
      <c r="W44" s="366" t="str">
        <f>VLOOKUP("SB1",W5:W30,1,FALSE)</f>
        <v>SB1</v>
      </c>
      <c r="X44" s="366" t="str">
        <f>VLOOKUP("SB1",X5:X39,1,FALSE)</f>
        <v>SB1</v>
      </c>
      <c r="Y44" s="366" t="str">
        <f>VLOOKUP("SB1",Y6:Y39,1,FALSE)</f>
        <v>SB1</v>
      </c>
      <c r="Z44" s="366" t="str">
        <f>VLOOKUP("SB1",Z8:Z39,1,FALSE)</f>
        <v>SB1</v>
      </c>
      <c r="AA44" s="366" t="str">
        <f>VLOOKUP("SB1",AA5:AA39,1,FALSE)</f>
        <v>SB1</v>
      </c>
      <c r="AB44" s="366" t="str">
        <f>VLOOKUP("SB1",AB1:AB39,1,FALSE)</f>
        <v>SB1</v>
      </c>
      <c r="AC44" s="366" t="str">
        <f>VLOOKUP("SB1",AC1:AC39,1,FALSE)</f>
        <v>SB1</v>
      </c>
      <c r="AD44" s="366" t="e">
        <f>VLOOKUP("SB1",AD6:AD39,1,FALSE)</f>
        <v>#N/A</v>
      </c>
      <c r="AE44" s="366" t="e">
        <f>VLOOKUP("SB1",AE6:AE39,1,FALSE)</f>
        <v>#N/A</v>
      </c>
      <c r="AF44" s="366" t="e">
        <f>VLOOKUP("SB1",AF7:AF39,1,FALSE)</f>
        <v>#N/A</v>
      </c>
      <c r="AG44" s="366" t="e">
        <f>VLOOKUP("SB1",AG6:AG39,1,FALSE)</f>
        <v>#N/A</v>
      </c>
      <c r="AH44" s="311"/>
      <c r="AI44" s="312"/>
      <c r="AJ44" s="311"/>
      <c r="AK44" s="313"/>
      <c r="AL44" s="313"/>
      <c r="AM44" s="313"/>
      <c r="AN44" s="313"/>
      <c r="AO44" s="313"/>
      <c r="AP44" s="313"/>
      <c r="AQ44" s="313"/>
      <c r="AR44" s="313"/>
      <c r="AS44" s="313"/>
      <c r="AT44" s="313"/>
      <c r="AU44" s="313"/>
      <c r="AV44" s="313"/>
      <c r="AW44" s="313"/>
      <c r="AX44" s="313"/>
      <c r="AY44" s="313"/>
      <c r="AZ44" s="313"/>
      <c r="BA44" s="313"/>
      <c r="BB44" s="313"/>
      <c r="BC44" s="313"/>
      <c r="BD44" s="313"/>
      <c r="BE44" s="313"/>
      <c r="BF44" s="313"/>
      <c r="BG44" s="313"/>
      <c r="BH44" s="313"/>
      <c r="BI44" s="313"/>
      <c r="BJ44" s="313"/>
      <c r="BK44" s="313"/>
      <c r="BL44" s="313"/>
      <c r="BM44" s="313"/>
      <c r="BN44" s="313"/>
      <c r="BO44" s="313"/>
      <c r="BP44" s="314"/>
    </row>
    <row r="45" ht="19.5" customHeight="1" spans="1:68">
      <c r="A45" s="309"/>
      <c r="B45" s="371" t="s">
        <v>93</v>
      </c>
      <c r="C45" s="366" t="e">
        <f>VLOOKUP("SB2",C6:C39,1,FALSE)</f>
        <v>#N/A</v>
      </c>
      <c r="D45" s="366" t="str">
        <f>VLOOKUP("SB2",D9:D39,1,FALSE)</f>
        <v>SB2</v>
      </c>
      <c r="E45" s="366" t="str">
        <f>VLOOKUP("SB2",E7:E39,1,FALSE)</f>
        <v>SB2</v>
      </c>
      <c r="F45" s="366" t="e">
        <f>VLOOKUP("SB2",F1:F39,1,FALSE)</f>
        <v>#N/A</v>
      </c>
      <c r="G45" s="366" t="e">
        <f>VLOOKUP("SB2",G6:G39,1,FALSE)</f>
        <v>#N/A</v>
      </c>
      <c r="H45" s="366" t="str">
        <f>VLOOKUP("SB2",H7:H39,1,FALSE)</f>
        <v>SB2</v>
      </c>
      <c r="I45" s="366" t="str">
        <f>VLOOKUP("SB2",I7:I39,1,FALSE)</f>
        <v>SB2</v>
      </c>
      <c r="J45" s="366" t="str">
        <f>VLOOKUP("SB2",J4:J39,1,FALSE)</f>
        <v>SB2</v>
      </c>
      <c r="K45" s="366" t="str">
        <f>VLOOKUP("SB2",K6:K39,1,FALSE)</f>
        <v>SB2</v>
      </c>
      <c r="L45" s="366" t="str">
        <f>VLOOKUP("SB2",L12:L39,1,FALSE)</f>
        <v>SB2</v>
      </c>
      <c r="M45" s="366" t="e">
        <f>VLOOKUP("SB2",M7:M33,1,FALSE)</f>
        <v>#N/A</v>
      </c>
      <c r="N45" s="366" t="e">
        <f>VLOOKUP("SB2",N5:N39,1,FALSE)</f>
        <v>#N/A</v>
      </c>
      <c r="O45" s="366" t="str">
        <f>VLOOKUP("SB2",O7:O39,1,FALSE)</f>
        <v>SB2</v>
      </c>
      <c r="P45" s="366" t="str">
        <f>VLOOKUP("SB2",P7:P39,1,FALSE)</f>
        <v>SB2</v>
      </c>
      <c r="Q45" s="366" t="str">
        <f>VLOOKUP("SB2",Q10:Q37,1,FALSE)</f>
        <v>SB2</v>
      </c>
      <c r="R45" s="366" t="str">
        <f>VLOOKUP("SB2",R6:R37,1,FALSE)</f>
        <v>SB2</v>
      </c>
      <c r="S45" s="366" t="str">
        <f>VLOOKUP("SB2",S14:S39,1,FALSE)</f>
        <v>SB2</v>
      </c>
      <c r="T45" s="366" t="e">
        <f>VLOOKUP("SB2",T6:T39,1,FALSE)</f>
        <v>#N/A</v>
      </c>
      <c r="U45" s="366" t="e">
        <f>VLOOKUP("SB2",U8:U39,1,FALSE)</f>
        <v>#N/A</v>
      </c>
      <c r="V45" s="366" t="str">
        <f>VLOOKUP("SB2",V5:V39,1,FALSE)</f>
        <v>SB2</v>
      </c>
      <c r="W45" s="366" t="str">
        <f>VLOOKUP("SB2",W10:W36,1,FALSE)</f>
        <v>SB2</v>
      </c>
      <c r="X45" s="366" t="str">
        <f>VLOOKUP("SB2",X8:X39,1,FALSE)</f>
        <v>SB2</v>
      </c>
      <c r="Y45" s="366" t="str">
        <f>VLOOKUP("SB2",Y6:Y39,1,FALSE)</f>
        <v>SB2</v>
      </c>
      <c r="Z45" s="366" t="str">
        <f>VLOOKUP("SB2",Z8:Z39,1,FALSE)</f>
        <v>SB2</v>
      </c>
      <c r="AA45" s="366" t="e">
        <f>VLOOKUP("SB2",AA12:AA39,1,FALSE)</f>
        <v>#N/A</v>
      </c>
      <c r="AB45" s="366" t="e">
        <f>VLOOKUP("SB2",AB9:AB39,1,FALSE)</f>
        <v>#N/A</v>
      </c>
      <c r="AC45" s="366" t="str">
        <f>VLOOKUP("SB2",AC10:AC39,1,FALSE)</f>
        <v>SB2</v>
      </c>
      <c r="AD45" s="366" t="str">
        <f>VLOOKUP("SB2",AD6:AD39,1,FALSE)</f>
        <v>SB2</v>
      </c>
      <c r="AE45" s="366" t="e">
        <f>VLOOKUP("SB2",AE6:AE39,1,FALSE)</f>
        <v>#N/A</v>
      </c>
      <c r="AF45" s="366" t="e">
        <f>VLOOKUP("SB2",AF7:AF39,1,FALSE)</f>
        <v>#N/A</v>
      </c>
      <c r="AG45" s="366" t="str">
        <f>VLOOKUP("SB2",AG6:AG39,1,FALSE)</f>
        <v>SB2</v>
      </c>
      <c r="AH45" s="311"/>
      <c r="AI45" s="312"/>
      <c r="AJ45" s="311"/>
      <c r="AK45" s="313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  <c r="BN45" s="313"/>
      <c r="BO45" s="313"/>
      <c r="BP45" s="314"/>
    </row>
    <row r="46" ht="19.5" customHeight="1" spans="1:68">
      <c r="A46" s="309"/>
      <c r="B46" s="372" t="s">
        <v>65</v>
      </c>
      <c r="C46" s="366" t="str">
        <f>VLOOKUP("AE",C6:C39,1,FALSE)</f>
        <v>AE</v>
      </c>
      <c r="D46" s="366" t="str">
        <f>VLOOKUP("AE",D9:D39,1,FALSE)</f>
        <v>AE</v>
      </c>
      <c r="E46" s="366" t="str">
        <f>VLOOKUP("AE",E7:E39,1,FALSE)</f>
        <v>AE</v>
      </c>
      <c r="F46" s="366" t="str">
        <f>VLOOKUP("AE",F1:F39,1,FALSE)</f>
        <v>AE</v>
      </c>
      <c r="G46" s="366" t="str">
        <f>VLOOKUP("AE",G6:G39,1,FALSE)</f>
        <v>AE</v>
      </c>
      <c r="H46" s="366" t="str">
        <f>VLOOKUP("AE",H7:H39,1,FALSE)</f>
        <v>AE</v>
      </c>
      <c r="I46" s="366" t="str">
        <f>VLOOKUP("AE",I7:I39,1,FALSE)</f>
        <v>AE</v>
      </c>
      <c r="J46" s="366" t="str">
        <f>VLOOKUP("AE",J4:J39,1,FALSE)</f>
        <v>AE</v>
      </c>
      <c r="K46" s="366" t="str">
        <f>VLOOKUP("AE",K6:K39,1,FALSE)</f>
        <v>AE</v>
      </c>
      <c r="L46" s="366" t="str">
        <f>VLOOKUP("AE",L12:L39,1,FALSE)</f>
        <v>AE</v>
      </c>
      <c r="M46" s="366" t="str">
        <f>VLOOKUP("AE",M7:M33,1,FALSE)</f>
        <v>AE</v>
      </c>
      <c r="N46" s="366" t="str">
        <f>VLOOKUP("AE",N5:N39,1,FALSE)</f>
        <v>AE</v>
      </c>
      <c r="O46" s="366" t="str">
        <f>VLOOKUP("AE",O7:O39,1,FALSE)</f>
        <v>AE</v>
      </c>
      <c r="P46" s="366" t="str">
        <f>VLOOKUP("AE",P7:P39,1,FALSE)</f>
        <v>AE</v>
      </c>
      <c r="Q46" s="366" t="str">
        <f>VLOOKUP("AE",Q10:Q37,1,FALSE)</f>
        <v>AE</v>
      </c>
      <c r="R46" s="366" t="str">
        <f>VLOOKUP("AE",R6:R37,1,FALSE)</f>
        <v>AE</v>
      </c>
      <c r="S46" s="366" t="str">
        <f>VLOOKUP("AE",S14:S39,1,FALSE)</f>
        <v>AE</v>
      </c>
      <c r="T46" s="366" t="str">
        <f>VLOOKUP("AE",T6:T39,1,FALSE)</f>
        <v>AE</v>
      </c>
      <c r="U46" s="366" t="str">
        <f>VLOOKUP("AE",U8:U39,1,FALSE)</f>
        <v>AE</v>
      </c>
      <c r="V46" s="366" t="str">
        <f>VLOOKUP("AE",V9:V30,1,FALSE)</f>
        <v>AE</v>
      </c>
      <c r="W46" s="366" t="str">
        <f>VLOOKUP("AE",W10:W36,1,FALSE)</f>
        <v>AE</v>
      </c>
      <c r="X46" s="366" t="str">
        <f>VLOOKUP("AE",X8:X39,1,FALSE)</f>
        <v>AE</v>
      </c>
      <c r="Y46" s="366" t="str">
        <f>VLOOKUP("AE",Y6:Y39,1,FALSE)</f>
        <v>AE</v>
      </c>
      <c r="Z46" s="366" t="str">
        <f>VLOOKUP("AE",Z8:Z39,1,FALSE)</f>
        <v>AE</v>
      </c>
      <c r="AA46" s="366" t="str">
        <f>VLOOKUP("AE",AA12:AA39,1,FALSE)</f>
        <v>AE</v>
      </c>
      <c r="AB46" s="366" t="str">
        <f>VLOOKUP("AE",AB9:AB39,1,FALSE)</f>
        <v>AE</v>
      </c>
      <c r="AC46" s="366" t="str">
        <f>VLOOKUP("AE",AC10:AC39,1,FALSE)</f>
        <v>AE</v>
      </c>
      <c r="AD46" s="366" t="str">
        <f>VLOOKUP("AE",AD6:AD39,1,FALSE)</f>
        <v>AE</v>
      </c>
      <c r="AE46" s="366" t="str">
        <f>VLOOKUP("AE",AE6:AE39,1,FALSE)</f>
        <v>AE</v>
      </c>
      <c r="AF46" s="366" t="str">
        <f>VLOOKUP("AE",AF7:AF39,1,FALSE)</f>
        <v>AE</v>
      </c>
      <c r="AG46" s="366" t="str">
        <f>VLOOKUP("AE",AG6:AG39,1,FALSE)</f>
        <v>AE</v>
      </c>
      <c r="AH46" s="311"/>
      <c r="AI46" s="312"/>
      <c r="AJ46" s="311"/>
      <c r="AK46" s="313"/>
      <c r="AL46" s="313"/>
      <c r="AM46" s="313"/>
      <c r="AN46" s="313"/>
      <c r="AO46" s="313"/>
      <c r="AP46" s="313"/>
      <c r="AQ46" s="313"/>
      <c r="AR46" s="313"/>
      <c r="AS46" s="313"/>
      <c r="AT46" s="313"/>
      <c r="AU46" s="313"/>
      <c r="AV46" s="313"/>
      <c r="AW46" s="313"/>
      <c r="AX46" s="313"/>
      <c r="AY46" s="313"/>
      <c r="AZ46" s="313"/>
      <c r="BA46" s="313"/>
      <c r="BB46" s="313"/>
      <c r="BC46" s="313"/>
      <c r="BD46" s="313"/>
      <c r="BE46" s="313"/>
      <c r="BF46" s="313"/>
      <c r="BG46" s="313"/>
      <c r="BH46" s="313"/>
      <c r="BI46" s="313"/>
      <c r="BJ46" s="313"/>
      <c r="BK46" s="313"/>
      <c r="BL46" s="313"/>
      <c r="BM46" s="313"/>
      <c r="BN46" s="313"/>
      <c r="BO46" s="313"/>
      <c r="BP46" s="314"/>
    </row>
  </sheetData>
  <mergeCells count="1">
    <mergeCell ref="C1:S1"/>
  </mergeCells>
  <conditionalFormatting sqref="N31">
    <cfRule type="expression" dxfId="136" priority="4">
      <formula>WEEKDAY(O$3,2)&gt;5</formula>
    </cfRule>
  </conditionalFormatting>
  <conditionalFormatting sqref="K36">
    <cfRule type="expression" dxfId="136" priority="3">
      <formula>WEEKDAY(M$3,2)&gt;5</formula>
    </cfRule>
  </conditionalFormatting>
  <conditionalFormatting sqref="T2 C5:C27 D5:D31 E5:E7 F5:F31 G5:G29 H5:H13 I5:J27 K5:K13 L5:L27 M5:M21 N5:N22 O5 P5:P8 Q5:Q27 S5:S31 T5:T18 U5:U7 V5:V31 W5:W28 X5:X22 Y5:Z5 AA5:AA15 AB5:AC5 AD5:AF37 AG5:AG26 R6:R31 O7:O14 Y7:Y31 Z7:Z15 AB7:AB31 AC7:AC15 E9:E27 U9:U31 P10:P29 H15:H27 K15:K27 O16:O28 Z17:Z24 AA17:AA34 AC17:AC34 T20:T22 M23:M28 N24:N27 T24:T28 X24:X31 Z26:Z31 AG28:AG29 C29:C30 E29:E31 H29:H31 J29:J30 K29:K31 N29 Q29:Q33 I30:I31 O30:O31 T30:T31 L31 N31 P31:P33 W31 G33 L33 N33 R33 X33 Y33:Z34 AB33 M34 O34 S34 W34 K36 Z36 AA36:AA38 AB36 O37 Q37 X37 Y37:Y38 AC37:AC38 Z38 AB38">
    <cfRule type="cellIs" dxfId="137" priority="30" operator="equal">
      <formula>"B"</formula>
    </cfRule>
    <cfRule type="cellIs" dxfId="137" priority="31" operator="equal">
      <formula>"AL"</formula>
    </cfRule>
    <cfRule type="cellIs" dxfId="138" priority="32" operator="equal">
      <formula>"DM"</formula>
    </cfRule>
    <cfRule type="cellIs" dxfId="139" priority="33" operator="equal">
      <formula>"CS1"</formula>
    </cfRule>
    <cfRule type="cellIs" dxfId="140" priority="34" operator="equal">
      <formula>"CS2"</formula>
    </cfRule>
    <cfRule type="cellIs" dxfId="141" priority="35" operator="equal">
      <formula>"SB1"</formula>
    </cfRule>
    <cfRule type="cellIs" dxfId="142" priority="36" operator="equal">
      <formula>"SB2"</formula>
    </cfRule>
    <cfRule type="cellIs" dxfId="143" priority="37" operator="equal">
      <formula>"AE"</formula>
    </cfRule>
    <cfRule type="cellIs" dxfId="137" priority="39" operator="equal">
      <formula>"DB"</formula>
    </cfRule>
    <cfRule type="containsText" dxfId="144" priority="40" operator="between" text="$AM">
      <formula>NOT(ISERROR(SEARCH("$AM",C2)))</formula>
    </cfRule>
    <cfRule type="containsText" dxfId="145" priority="41" operator="between" text="$PM">
      <formula>NOT(ISERROR(SEARCH("$PM",C2)))</formula>
    </cfRule>
    <cfRule type="containsText" dxfId="146" priority="42" operator="between" text="$L">
      <formula>NOT(ISERROR(SEARCH("$L",C2)))</formula>
    </cfRule>
    <cfRule type="containsText" dxfId="147" priority="43" operator="between" text="$BTP">
      <formula>NOT(ISERROR(SEARCH("$BTP",C2)))</formula>
    </cfRule>
    <cfRule type="containsText" dxfId="148" priority="44" operator="between" text="$M">
      <formula>NOT(ISERROR(SEARCH("$M",C2)))</formula>
    </cfRule>
    <cfRule type="containsText" dxfId="149" priority="45" operator="between" text="$N">
      <formula>NOT(ISERROR(SEARCH("$N",C2)))</formula>
    </cfRule>
    <cfRule type="containsText" dxfId="150" priority="46" operator="between" text="$FC">
      <formula>NOT(ISERROR(SEARCH("$FC",C2)))</formula>
    </cfRule>
    <cfRule type="containsText" dxfId="151" priority="47" operator="between" text="OAL">
      <formula>NOT(ISERROR(SEARCH("OAL",C2)))</formula>
    </cfRule>
    <cfRule type="containsText" dxfId="152" priority="48" operator="between" text="S+">
      <formula>NOT(ISERROR(SEARCH("S+",C2)))</formula>
    </cfRule>
    <cfRule type="containsText" dxfId="153" priority="49" operator="between" text="EX-D">
      <formula>NOT(ISERROR(SEARCH("EX-D",C2)))</formula>
    </cfRule>
  </conditionalFormatting>
  <conditionalFormatting sqref="T2 C5:C27 D5:D31 E5:E7 F5:F31 G5:G29 H5:H13 I5:J27 K5:K13 L5:L27 M5:M21 N5:N22 O5 P5:P8 Q5:Q27 S5:S31 T5:T18 U5:U7 V5:V31 W5:W29 X5:X22 Y5:Z5 AA5:AA15 AB5:AC5 AD5:AF37 AG5:AG26 R6:R20 O7:O14 Y7:Y31 Z7:Z15 AB7:AB31 AC7:AC15 E9:E27 U9:U31 P10:P29 H15:H27 K15:K27 O16:O28 Z17:Z24 AA17:AA34 AC17:AC34 T20:T22 R22:R31 M23:M28 N24:N27 T24:T28 X24:X31 Z26:Z31 AG28:AG29 C29:C30 E29:E31 H29:H31 J29:J30 K29:K31 N29 Q29:Q33 I30:I31 O30:O31 T30:T31 L31 N31 P31:P33 W31 G33 L33 N33 R33 X33 Y33:Z34 AB33 M34 O34 S34 W34 K36 Z36 AA36:AA38 AB36 O37 Q37 X37 Y37:Y38 AC37:AC38 Z38 AB38">
    <cfRule type="containsText" dxfId="154" priority="38" operator="between" text="VACC">
      <formula>NOT(ISERROR(SEARCH("VACC",C2)))</formula>
    </cfRule>
  </conditionalFormatting>
  <conditionalFormatting sqref="T2 C5:C27 D5:E7 F5:F31 G5:G24 H5:H13 I5:J27 K5:K13 L5:L27 M5:M21 N5:N22 O5 P5:P8 Q5 S5:S31 T5:T18 U5:U7 V5 W5:W28 X5:X22 Y5:Z5 AA5:AA15 AB5:AC5 AD5:AE37 AF5:AF14 AG5:AG16 R6:R20 O7:O14 Q7:Q22 V7:V31 Y7:Y31 Z7:Z15 AB7:AC15 E9:E20 U9:U29 D10:D31 P10:P29 H15:H27 K15:K27 O16:O28 AF16:AF37 Z17:Z24 AA17:AA34 AC17:AC34 AB18:AB31 AG18:AG26 T20:T22 E22:E27 R22:R31 M23:M28 N24:N27 Q24:Q27 T24:T28 X24:X31 G26:G29 Z26:Z31 AG28:AG29 C29:C30 E29:E31 H29:H31 J29:J30 K29:K31 N29 Q29:Q33 I30:I31 O30:O31 L31 N31 P31:P33 T31:U31 W31 G33 L33 N33 R33 X33 Y33:Z34 AB33 M34 O34 S34 W34 K36 Z36 AA36:AA38 AB36 O37 Q37 X37 Y37:Y38 AC37:AC38 Z38 AB38">
    <cfRule type="expression" dxfId="136" priority="50">
      <formula>WEEKDAY(#REF!,2)&gt;5</formula>
    </cfRule>
  </conditionalFormatting>
  <conditionalFormatting sqref="T2 J4:J46 AA4:AA46 C5:I46 K5:S46 T5:T18 U5:Z46 AB5:AG46 T20:T46">
    <cfRule type="cellIs" dxfId="137" priority="51" operator="equal">
      <formula>"B"</formula>
    </cfRule>
    <cfRule type="cellIs" dxfId="137" priority="52" operator="equal">
      <formula>"AL"</formula>
    </cfRule>
    <cfRule type="cellIs" dxfId="138" priority="53" operator="equal">
      <formula>"DM"</formula>
    </cfRule>
    <cfRule type="cellIs" dxfId="139" priority="54" operator="equal">
      <formula>"CS1"</formula>
    </cfRule>
    <cfRule type="cellIs" dxfId="140" priority="55" operator="equal">
      <formula>"CS2"</formula>
    </cfRule>
    <cfRule type="cellIs" dxfId="141" priority="56" operator="equal">
      <formula>"SB1"</formula>
    </cfRule>
    <cfRule type="cellIs" dxfId="142" priority="57" operator="equal">
      <formula>"SB2"</formula>
    </cfRule>
    <cfRule type="cellIs" dxfId="143" priority="58" operator="equal">
      <formula>"AE"</formula>
    </cfRule>
  </conditionalFormatting>
  <conditionalFormatting sqref="T2 J4:J39 AA4:AA39 C5:I39 K5:S39 T5:T18 U5:Z39 AB5:AG39 T20:T39">
    <cfRule type="cellIs" dxfId="137" priority="60" operator="equal">
      <formula>"DB"</formula>
    </cfRule>
    <cfRule type="containsText" dxfId="144" priority="61" operator="between" text="$AM">
      <formula>NOT(ISERROR(SEARCH("$AM",C2)))</formula>
    </cfRule>
    <cfRule type="containsText" dxfId="145" priority="62" operator="between" text="$PM">
      <formula>NOT(ISERROR(SEARCH("$PM",C2)))</formula>
    </cfRule>
    <cfRule type="containsText" dxfId="146" priority="63" operator="between" text="$L">
      <formula>NOT(ISERROR(SEARCH("$L",C2)))</formula>
    </cfRule>
    <cfRule type="containsText" dxfId="147" priority="64" operator="between" text="$BTP">
      <formula>NOT(ISERROR(SEARCH("$BTP",C2)))</formula>
    </cfRule>
    <cfRule type="containsText" dxfId="148" priority="65" operator="between" text="$M">
      <formula>NOT(ISERROR(SEARCH("$M",C2)))</formula>
    </cfRule>
    <cfRule type="containsText" dxfId="149" priority="67" operator="between" text="$N">
      <formula>NOT(ISERROR(SEARCH("$N",C2)))</formula>
    </cfRule>
    <cfRule type="containsText" dxfId="150" priority="68" operator="between" text="$FC">
      <formula>NOT(ISERROR(SEARCH("$FC",C2)))</formula>
    </cfRule>
    <cfRule type="containsText" dxfId="151" priority="69" operator="between" text="OAL">
      <formula>NOT(ISERROR(SEARCH("OAL",C2)))</formula>
    </cfRule>
    <cfRule type="containsText" dxfId="152" priority="70" operator="between" text="S+">
      <formula>NOT(ISERROR(SEARCH("S+",C2)))</formula>
    </cfRule>
    <cfRule type="containsText" dxfId="153" priority="71" operator="between" text="EX-D">
      <formula>NOT(ISERROR(SEARCH("EX-D",C2)))</formula>
    </cfRule>
  </conditionalFormatting>
  <conditionalFormatting sqref="T2:X39 C3:S39 Y3:AG39">
    <cfRule type="expression" dxfId="136" priority="66">
      <formula>WEEKDAY(T$3,2)&gt;5</formula>
    </cfRule>
  </conditionalFormatting>
  <conditionalFormatting sqref="T2 J4:J27 C5:C27 D5:D31 E5:E7 F5:F31 G5:G29 H5:H13 I5:I27 K5:K13 L5:L27 M5:M21 N5:N22 O5 P5:P8 Q5:Q27 S5:S20 T5:T18 U5:U7 V5:V33 W5:W31 X5:X22 Y5:Z5 AA5:AA15 AB5:AC5 AD5:AF37 AG5:AG26 R6:R18 O7:O14 Y7:Y31 Z7:Z15 AB7:AB31 AC7:AC15 E9:E22 U9:U33 P10:P29 H15:H27 K15:K27 O16:O28 Z17:Z24 AA17:AA34 AC17:AC34 R20 T20:T33 R22:R33 S22:S34 M23:M28 E24:E27 N24:N27 X24:X33 Z26:Z31 AG28:AG29 C29:C30 E29:E31 H29:H31 J29 K29:K31 N29 Q29:Q33 I30:I31 O30:O31 L31 N31 P31:P33 G33 L33 N33 Y33:Z34 AB33 M34 O34 W34 K36 Z36 AA36:AA38 AB36 AC36:AC38 AG36 O37 Q37:R37 W37:X37 Y37:Y38 Z38 AB38">
    <cfRule type="containsText" dxfId="154" priority="72" operator="between" text="VACC">
      <formula>NOT(ISERROR(SEARCH("VACC",C2)))</formula>
    </cfRule>
  </conditionalFormatting>
  <conditionalFormatting sqref="C5:C31 D6:D7 M7:N8 G8:G9 F9 K10 D23 Q27 T27 H28 V28 E29 T29:T30 W29 D30:D31 G30:H30 J30 O30 U30:U31 Z30:AA30 P32">
    <cfRule type="cellIs" dxfId="137" priority="7" operator="equal">
      <formula>"B"</formula>
    </cfRule>
    <cfRule type="cellIs" dxfId="137" priority="8" operator="equal">
      <formula>"AL"</formula>
    </cfRule>
    <cfRule type="cellIs" dxfId="138" priority="9" operator="equal">
      <formula>"DM"</formula>
    </cfRule>
    <cfRule type="cellIs" dxfId="139" priority="10" operator="equal">
      <formula>"CS1"</formula>
    </cfRule>
    <cfRule type="cellIs" dxfId="140" priority="11" operator="equal">
      <formula>"CS2"</formula>
    </cfRule>
    <cfRule type="cellIs" dxfId="141" priority="12" operator="equal">
      <formula>"SB1"</formula>
    </cfRule>
    <cfRule type="cellIs" dxfId="142" priority="13" operator="equal">
      <formula>"SB2"</formula>
    </cfRule>
    <cfRule type="cellIs" dxfId="143" priority="14" operator="equal">
      <formula>"AE"</formula>
    </cfRule>
    <cfRule type="cellIs" dxfId="137" priority="15" operator="equal">
      <formula>"DB"</formula>
    </cfRule>
    <cfRule type="containsText" dxfId="144" priority="16" operator="between" text="$AM">
      <formula>NOT(ISERROR(SEARCH("$AM",C5)))</formula>
    </cfRule>
    <cfRule type="containsText" dxfId="145" priority="17" operator="between" text="$PM">
      <formula>NOT(ISERROR(SEARCH("$PM",C5)))</formula>
    </cfRule>
    <cfRule type="containsText" dxfId="146" priority="18" operator="between" text="$L">
      <formula>NOT(ISERROR(SEARCH("$L",C5)))</formula>
    </cfRule>
    <cfRule type="containsText" dxfId="147" priority="19" operator="between" text="$BTP">
      <formula>NOT(ISERROR(SEARCH("$BTP",C5)))</formula>
    </cfRule>
    <cfRule type="containsText" dxfId="148" priority="20" operator="between" text="$M">
      <formula>NOT(ISERROR(SEARCH("$M",C5)))</formula>
    </cfRule>
    <cfRule type="containsText" dxfId="149" priority="21" operator="between" text="$N">
      <formula>NOT(ISERROR(SEARCH("$N",C5)))</formula>
    </cfRule>
    <cfRule type="containsText" dxfId="150" priority="22" operator="between" text="$FC">
      <formula>NOT(ISERROR(SEARCH("$FC",C5)))</formula>
    </cfRule>
    <cfRule type="containsText" dxfId="151" priority="23" operator="between" text="OAL">
      <formula>NOT(ISERROR(SEARCH("OAL",C5)))</formula>
    </cfRule>
    <cfRule type="containsText" dxfId="152" priority="24" operator="between" text="S+">
      <formula>NOT(ISERROR(SEARCH("S+",C5)))</formula>
    </cfRule>
    <cfRule type="containsText" dxfId="153" priority="25" operator="between" text="EX-D">
      <formula>NOT(ISERROR(SEARCH("EX-D",C5)))</formula>
    </cfRule>
  </conditionalFormatting>
  <conditionalFormatting sqref="C5:C22 D6:D7 M7:N8 G8:G9 F9 K10 C24:C26 C29 E29 J30 Z30:AA30">
    <cfRule type="expression" dxfId="136" priority="26">
      <formula>WEEKDAY(#REF!,2)&gt;5</formula>
    </cfRule>
  </conditionalFormatting>
  <conditionalFormatting sqref="AG5 F10:F12 D11:E12 G11:AC12 AG11:AG12 D24:AG24">
    <cfRule type="expression" dxfId="136" priority="1">
      <formula>WEEKDAY(AJ$3,2)&gt;5</formula>
    </cfRule>
    <cfRule type="expression" dxfId="136" priority="2">
      <formula>WEEKDAY(AI$3,2)&gt;5</formula>
    </cfRule>
  </conditionalFormatting>
  <conditionalFormatting sqref="BO5:BP39">
    <cfRule type="cellIs" dxfId="155" priority="59" operator="lessThan">
      <formula>1</formula>
    </cfRule>
  </conditionalFormatting>
  <conditionalFormatting sqref="P6 O8 S9 O34 Q37">
    <cfRule type="expression" dxfId="136" priority="5">
      <formula>WEEKDAY(K$3,2)&gt;5</formula>
    </cfRule>
    <cfRule type="expression" dxfId="136" priority="6">
      <formula>WEEKDAY(J$3,2)&gt;5</formula>
    </cfRule>
  </conditionalFormatting>
  <conditionalFormatting sqref="T7:T9 U9 AA9:AB9 T11 F13 Y13:Y14 C14 T14:T15 U14:X14 Z14:AG14 F17 H17 O17 U18 AE18 C19 T22 P23 E26 AB27 E30:F30">
    <cfRule type="expression" dxfId="136" priority="27">
      <formula>WEEKDAY(V$3,2)&gt;5</formula>
    </cfRule>
  </conditionalFormatting>
  <conditionalFormatting sqref="T7:T9 U9 AA9:AB9 T11 Y13:Y14 T14:T15 U14:X14 Z14:AG14 H17 O17 U18 AE18 T22 G23:G24 P23 E26 G26 AB27 G28:G29 F29 E30">
    <cfRule type="expression" dxfId="136" priority="28">
      <formula>WEEKDAY(U$3,2)&gt;5</formula>
    </cfRule>
  </conditionalFormatting>
  <conditionalFormatting sqref="C8 C13:C14 E13:F13 F17 I18 C19 C22 F30">
    <cfRule type="expression" dxfId="136" priority="29">
      <formula>WEEKDAY(E$3,2)&gt;5</formula>
    </cfRule>
  </conditionalFormatting>
  <dataValidations count="2">
    <dataValidation type="list" allowBlank="1" sqref="C5:L5 N5:Q5 S5:Y5 AA5:AG5 K6:N6 P6 R6:U6 W6 AA6 AD6:AE6 AG6 K7 M7:O7 Q7:T7 V7:W7 Y7 AB7:AG7 C8 M8:U8 W8 Y8:AG8 N9:O9 Q9 S9:V9 X9 AA9:AG9 J10:AE10 AG10 C13:F13 H13 K13:P13 R13 U13 W13:AB13 AD13:AG13 C14:D14 F14:G14 L14:M14 O14 Q14:AG14 C15 H15:J15 L15:Y15 AB15:AE15 C16:F16 H16:V16 X16 AA16:AB16 AD16:AG16 C17:I17 S17:AA17 C18:D18 F18:I18 S18:Y18 C19:G19 I19 K19:O19 Q19:S19 U19:AG19 C20:E20 G20:P20 R20:AG20 C21:D21 F21 H21:U21 X21 Z21:AG21 C22:G22 I22:L22 N22:Z22 AB22:AG22 C23:D23 F23:I23 L23:M23 P23:R23 T23 V23 Y23:AG23 C24:AG24 C25:V25 Y25 AA25:AG25 C26:I26 K26:M26 O26:S26 U26:V26 X26 Z26 AB26 AG26 C27:J27 L27:Q27 S27:AG27 C28:I28 K28:O28 Q28:AE28 AG28 D29:K29 M29:N29 P29:AG29 C30:K30 M30 O30:Q30 S30:AA30 AC30:AF30 D31 H31:I31 K31:L31 N31:AA31 AC31:AG31 C32:H32 J32 L32:M32 O32:P32 R32:X32 Z32 AB32:AG32 C33:N33 P33 R33:S33 U33:V33 Y33:AF33 C34:J34 L34:O34 R34:U34 W34:AA34 AD34:AG34 C35:G35 I35:L35 N35:Z35 C36:F36 I36 K36:L36 O36:Q36 S36:Y36 AA36 N37:Q37 X37:Y37 AC37:AF37 X38 AD38:AG38 S39:AG39 C6:H7 C9:D10 C11:AG12 C37:L39 F8:G10 I8:K9 K17:Q18 N38:P39 S37:V38 AC17:AG18 AC35:AG36" showDropDown="1">
      <formula1>'Setting key Duty'!$B$7:$B$56</formula1>
    </dataValidation>
    <dataValidation type="list" allowBlank="1" sqref="C40:AG46" showDropDown="1">
      <formula1>'Setting key Duty'!$B$7:$B$23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BQ42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C5" sqref="C5"/>
    </sheetView>
  </sheetViews>
  <sheetFormatPr defaultColWidth="12.6285714285714" defaultRowHeight="15.75" customHeight="1"/>
  <cols>
    <col min="1" max="1" width="2.13333333333333" customWidth="1"/>
    <col min="2" max="2" width="29.752380952381" customWidth="1"/>
    <col min="3" max="11" width="9.24761904761905" customWidth="1"/>
    <col min="12" max="12" width="9.38095238095238" customWidth="1"/>
    <col min="13" max="13" width="10.6285714285714" customWidth="1"/>
    <col min="14" max="14" width="9.24761904761905" customWidth="1"/>
    <col min="15" max="15" width="10" customWidth="1"/>
    <col min="16" max="17" width="9.24761904761905" customWidth="1"/>
    <col min="18" max="18" width="9.62857142857143" customWidth="1"/>
    <col min="19" max="19" width="9.13333333333333" customWidth="1"/>
    <col min="20" max="26" width="9.24761904761905" customWidth="1"/>
    <col min="27" max="27" width="10.5047619047619" customWidth="1"/>
    <col min="28" max="30" width="9.24761904761905" customWidth="1"/>
    <col min="31" max="31" width="10.5047619047619" customWidth="1"/>
    <col min="32" max="32" width="9.38095238095238" customWidth="1"/>
    <col min="33" max="34" width="9.24761904761905" customWidth="1"/>
    <col min="35" max="41" width="9.38095238095238" hidden="1" customWidth="1" outlineLevel="1"/>
    <col min="42" max="42" width="6.75238095238095" customWidth="1" collapsed="1"/>
    <col min="43" max="43" width="8.87619047619048" customWidth="1" outlineLevel="1"/>
    <col min="44" max="44" width="7.87619047619048" customWidth="1" outlineLevel="1"/>
    <col min="45" max="45" width="9.13333333333333" customWidth="1" outlineLevel="1"/>
    <col min="46" max="46" width="8.24761904761905" customWidth="1" outlineLevel="1"/>
    <col min="47" max="47" width="5.5047619047619" customWidth="1" outlineLevel="1"/>
    <col min="48" max="50" width="9.38095238095238" customWidth="1"/>
    <col min="51" max="58" width="9.38095238095238" customWidth="1" outlineLevel="1"/>
    <col min="59" max="59" width="10" customWidth="1" outlineLevel="1"/>
    <col min="60" max="65" width="9.38095238095238" customWidth="1" outlineLevel="1"/>
    <col min="66" max="66" width="9.38095238095238" customWidth="1"/>
    <col min="67" max="67" width="9.5047619047619" customWidth="1"/>
    <col min="68" max="69" width="9.38095238095238" customWidth="1"/>
  </cols>
  <sheetData>
    <row r="1" ht="3" customHeight="1" spans="1:69">
      <c r="A1" s="284"/>
      <c r="B1" s="285" t="s">
        <v>0</v>
      </c>
      <c r="C1" s="286" t="str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>
  Enter DM for DM, CS1 for CS1, CS2 for CS2, and SB1 for SB1. Use the 'Setting key' tab to customise. Change Date on highlighted cell
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0"/>
      <c r="BE1" s="290"/>
      <c r="BF1" s="290"/>
      <c r="BG1" s="290"/>
      <c r="BH1" s="290"/>
      <c r="BI1" s="290"/>
      <c r="BJ1" s="290"/>
      <c r="BK1" s="290"/>
      <c r="BL1" s="290"/>
      <c r="BM1" s="290"/>
      <c r="BN1" s="290"/>
      <c r="BO1" s="290"/>
      <c r="BP1" s="290"/>
      <c r="BQ1" s="291"/>
    </row>
    <row r="2" ht="26.25" customHeight="1" spans="1:69">
      <c r="A2" s="292"/>
      <c r="B2" s="24" t="s">
        <v>1</v>
      </c>
      <c r="C2" s="167"/>
      <c r="D2" s="167"/>
      <c r="E2" s="167"/>
      <c r="F2" s="167"/>
      <c r="G2" s="167"/>
      <c r="H2" s="167" t="s">
        <v>264</v>
      </c>
      <c r="I2" s="167" t="s">
        <v>265</v>
      </c>
      <c r="J2" s="167"/>
      <c r="K2" s="167"/>
      <c r="L2" s="167" t="s">
        <v>266</v>
      </c>
      <c r="M2" s="167"/>
      <c r="N2" s="167" t="s">
        <v>3</v>
      </c>
      <c r="O2" s="167"/>
      <c r="P2" s="167" t="s">
        <v>7</v>
      </c>
      <c r="Q2" s="167"/>
      <c r="R2" s="167"/>
      <c r="S2" s="167" t="s">
        <v>13</v>
      </c>
      <c r="T2" s="167" t="s">
        <v>267</v>
      </c>
      <c r="U2" s="167" t="s">
        <v>268</v>
      </c>
      <c r="V2" s="167" t="s">
        <v>269</v>
      </c>
      <c r="W2" s="167" t="s">
        <v>13</v>
      </c>
      <c r="X2" s="167"/>
      <c r="Y2" s="167"/>
      <c r="Z2" s="167" t="s">
        <v>13</v>
      </c>
      <c r="AA2" s="294"/>
      <c r="AB2" s="167" t="s">
        <v>270</v>
      </c>
      <c r="AC2" s="167" t="s">
        <v>271</v>
      </c>
      <c r="AD2" s="167" t="s">
        <v>272</v>
      </c>
      <c r="AE2" s="167"/>
      <c r="AF2" s="167"/>
      <c r="AG2" s="167"/>
      <c r="AH2" s="258" t="s">
        <v>273</v>
      </c>
      <c r="AI2" s="218"/>
      <c r="AJ2" s="218"/>
      <c r="AK2" s="218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  <c r="AX2" s="295"/>
      <c r="AY2" s="295"/>
      <c r="AZ2" s="295"/>
      <c r="BA2" s="296" t="s">
        <v>16</v>
      </c>
      <c r="BB2" s="296"/>
      <c r="BC2" s="296" t="s">
        <v>17</v>
      </c>
      <c r="BD2" s="296"/>
      <c r="BE2" s="296" t="s">
        <v>18</v>
      </c>
      <c r="BF2" s="296"/>
      <c r="BG2" s="296"/>
      <c r="BH2" s="296" t="s">
        <v>19</v>
      </c>
      <c r="BI2" s="296"/>
      <c r="BJ2" s="296" t="s">
        <v>20</v>
      </c>
      <c r="BK2" s="296"/>
      <c r="BL2" s="296"/>
      <c r="BM2" s="296"/>
      <c r="BN2" s="295"/>
      <c r="BO2" s="295"/>
      <c r="BP2" s="295"/>
      <c r="BQ2" s="297"/>
    </row>
    <row r="3" ht="26.25" customHeight="1" spans="1:69">
      <c r="A3" s="292"/>
      <c r="B3" s="24" t="s">
        <v>21</v>
      </c>
      <c r="C3" s="388">
        <v>45689</v>
      </c>
      <c r="D3" s="299">
        <f t="shared" ref="D3:AH3" si="0">C3+1</f>
        <v>45690</v>
      </c>
      <c r="E3" s="299">
        <f t="shared" si="0"/>
        <v>45691</v>
      </c>
      <c r="F3" s="299">
        <f t="shared" si="0"/>
        <v>45692</v>
      </c>
      <c r="G3" s="299">
        <f t="shared" si="0"/>
        <v>45693</v>
      </c>
      <c r="H3" s="299">
        <f t="shared" si="0"/>
        <v>45694</v>
      </c>
      <c r="I3" s="299">
        <f t="shared" si="0"/>
        <v>45695</v>
      </c>
      <c r="J3" s="299">
        <f t="shared" si="0"/>
        <v>45696</v>
      </c>
      <c r="K3" s="299">
        <f t="shared" si="0"/>
        <v>45697</v>
      </c>
      <c r="L3" s="299">
        <f t="shared" si="0"/>
        <v>45698</v>
      </c>
      <c r="M3" s="299">
        <f t="shared" si="0"/>
        <v>45699</v>
      </c>
      <c r="N3" s="299">
        <f t="shared" si="0"/>
        <v>45700</v>
      </c>
      <c r="O3" s="299">
        <f t="shared" si="0"/>
        <v>45701</v>
      </c>
      <c r="P3" s="299">
        <f t="shared" si="0"/>
        <v>45702</v>
      </c>
      <c r="Q3" s="299">
        <f t="shared" si="0"/>
        <v>45703</v>
      </c>
      <c r="R3" s="299">
        <f t="shared" si="0"/>
        <v>45704</v>
      </c>
      <c r="S3" s="299">
        <f t="shared" si="0"/>
        <v>45705</v>
      </c>
      <c r="T3" s="299">
        <f t="shared" si="0"/>
        <v>45706</v>
      </c>
      <c r="U3" s="299">
        <f t="shared" si="0"/>
        <v>45707</v>
      </c>
      <c r="V3" s="299">
        <f t="shared" si="0"/>
        <v>45708</v>
      </c>
      <c r="W3" s="299">
        <f t="shared" si="0"/>
        <v>45709</v>
      </c>
      <c r="X3" s="299">
        <f t="shared" si="0"/>
        <v>45710</v>
      </c>
      <c r="Y3" s="299">
        <f t="shared" si="0"/>
        <v>45711</v>
      </c>
      <c r="Z3" s="299">
        <f t="shared" si="0"/>
        <v>45712</v>
      </c>
      <c r="AA3" s="299">
        <f t="shared" si="0"/>
        <v>45713</v>
      </c>
      <c r="AB3" s="299">
        <f t="shared" si="0"/>
        <v>45714</v>
      </c>
      <c r="AC3" s="299">
        <f t="shared" si="0"/>
        <v>45715</v>
      </c>
      <c r="AD3" s="299">
        <f t="shared" si="0"/>
        <v>45716</v>
      </c>
      <c r="AE3" s="299">
        <f t="shared" si="0"/>
        <v>45717</v>
      </c>
      <c r="AF3" s="299">
        <f t="shared" si="0"/>
        <v>45718</v>
      </c>
      <c r="AG3" s="299">
        <f t="shared" si="0"/>
        <v>45719</v>
      </c>
      <c r="AH3" s="299">
        <f t="shared" si="0"/>
        <v>45720</v>
      </c>
      <c r="AI3" s="221" t="str">
        <f>'Setting key Duty'!$C7</f>
        <v>DM</v>
      </c>
      <c r="AJ3" s="222" t="str">
        <f>'Setting key Duty'!$C8</f>
        <v>CS1</v>
      </c>
      <c r="AK3" s="223" t="str">
        <f>'Setting key Duty'!$C9</f>
        <v>CS2</v>
      </c>
      <c r="AL3" s="302" t="str">
        <f>'Setting key Duty'!$C11</f>
        <v>SB1</v>
      </c>
      <c r="AM3" s="302" t="str">
        <f>'Setting key Duty'!$C12</f>
        <v>SB2</v>
      </c>
      <c r="AN3" s="302" t="str">
        <f>'Setting key Duty'!$C13</f>
        <v>AE</v>
      </c>
      <c r="AO3" s="302" t="str">
        <f>'Setting key Duty'!C14</f>
        <v>EM</v>
      </c>
      <c r="AP3" s="223"/>
      <c r="AQ3" s="223" t="s">
        <v>22</v>
      </c>
      <c r="AR3" s="223" t="s">
        <v>23</v>
      </c>
      <c r="AS3" s="223" t="s">
        <v>24</v>
      </c>
      <c r="AT3" s="223" t="s">
        <v>25</v>
      </c>
      <c r="AU3" s="223" t="s">
        <v>26</v>
      </c>
      <c r="AV3" s="223" t="s">
        <v>27</v>
      </c>
      <c r="AW3" s="223" t="s">
        <v>28</v>
      </c>
      <c r="AX3" s="223" t="s">
        <v>29</v>
      </c>
      <c r="AY3" s="223" t="s">
        <v>30</v>
      </c>
      <c r="AZ3" s="223" t="s">
        <v>31</v>
      </c>
      <c r="BA3" s="302" t="s">
        <v>32</v>
      </c>
      <c r="BB3" s="302" t="s">
        <v>33</v>
      </c>
      <c r="BC3" s="302" t="s">
        <v>34</v>
      </c>
      <c r="BD3" s="302" t="s">
        <v>35</v>
      </c>
      <c r="BE3" s="302" t="s">
        <v>36</v>
      </c>
      <c r="BF3" s="302" t="s">
        <v>37</v>
      </c>
      <c r="BG3" s="302" t="s">
        <v>38</v>
      </c>
      <c r="BH3" s="302" t="s">
        <v>39</v>
      </c>
      <c r="BI3" s="302" t="s">
        <v>40</v>
      </c>
      <c r="BJ3" s="302" t="s">
        <v>41</v>
      </c>
      <c r="BK3" s="302" t="s">
        <v>42</v>
      </c>
      <c r="BL3" s="302" t="str">
        <f>'Setting key Duty'!C52</f>
        <v>Field Camp</v>
      </c>
      <c r="BM3" s="302" t="s">
        <v>43</v>
      </c>
      <c r="BN3" s="302" t="str">
        <f>'Setting key Duty'!$C15</f>
        <v>Block</v>
      </c>
      <c r="BO3" s="302" t="str">
        <f>'Setting key Duty'!C17</f>
        <v>Reserve</v>
      </c>
      <c r="BP3" s="302" t="str">
        <f>'Setting key Duty'!$C22</f>
        <v>AL</v>
      </c>
      <c r="BQ3" s="297"/>
    </row>
    <row r="4" ht="18" customHeight="1" spans="1:69">
      <c r="A4" s="303"/>
      <c r="B4" s="260" t="s">
        <v>156</v>
      </c>
      <c r="C4" s="305" t="str">
        <f t="shared" ref="C4:AH4" si="1">TEXT(C3,"ddd")</f>
        <v>Sat</v>
      </c>
      <c r="D4" s="305" t="str">
        <f t="shared" si="1"/>
        <v>Sun</v>
      </c>
      <c r="E4" s="305" t="str">
        <f t="shared" si="1"/>
        <v>Mon</v>
      </c>
      <c r="F4" s="305" t="str">
        <f t="shared" si="1"/>
        <v>Tue</v>
      </c>
      <c r="G4" s="305" t="str">
        <f t="shared" si="1"/>
        <v>Wed</v>
      </c>
      <c r="H4" s="305" t="str">
        <f t="shared" si="1"/>
        <v>Thu</v>
      </c>
      <c r="I4" s="305" t="str">
        <f t="shared" si="1"/>
        <v>Fri</v>
      </c>
      <c r="J4" s="305" t="str">
        <f t="shared" si="1"/>
        <v>Sat</v>
      </c>
      <c r="K4" s="305" t="str">
        <f t="shared" si="1"/>
        <v>Sun</v>
      </c>
      <c r="L4" s="305" t="str">
        <f t="shared" si="1"/>
        <v>Mon</v>
      </c>
      <c r="M4" s="305" t="str">
        <f t="shared" si="1"/>
        <v>Tue</v>
      </c>
      <c r="N4" s="305" t="str">
        <f t="shared" si="1"/>
        <v>Wed</v>
      </c>
      <c r="O4" s="305" t="str">
        <f t="shared" si="1"/>
        <v>Thu</v>
      </c>
      <c r="P4" s="305" t="str">
        <f t="shared" si="1"/>
        <v>Fri</v>
      </c>
      <c r="Q4" s="305" t="str">
        <f t="shared" si="1"/>
        <v>Sat</v>
      </c>
      <c r="R4" s="305" t="str">
        <f t="shared" si="1"/>
        <v>Sun</v>
      </c>
      <c r="S4" s="305" t="str">
        <f t="shared" si="1"/>
        <v>Mon</v>
      </c>
      <c r="T4" s="305" t="str">
        <f t="shared" si="1"/>
        <v>Tue</v>
      </c>
      <c r="U4" s="305" t="str">
        <f t="shared" si="1"/>
        <v>Wed</v>
      </c>
      <c r="V4" s="305" t="str">
        <f t="shared" si="1"/>
        <v>Thu</v>
      </c>
      <c r="W4" s="305" t="str">
        <f t="shared" si="1"/>
        <v>Fri</v>
      </c>
      <c r="X4" s="305" t="str">
        <f t="shared" si="1"/>
        <v>Sat</v>
      </c>
      <c r="Y4" s="305" t="str">
        <f t="shared" si="1"/>
        <v>Sun</v>
      </c>
      <c r="Z4" s="305" t="str">
        <f t="shared" si="1"/>
        <v>Mon</v>
      </c>
      <c r="AA4" s="305" t="str">
        <f t="shared" si="1"/>
        <v>Tue</v>
      </c>
      <c r="AB4" s="305" t="str">
        <f t="shared" si="1"/>
        <v>Wed</v>
      </c>
      <c r="AC4" s="305" t="str">
        <f t="shared" si="1"/>
        <v>Thu</v>
      </c>
      <c r="AD4" s="305" t="str">
        <f t="shared" si="1"/>
        <v>Fri</v>
      </c>
      <c r="AE4" s="305" t="str">
        <f t="shared" si="1"/>
        <v>Sat</v>
      </c>
      <c r="AF4" s="305" t="str">
        <f t="shared" si="1"/>
        <v>Sun</v>
      </c>
      <c r="AG4" s="305" t="str">
        <f t="shared" si="1"/>
        <v>Mon</v>
      </c>
      <c r="AH4" s="305" t="str">
        <f t="shared" si="1"/>
        <v>Tue</v>
      </c>
      <c r="AI4" s="227" t="str">
        <f>'Setting key Duty'!$B7</f>
        <v>DM</v>
      </c>
      <c r="AJ4" s="228" t="str">
        <f>'Setting key Duty'!$B8</f>
        <v>CS1</v>
      </c>
      <c r="AK4" s="229" t="str">
        <f>'Setting key Duty'!$B9</f>
        <v>CS2</v>
      </c>
      <c r="AL4" s="307" t="str">
        <f>'Setting key Duty'!$B11</f>
        <v>SB1</v>
      </c>
      <c r="AM4" s="307" t="str">
        <f>'Setting key Duty'!$B12</f>
        <v>SB2</v>
      </c>
      <c r="AN4" s="307" t="str">
        <f>'Setting key Duty'!$B13</f>
        <v>AE</v>
      </c>
      <c r="AO4" s="307" t="str">
        <f>'Setting key Duty'!B14</f>
        <v>EM</v>
      </c>
      <c r="AP4" s="307"/>
      <c r="AQ4" s="307"/>
      <c r="AR4" s="307"/>
      <c r="AS4" s="307"/>
      <c r="AT4" s="307"/>
      <c r="AU4" s="307"/>
      <c r="AV4" s="307"/>
      <c r="AW4" s="307"/>
      <c r="AX4" s="307"/>
      <c r="AY4" s="307"/>
      <c r="AZ4" s="307" t="s">
        <v>45</v>
      </c>
      <c r="BA4" s="307" t="s">
        <v>46</v>
      </c>
      <c r="BB4" s="307"/>
      <c r="BC4" s="307" t="s">
        <v>47</v>
      </c>
      <c r="BD4" s="307"/>
      <c r="BE4" s="307" t="s">
        <v>48</v>
      </c>
      <c r="BF4" s="307"/>
      <c r="BG4" s="307" t="s">
        <v>49</v>
      </c>
      <c r="BH4" s="307" t="s">
        <v>50</v>
      </c>
      <c r="BI4" s="307"/>
      <c r="BJ4" s="307" t="s">
        <v>51</v>
      </c>
      <c r="BK4" s="307"/>
      <c r="BL4" s="307" t="str">
        <f>'Setting key Duty'!B52</f>
        <v>$FC</v>
      </c>
      <c r="BM4" s="307"/>
      <c r="BN4" s="307">
        <f>'Setting key Duty'!$B15</f>
        <v>0</v>
      </c>
      <c r="BO4" s="307" t="str">
        <f>'Setting key Duty'!B17</f>
        <v>RESERVE</v>
      </c>
      <c r="BP4" s="307" t="str">
        <f>'Setting key Duty'!$B22</f>
        <v>AL</v>
      </c>
      <c r="BQ4" s="308"/>
    </row>
    <row r="5" ht="19.5" customHeight="1" spans="1:69">
      <c r="A5" s="309"/>
      <c r="B5" s="373" t="s">
        <v>119</v>
      </c>
      <c r="D5" s="317" t="s">
        <v>58</v>
      </c>
      <c r="E5" s="197"/>
      <c r="F5" s="197"/>
      <c r="G5" s="198"/>
      <c r="H5" s="317" t="s">
        <v>96</v>
      </c>
      <c r="I5" s="317" t="s">
        <v>65</v>
      </c>
      <c r="J5" s="385"/>
      <c r="K5" s="317"/>
      <c r="L5" s="386"/>
      <c r="M5" s="317" t="s">
        <v>56</v>
      </c>
      <c r="O5" s="386" t="s">
        <v>65</v>
      </c>
      <c r="P5" s="389"/>
      <c r="S5" s="197" t="s">
        <v>58</v>
      </c>
      <c r="T5" s="106"/>
      <c r="V5" s="317"/>
      <c r="W5" s="197" t="s">
        <v>58</v>
      </c>
      <c r="Y5" s="197" t="s">
        <v>58</v>
      </c>
      <c r="Z5" s="197"/>
      <c r="AA5" s="106"/>
      <c r="AB5" s="197"/>
      <c r="AD5" s="197" t="s">
        <v>56</v>
      </c>
      <c r="AE5" s="198"/>
      <c r="AG5" s="197"/>
      <c r="AH5" s="197"/>
      <c r="AI5" s="311"/>
      <c r="AJ5" s="312"/>
      <c r="AK5" s="311"/>
      <c r="AL5" s="313"/>
      <c r="AM5" s="313"/>
      <c r="AN5" s="313"/>
      <c r="AO5" s="313"/>
      <c r="AP5" s="238"/>
      <c r="AQ5" s="313">
        <f t="shared" ref="AQ5:AQ33" si="2">SUMPRODUCT(--WEEKDAY(C$3:AG$3,2)&lt;6,--((C5:AG5="DM"))+(C5:AG5="CS1")+((C5:AG5="CS2"))+(C5:AG5="SB1")+(C5:AG5="AE")+(C5:AG5="EM"))</f>
        <v>0</v>
      </c>
      <c r="AR5" s="238"/>
      <c r="AS5" s="238">
        <f t="shared" ref="AS5:AS33" si="3">SUMPRODUCT(--WEEKDAY(C$3:AG$3,2)&gt;5,--((C5:AG5="DM"))+(C5:AG5="CS1")+((C5:AG5="CS2"))+(C5:AG5="SB1")+(C5:AG5="AE")+(C5:AG5="EM"))</f>
        <v>0</v>
      </c>
      <c r="AT5" s="238"/>
      <c r="AU5" s="238">
        <f>(AQ5-AR5)/2+(AS5-AT5)</f>
        <v>0</v>
      </c>
      <c r="AV5" s="238">
        <f>AI5+AJ5+AK5+AL5+AN5+AO5</f>
        <v>0</v>
      </c>
      <c r="AW5" s="238">
        <f>BG5+BH5+BJ5+BE5+BC5+BA5+BL5</f>
        <v>0</v>
      </c>
      <c r="AX5" s="238" t="e">
        <f>AU5+$AY$10</f>
        <v>#VALUE!</v>
      </c>
      <c r="AY5" s="313" t="e">
        <f>(BJ5*('Setting key Duty'!$I$8+'Setting key Duty'!$I$12))+(BH5*'Setting key Duty'!$I$9)+(BC5*('Setting key Duty'!$I$13+'Setting key Duty'!$I$9))+(BA5*('Setting key Duty'!$I$13+'Setting key Duty'!$I$12+'Setting key Duty'!$I$11))+(BE5*('Setting key Duty'!$I$8+'Setting key Duty'!$I$9+'Setting key Duty'!$I$12))</f>
        <v>#VALUE!</v>
      </c>
      <c r="AZ5" s="313">
        <f>COUNTIF(D5:AA5,"*BRT*")</f>
        <v>0</v>
      </c>
      <c r="BA5" s="313">
        <f>COUNTIF(A5:AI5,"*$BTP*")</f>
        <v>0</v>
      </c>
      <c r="BB5" s="313" t="e">
        <f>BA5*('Setting key Duty'!$I$13+'Setting key Duty'!$I$12+'Setting key Duty'!$I$11)</f>
        <v>#VALUE!</v>
      </c>
      <c r="BC5" s="313">
        <f>COUNTIF(A5:AI5,"*$L*")</f>
        <v>0</v>
      </c>
      <c r="BD5" s="313" t="e">
        <f>BC5*('Setting key Duty'!$I$13+'Setting key Duty'!$I$9)</f>
        <v>#VALUE!</v>
      </c>
      <c r="BE5" s="313">
        <f>COUNTIF(A5:AI5,"*$M*")</f>
        <v>0</v>
      </c>
      <c r="BF5" s="313">
        <f>BE5*('Setting key Duty'!$I$8+'Setting key Duty'!$I$9+'Setting key Duty'!$I$12)</f>
        <v>0</v>
      </c>
      <c r="BG5" s="313">
        <f>COUNTIF(AI5,"*$N*")</f>
        <v>0</v>
      </c>
      <c r="BH5" s="313">
        <f>COUNTIF(AI5,"*$PM*")</f>
        <v>0</v>
      </c>
      <c r="BI5" s="313">
        <f>BH5*('Setting key Duty'!$I$9)</f>
        <v>0</v>
      </c>
      <c r="BJ5" s="313">
        <f>COUNTIF(A5:AI5,"*$AM*")</f>
        <v>0</v>
      </c>
      <c r="BK5" s="313">
        <f>BJ5*('Setting key Duty'!$I$12+'Setting key Duty'!$I$8)</f>
        <v>0</v>
      </c>
      <c r="BL5" s="313">
        <f>COUNTIF(D5:AI5,"*$FC*")</f>
        <v>0</v>
      </c>
      <c r="BM5" s="313">
        <f>BL5*('Setting key Duty'!$J$11+'Setting key Duty'!$I$8)</f>
        <v>0</v>
      </c>
      <c r="BN5" s="313">
        <f>COUNTIF($D5:$AA5,BN$4)</f>
        <v>0</v>
      </c>
      <c r="BO5" s="313">
        <f>COUNTIF($D5:$AA5,BO$4)</f>
        <v>0</v>
      </c>
      <c r="BP5" s="313">
        <f>COUNTIF($D5:$AA5,BP$4)</f>
        <v>0</v>
      </c>
      <c r="BQ5" s="314"/>
    </row>
    <row r="6" ht="36" customHeight="1" spans="1:69">
      <c r="A6" s="309"/>
      <c r="B6" s="374" t="s">
        <v>60</v>
      </c>
      <c r="C6" s="197"/>
      <c r="D6" s="197" t="s">
        <v>56</v>
      </c>
      <c r="F6" s="106"/>
      <c r="G6" s="317" t="s">
        <v>59</v>
      </c>
      <c r="H6" s="106"/>
      <c r="I6" s="197" t="s">
        <v>274</v>
      </c>
      <c r="J6" s="197"/>
      <c r="K6" s="321"/>
      <c r="L6" s="106"/>
      <c r="M6" s="317" t="s">
        <v>59</v>
      </c>
      <c r="N6" s="197"/>
      <c r="O6" s="317" t="s">
        <v>56</v>
      </c>
      <c r="P6" s="106"/>
      <c r="Q6" s="197"/>
      <c r="R6" s="316"/>
      <c r="U6" s="197" t="s">
        <v>56</v>
      </c>
      <c r="V6" s="106"/>
      <c r="X6" s="197"/>
      <c r="Y6" s="197"/>
      <c r="Z6" s="106"/>
      <c r="AA6" s="197" t="s">
        <v>59</v>
      </c>
      <c r="AB6" s="106"/>
      <c r="AC6" s="197" t="s">
        <v>275</v>
      </c>
      <c r="AD6" s="197"/>
      <c r="AF6" s="198" t="s">
        <v>58</v>
      </c>
      <c r="AH6" s="106"/>
      <c r="AI6" s="311">
        <f t="shared" ref="AI6:AO6" si="4">COUNTIF($D6:$AE6,AI$4)</f>
        <v>0</v>
      </c>
      <c r="AJ6" s="312">
        <f t="shared" si="4"/>
        <v>3</v>
      </c>
      <c r="AK6" s="311">
        <f t="shared" si="4"/>
        <v>3</v>
      </c>
      <c r="AL6" s="313">
        <f t="shared" si="4"/>
        <v>0</v>
      </c>
      <c r="AM6" s="313">
        <f t="shared" si="4"/>
        <v>0</v>
      </c>
      <c r="AN6" s="313">
        <f t="shared" si="4"/>
        <v>0</v>
      </c>
      <c r="AO6" s="313">
        <f t="shared" si="4"/>
        <v>0</v>
      </c>
      <c r="AP6" s="238"/>
      <c r="AQ6" s="313">
        <f t="shared" si="2"/>
        <v>0</v>
      </c>
      <c r="AR6" s="238"/>
      <c r="AS6" s="238">
        <f t="shared" si="3"/>
        <v>0</v>
      </c>
      <c r="AT6" s="238"/>
      <c r="AU6" s="238">
        <f>(AQ6-AR6)/2+(AS6-AT6)</f>
        <v>0</v>
      </c>
      <c r="AV6" s="238">
        <f>AI6+AJ6+AK6+AL6+AN6+AO6</f>
        <v>6</v>
      </c>
      <c r="AW6" s="238" t="e">
        <f>AU6+AY6</f>
        <v>#VALUE!</v>
      </c>
      <c r="AX6" s="238" t="e">
        <f>AU6+AY6</f>
        <v>#VALUE!</v>
      </c>
      <c r="AY6" s="313" t="e">
        <f>(BJ6*('Setting key Duty'!$I$8+'Setting key Duty'!$I$12))+(BH6*'Setting key Duty'!$I$9)+(BC6*('Setting key Duty'!$I$13+'Setting key Duty'!$I$9))+(BA6*('Setting key Duty'!$I$13+'Setting key Duty'!$I$12+'Setting key Duty'!$I$11))+(BE6*('Setting key Duty'!$I$8+'Setting key Duty'!$I$9+'Setting key Duty'!$I$12))</f>
        <v>#VALUE!</v>
      </c>
      <c r="AZ6" s="313">
        <f>COUNTIF(D6:AE6,"*BRT*")</f>
        <v>0</v>
      </c>
      <c r="BA6" s="313">
        <f>COUNTIF(A6:AI6,"*$BTP*")</f>
        <v>0</v>
      </c>
      <c r="BB6" s="313" t="e">
        <f>BA6*('Setting key Duty'!$I$13+'Setting key Duty'!$I$12+'Setting key Duty'!$I$11)</f>
        <v>#VALUE!</v>
      </c>
      <c r="BC6" s="313">
        <f>COUNTIF(A6:AI6,"*$L*")</f>
        <v>0</v>
      </c>
      <c r="BD6" s="313" t="e">
        <f>BC6*('Setting key Duty'!$I$13+'Setting key Duty'!$I$9)</f>
        <v>#VALUE!</v>
      </c>
      <c r="BE6" s="313">
        <f>COUNTIF(A6:AI6,"*$M*")</f>
        <v>0</v>
      </c>
      <c r="BF6" s="313">
        <f>BE6*('Setting key Duty'!$I$8+'Setting key Duty'!$I$9+'Setting key Duty'!$I$12)</f>
        <v>0</v>
      </c>
      <c r="BG6" s="313">
        <f>COUNTIF(AE6:AI6,"*$N*")</f>
        <v>0</v>
      </c>
      <c r="BH6" s="313">
        <f>COUNTIF(AE6:AI6,"*$PM*")</f>
        <v>0</v>
      </c>
      <c r="BI6" s="313">
        <f>BH6*('Setting key Duty'!$I$9)</f>
        <v>0</v>
      </c>
      <c r="BJ6" s="313">
        <f>COUNTIF(A6:AI6,"*$AM*")</f>
        <v>2</v>
      </c>
      <c r="BK6" s="313">
        <f>BJ6*('Setting key Duty'!$I$12+'Setting key Duty'!$I$8)</f>
        <v>0.875</v>
      </c>
      <c r="BL6" s="313">
        <f>COUNTIF(D6:AI6,"*$FC*")</f>
        <v>0</v>
      </c>
      <c r="BM6" s="313">
        <f>BL6*('Setting key Duty'!$J$11+'Setting key Duty'!$I$8)</f>
        <v>0</v>
      </c>
      <c r="BN6" s="313">
        <f>COUNTIF($D6:$AE6,BN$4)</f>
        <v>0</v>
      </c>
      <c r="BO6" s="313">
        <f>COUNTIF($D6:$AE6,BO$4)</f>
        <v>0</v>
      </c>
      <c r="BP6" s="313">
        <f>COUNTIF($D6:$AE6,BP$4)</f>
        <v>0</v>
      </c>
      <c r="BQ6" s="314"/>
    </row>
    <row r="7" ht="19.5" customHeight="1" spans="1:69">
      <c r="A7" s="309"/>
      <c r="B7" s="322" t="s">
        <v>211</v>
      </c>
      <c r="C7" s="197" t="s">
        <v>57</v>
      </c>
      <c r="E7" s="197"/>
      <c r="F7" s="197"/>
      <c r="G7" s="324"/>
      <c r="I7" s="317" t="s">
        <v>56</v>
      </c>
      <c r="J7" s="197"/>
      <c r="K7" s="321" t="s">
        <v>57</v>
      </c>
      <c r="L7" s="106"/>
      <c r="M7" s="106"/>
      <c r="N7" s="197" t="s">
        <v>276</v>
      </c>
      <c r="P7" s="197" t="s">
        <v>59</v>
      </c>
      <c r="Q7" s="106"/>
      <c r="S7" s="197" t="s">
        <v>57</v>
      </c>
      <c r="U7" s="197" t="s">
        <v>59</v>
      </c>
      <c r="V7" s="4"/>
      <c r="X7" s="197"/>
      <c r="Y7" s="1" t="s">
        <v>249</v>
      </c>
      <c r="Z7" s="197"/>
      <c r="AA7" s="197"/>
      <c r="AC7" s="197" t="s">
        <v>57</v>
      </c>
      <c r="AE7" s="197" t="s">
        <v>57</v>
      </c>
      <c r="AG7" s="197"/>
      <c r="AH7" s="197"/>
      <c r="AI7" s="311">
        <f t="shared" ref="AI7:AO7" si="5">COUNTIF($C7,AI$4)</f>
        <v>1</v>
      </c>
      <c r="AJ7" s="312">
        <f t="shared" si="5"/>
        <v>0</v>
      </c>
      <c r="AK7" s="311">
        <f t="shared" si="5"/>
        <v>0</v>
      </c>
      <c r="AL7" s="313">
        <f t="shared" si="5"/>
        <v>0</v>
      </c>
      <c r="AM7" s="313">
        <f t="shared" si="5"/>
        <v>0</v>
      </c>
      <c r="AN7" s="313">
        <f t="shared" si="5"/>
        <v>0</v>
      </c>
      <c r="AO7" s="313">
        <f t="shared" si="5"/>
        <v>0</v>
      </c>
      <c r="AP7" s="238"/>
      <c r="AQ7" s="313">
        <f t="shared" si="2"/>
        <v>0</v>
      </c>
      <c r="AR7" s="238"/>
      <c r="AS7" s="238">
        <f t="shared" si="3"/>
        <v>0</v>
      </c>
      <c r="AT7" s="238"/>
      <c r="AU7" s="238">
        <f>(AQ7-AR7)/2+(AS7-AT7)</f>
        <v>0</v>
      </c>
      <c r="AV7" s="238">
        <f>AI7+AJ7+AK7+AL7+AN7+AO7</f>
        <v>1</v>
      </c>
      <c r="AW7" s="238">
        <f>BG7+BH7+BJ7+BE7+BC7+BA7+BL7</f>
        <v>1</v>
      </c>
      <c r="AX7" s="238" t="e">
        <f>AU7+AY7</f>
        <v>#VALUE!</v>
      </c>
      <c r="AY7" s="313" t="e">
        <f>(BJ7*('Setting key Duty'!$I$8+'Setting key Duty'!$I$12))+(BH7*'Setting key Duty'!$I$9)+(BC7*('Setting key Duty'!$I$13+'Setting key Duty'!$I$9))+(BA7*('Setting key Duty'!$I$13+'Setting key Duty'!$I$12+'Setting key Duty'!$I$11))+(BE7*('Setting key Duty'!$I$8+'Setting key Duty'!$I$9+'Setting key Duty'!$I$12))</f>
        <v>#VALUE!</v>
      </c>
      <c r="AZ7" s="313">
        <f>COUNTIF(C7,"*BRT*")</f>
        <v>0</v>
      </c>
      <c r="BA7" s="313">
        <f>COUNTIF(A7:AI7,"*$BTP*")</f>
        <v>0</v>
      </c>
      <c r="BB7" s="313" t="e">
        <f>BA7*('Setting key Duty'!$I$13+'Setting key Duty'!$I$12+'Setting key Duty'!$I$11)</f>
        <v>#VALUE!</v>
      </c>
      <c r="BC7" s="313">
        <f>COUNTIF(A7:AI7,"*$L*")</f>
        <v>0</v>
      </c>
      <c r="BD7" s="313" t="e">
        <f>BC7*('Setting key Duty'!$I$13+'Setting key Duty'!$I$9)</f>
        <v>#VALUE!</v>
      </c>
      <c r="BE7" s="313">
        <f>COUNTIF(A7:AI7,"*$M*")</f>
        <v>0</v>
      </c>
      <c r="BF7" s="313">
        <f>BE7*('Setting key Duty'!$I$8+'Setting key Duty'!$I$9+'Setting key Duty'!$I$12)</f>
        <v>0</v>
      </c>
      <c r="BG7" s="313">
        <f>COUNTIF(A7:AI7,"*$N*")</f>
        <v>0</v>
      </c>
      <c r="BH7" s="313">
        <f>COUNTIF(AG7:AI7,"*$PM*")</f>
        <v>0</v>
      </c>
      <c r="BI7" s="313">
        <f>BH7*('Setting key Duty'!$I$9)</f>
        <v>0</v>
      </c>
      <c r="BJ7" s="313">
        <f>COUNTIF(A7:AI7,"*$AM*")</f>
        <v>1</v>
      </c>
      <c r="BK7" s="313">
        <f>BJ7*('Setting key Duty'!$I$12+'Setting key Duty'!$I$8)</f>
        <v>0.4375</v>
      </c>
      <c r="BL7" s="313">
        <f>COUNTIF(C7:AI7,"*$FC*")</f>
        <v>0</v>
      </c>
      <c r="BM7" s="313">
        <f>BL7*('Setting key Duty'!$J$11+'Setting key Duty'!$I$8)</f>
        <v>0</v>
      </c>
      <c r="BN7" s="313">
        <f>COUNTIF($C7,BN$4)</f>
        <v>0</v>
      </c>
      <c r="BO7" s="313">
        <f>COUNTIF($C7,BO$4)</f>
        <v>0</v>
      </c>
      <c r="BP7" s="313">
        <f>COUNTIF($C7,BP$4)</f>
        <v>0</v>
      </c>
      <c r="BQ7" s="314"/>
    </row>
    <row r="8" ht="19.5" customHeight="1" spans="1:69">
      <c r="A8" s="309"/>
      <c r="B8" s="334" t="s">
        <v>63</v>
      </c>
      <c r="C8" s="197"/>
      <c r="D8" s="106"/>
      <c r="E8" s="197"/>
      <c r="F8" s="197"/>
      <c r="G8" s="197"/>
      <c r="H8" s="197"/>
      <c r="I8" s="197" t="s">
        <v>57</v>
      </c>
      <c r="J8" s="197"/>
      <c r="K8" s="321"/>
      <c r="L8" s="197"/>
      <c r="M8" s="197" t="s">
        <v>277</v>
      </c>
      <c r="N8" s="106"/>
      <c r="O8" s="386" t="s">
        <v>58</v>
      </c>
      <c r="P8" s="197"/>
      <c r="Q8" s="197"/>
      <c r="R8" s="316"/>
      <c r="S8" s="106"/>
      <c r="T8" s="106"/>
      <c r="U8" s="317" t="s">
        <v>57</v>
      </c>
      <c r="V8" s="106"/>
      <c r="W8" s="197" t="s">
        <v>57</v>
      </c>
      <c r="X8" s="197"/>
      <c r="Y8" s="197"/>
      <c r="AB8" s="197" t="s">
        <v>57</v>
      </c>
      <c r="AC8" s="197"/>
      <c r="AE8" s="197"/>
      <c r="AF8" s="198" t="s">
        <v>57</v>
      </c>
      <c r="AG8" s="197"/>
      <c r="AH8" s="197"/>
      <c r="AI8" s="311"/>
      <c r="AJ8" s="312"/>
      <c r="AK8" s="311"/>
      <c r="AL8" s="313"/>
      <c r="AM8" s="313"/>
      <c r="AN8" s="313"/>
      <c r="AO8" s="313"/>
      <c r="AP8" s="238"/>
      <c r="AQ8" s="313">
        <f t="shared" si="2"/>
        <v>0</v>
      </c>
      <c r="AR8" s="238"/>
      <c r="AS8" s="238">
        <f t="shared" si="3"/>
        <v>0</v>
      </c>
      <c r="AT8" s="238"/>
      <c r="AU8" s="238"/>
      <c r="AV8" s="238"/>
      <c r="AW8" s="238"/>
      <c r="AX8" s="238"/>
      <c r="AY8" s="313"/>
      <c r="AZ8" s="313"/>
      <c r="BA8" s="313"/>
      <c r="BB8" s="313"/>
      <c r="BC8" s="313"/>
      <c r="BD8" s="313"/>
      <c r="BE8" s="313"/>
      <c r="BF8" s="313"/>
      <c r="BG8" s="313"/>
      <c r="BH8" s="313"/>
      <c r="BI8" s="313"/>
      <c r="BJ8" s="313"/>
      <c r="BK8" s="313"/>
      <c r="BL8" s="313"/>
      <c r="BM8" s="313"/>
      <c r="BN8" s="313"/>
      <c r="BO8" s="313"/>
      <c r="BP8" s="313"/>
      <c r="BQ8" s="314"/>
    </row>
    <row r="9" ht="19.5" customHeight="1" spans="1:69">
      <c r="A9" s="309"/>
      <c r="B9" s="327" t="s">
        <v>215</v>
      </c>
      <c r="C9" s="197" t="s">
        <v>59</v>
      </c>
      <c r="D9" s="197"/>
      <c r="F9" s="317"/>
      <c r="G9" s="317" t="s">
        <v>56</v>
      </c>
      <c r="H9" s="317"/>
      <c r="I9" s="324" t="s">
        <v>73</v>
      </c>
      <c r="J9" s="324" t="s">
        <v>73</v>
      </c>
      <c r="K9" s="383" t="s">
        <v>73</v>
      </c>
      <c r="L9" s="4"/>
      <c r="M9" s="197" t="s">
        <v>88</v>
      </c>
      <c r="N9" s="197" t="s">
        <v>88</v>
      </c>
      <c r="O9" s="4" t="s">
        <v>96</v>
      </c>
      <c r="P9" s="1" t="s">
        <v>96</v>
      </c>
      <c r="Q9" s="197"/>
      <c r="S9" s="197"/>
      <c r="T9" s="197" t="s">
        <v>56</v>
      </c>
      <c r="V9" s="197"/>
      <c r="X9" s="197" t="s">
        <v>57</v>
      </c>
      <c r="Z9" s="197" t="s">
        <v>58</v>
      </c>
      <c r="AB9" s="197"/>
      <c r="AC9" s="197"/>
      <c r="AG9" s="197"/>
      <c r="AH9" s="197"/>
      <c r="AI9" s="311"/>
      <c r="AJ9" s="312"/>
      <c r="AK9" s="311"/>
      <c r="AL9" s="313"/>
      <c r="AM9" s="313"/>
      <c r="AN9" s="313"/>
      <c r="AO9" s="313"/>
      <c r="AP9" s="238"/>
      <c r="AQ9" s="313">
        <f t="shared" si="2"/>
        <v>0</v>
      </c>
      <c r="AR9" s="238"/>
      <c r="AS9" s="238">
        <f t="shared" si="3"/>
        <v>0</v>
      </c>
      <c r="AT9" s="238"/>
      <c r="AU9" s="238">
        <f t="shared" ref="AU9:AU33" si="6">(AQ9-AR9)/2+(AS9-AT9)</f>
        <v>0</v>
      </c>
      <c r="AV9" s="238">
        <f t="shared" ref="AV9:AV33" si="7">AI9+AJ9+AK9+AL9+AN9+AO9</f>
        <v>0</v>
      </c>
      <c r="AW9" s="238">
        <f t="shared" ref="AW9:AW33" si="8">BG9+BH9+BJ9+BE9+BC9+BA9+BL9</f>
        <v>5</v>
      </c>
      <c r="AX9" s="238" t="e">
        <f>AU9+AY9</f>
        <v>#VALUE!</v>
      </c>
      <c r="AY9" s="313" t="e">
        <f>(BJ9*('Setting key Duty'!$I$8+'Setting key Duty'!$I$12))+(BH9*'Setting key Duty'!$I$9)+(BC9*('Setting key Duty'!$I$13+'Setting key Duty'!$I$9))+(BA9*('Setting key Duty'!$I$13+'Setting key Duty'!$I$12+'Setting key Duty'!$I$11))+(BE9*('Setting key Duty'!$I$8+'Setting key Duty'!$I$9+'Setting key Duty'!$I$12))</f>
        <v>#VALUE!</v>
      </c>
      <c r="AZ9" s="313">
        <f>COUNTIF(D9:Z9,"*BRT*")</f>
        <v>0</v>
      </c>
      <c r="BA9" s="313">
        <f t="shared" ref="BA9:BA24" si="9">COUNTIF(A9:AI9,"*$BTP*")</f>
        <v>0</v>
      </c>
      <c r="BB9" s="313" t="e">
        <f>BA9*('Setting key Duty'!$I$13+'Setting key Duty'!$I$12+'Setting key Duty'!$I$11)</f>
        <v>#VALUE!</v>
      </c>
      <c r="BC9" s="313">
        <f>COUNTIF(A9:AI9,"*$L*")</f>
        <v>0</v>
      </c>
      <c r="BD9" s="313" t="e">
        <f>BC9*('Setting key Duty'!$I$13+'Setting key Duty'!$I$9)</f>
        <v>#VALUE!</v>
      </c>
      <c r="BE9" s="313">
        <f>COUNTIF(A9:AI9,"*$M*")</f>
        <v>0</v>
      </c>
      <c r="BF9" s="313">
        <f>BE9*('Setting key Duty'!$I$8+'Setting key Duty'!$I$9+'Setting key Duty'!$I$12)</f>
        <v>0</v>
      </c>
      <c r="BG9" s="313">
        <f>COUNTIF(AI9,"*$N*")</f>
        <v>0</v>
      </c>
      <c r="BH9" s="313">
        <f>COUNTIF(AI9,"*$PM*")</f>
        <v>0</v>
      </c>
      <c r="BI9" s="313">
        <f>BH9*('Setting key Duty'!$I$9)</f>
        <v>0</v>
      </c>
      <c r="BJ9" s="313">
        <f>COUNTIF(A9:AI9,"*$AM*")</f>
        <v>0</v>
      </c>
      <c r="BK9" s="313">
        <f>BJ9*('Setting key Duty'!$I$12+'Setting key Duty'!$I$8)</f>
        <v>0</v>
      </c>
      <c r="BL9" s="313">
        <f>COUNTIF(D9:AI9,"*$FC*")</f>
        <v>5</v>
      </c>
      <c r="BM9" s="313">
        <f>BL9*('Setting key Duty'!$J$11+'Setting key Duty'!$I$8)</f>
        <v>0.625</v>
      </c>
      <c r="BN9" s="313">
        <f>COUNTIF($D9:$Z9,BN$4)</f>
        <v>0</v>
      </c>
      <c r="BO9" s="313">
        <f>COUNTIF($D9:$Z9,BO$4)</f>
        <v>0</v>
      </c>
      <c r="BP9" s="313">
        <f>COUNTIF($D9:$Z9,BP$4)</f>
        <v>0</v>
      </c>
      <c r="BQ9" s="314"/>
    </row>
    <row r="10" ht="19.5" customHeight="1" spans="1:69">
      <c r="A10" s="309"/>
      <c r="B10" s="328" t="s">
        <v>99</v>
      </c>
      <c r="C10" s="197" t="s">
        <v>278</v>
      </c>
      <c r="D10" s="197" t="s">
        <v>278</v>
      </c>
      <c r="F10" s="317" t="s">
        <v>59</v>
      </c>
      <c r="H10" s="198" t="s">
        <v>279</v>
      </c>
      <c r="I10" s="197" t="s">
        <v>280</v>
      </c>
      <c r="J10" s="197" t="s">
        <v>59</v>
      </c>
      <c r="K10" s="321"/>
      <c r="L10" s="106"/>
      <c r="M10" s="106"/>
      <c r="N10" s="197" t="s">
        <v>59</v>
      </c>
      <c r="O10" s="106"/>
      <c r="P10" s="197" t="s">
        <v>281</v>
      </c>
      <c r="Q10" s="197"/>
      <c r="R10" s="316" t="s">
        <v>249</v>
      </c>
      <c r="S10" s="197" t="s">
        <v>282</v>
      </c>
      <c r="T10" s="197" t="s">
        <v>58</v>
      </c>
      <c r="V10" s="197"/>
      <c r="W10" s="197"/>
      <c r="X10" s="197"/>
      <c r="Y10" s="197"/>
      <c r="Z10" s="197"/>
      <c r="AA10" s="197" t="s">
        <v>56</v>
      </c>
      <c r="AC10" s="197" t="s">
        <v>283</v>
      </c>
      <c r="AD10" s="197"/>
      <c r="AE10" s="197"/>
      <c r="AF10" s="106"/>
      <c r="AH10" s="197"/>
      <c r="AI10" s="311"/>
      <c r="AJ10" s="312"/>
      <c r="AK10" s="311"/>
      <c r="AL10" s="313"/>
      <c r="AM10" s="313"/>
      <c r="AN10" s="313"/>
      <c r="AO10" s="313"/>
      <c r="AP10" s="238"/>
      <c r="AQ10" s="313">
        <f t="shared" si="2"/>
        <v>0</v>
      </c>
      <c r="AR10" s="238"/>
      <c r="AS10" s="238">
        <f t="shared" si="3"/>
        <v>0</v>
      </c>
      <c r="AT10" s="238"/>
      <c r="AU10" s="238">
        <f t="shared" si="6"/>
        <v>0</v>
      </c>
      <c r="AV10" s="238">
        <f t="shared" si="7"/>
        <v>0</v>
      </c>
      <c r="AW10" s="238">
        <f t="shared" si="8"/>
        <v>5</v>
      </c>
      <c r="AX10" s="238" t="e">
        <f>AU10+$AY$10</f>
        <v>#VALUE!</v>
      </c>
      <c r="AY10" s="313" t="e">
        <f>(BJ10*('Setting key Duty'!$I$8+'Setting key Duty'!$I$12))+(BH10*'Setting key Duty'!$I$9)+(BC10*('Setting key Duty'!$I$13+'Setting key Duty'!$I$9))+(BA10*('Setting key Duty'!$I$13+'Setting key Duty'!$I$12+'Setting key Duty'!$I$11))+(BE10*('Setting key Duty'!$I$8+'Setting key Duty'!$I$9+'Setting key Duty'!$I$12))</f>
        <v>#VALUE!</v>
      </c>
      <c r="AZ10" s="313">
        <f>COUNTIF(C10:AC10,"*BRT*")</f>
        <v>0</v>
      </c>
      <c r="BA10" s="313">
        <f t="shared" si="9"/>
        <v>1</v>
      </c>
      <c r="BB10" s="313" t="e">
        <f>BA10*('Setting key Duty'!$I$13+'Setting key Duty'!$I$12+'Setting key Duty'!$I$11)</f>
        <v>#VALUE!</v>
      </c>
      <c r="BC10" s="313">
        <f>COUNTIF(D10:AI10,"*$L*")</f>
        <v>0</v>
      </c>
      <c r="BD10" s="313" t="e">
        <f>BC10*('Setting key Duty'!$I$13+'Setting key Duty'!$I$9)</f>
        <v>#VALUE!</v>
      </c>
      <c r="BE10" s="313">
        <f>COUNTIF(D10:AI10,"*$M*")</f>
        <v>3</v>
      </c>
      <c r="BF10" s="313">
        <f>BE10*('Setting key Duty'!$I$8+'Setting key Duty'!$I$9+'Setting key Duty'!$I$12)</f>
        <v>1.6875</v>
      </c>
      <c r="BG10" s="313">
        <f>COUNTIF(D10:AI10,"*$N*")</f>
        <v>0</v>
      </c>
      <c r="BH10" s="313">
        <f>COUNTIF(D10:AI10,"*$PM*")</f>
        <v>0</v>
      </c>
      <c r="BI10" s="313">
        <f>BH10*('Setting key Duty'!$I$9)</f>
        <v>0</v>
      </c>
      <c r="BJ10" s="313">
        <f>COUNTIF(D10:AI10,"*$AM*")</f>
        <v>1</v>
      </c>
      <c r="BK10" s="313">
        <f>BJ10*('Setting key Duty'!$I$12+'Setting key Duty'!$I$8)</f>
        <v>0.4375</v>
      </c>
      <c r="BL10" s="313">
        <f>COUNTIF(C10:AI10,"*$FC*")</f>
        <v>0</v>
      </c>
      <c r="BM10" s="313">
        <f>BL10*('Setting key Duty'!$J$11+'Setting key Duty'!$I$8)</f>
        <v>0</v>
      </c>
      <c r="BN10" s="313">
        <f>COUNTIF($C10:$AG10,BN$4)</f>
        <v>0</v>
      </c>
      <c r="BO10" s="313">
        <f>COUNTIF($C10:$AG10,BO$4)</f>
        <v>0</v>
      </c>
      <c r="BP10" s="313">
        <f>COUNTIF($D10:$AE10,BP$4)</f>
        <v>0</v>
      </c>
      <c r="BQ10" s="314"/>
    </row>
    <row r="11" ht="19.5" customHeight="1" spans="1:69">
      <c r="A11" s="309"/>
      <c r="B11" s="315" t="s">
        <v>70</v>
      </c>
      <c r="D11" s="197"/>
      <c r="E11" s="197"/>
      <c r="F11" s="197" t="s">
        <v>58</v>
      </c>
      <c r="G11" s="197"/>
      <c r="H11" s="197" t="s">
        <v>55</v>
      </c>
      <c r="I11" s="197" t="s">
        <v>55</v>
      </c>
      <c r="J11" s="197" t="s">
        <v>57</v>
      </c>
      <c r="K11" s="317"/>
      <c r="L11" s="282" t="s">
        <v>57</v>
      </c>
      <c r="M11" s="282"/>
      <c r="O11" s="282" t="s">
        <v>181</v>
      </c>
      <c r="P11" s="282"/>
      <c r="Q11" s="282" t="s">
        <v>56</v>
      </c>
      <c r="R11" s="197"/>
      <c r="T11" s="197" t="s">
        <v>57</v>
      </c>
      <c r="U11" s="106"/>
      <c r="V11" s="197" t="s">
        <v>132</v>
      </c>
      <c r="W11" s="197"/>
      <c r="X11" s="197"/>
      <c r="Y11" s="197" t="s">
        <v>56</v>
      </c>
      <c r="Z11" s="197"/>
      <c r="AA11" s="197" t="s">
        <v>58</v>
      </c>
      <c r="AC11" s="106"/>
      <c r="AD11" s="197"/>
      <c r="AE11" s="197"/>
      <c r="AG11" s="197"/>
      <c r="AH11" s="197"/>
      <c r="AI11" s="311"/>
      <c r="AJ11" s="312"/>
      <c r="AK11" s="311"/>
      <c r="AL11" s="313"/>
      <c r="AM11" s="313"/>
      <c r="AN11" s="313"/>
      <c r="AO11" s="313"/>
      <c r="AP11" s="238"/>
      <c r="AQ11" s="313">
        <f t="shared" si="2"/>
        <v>0</v>
      </c>
      <c r="AR11" s="238"/>
      <c r="AS11" s="238">
        <f t="shared" si="3"/>
        <v>0</v>
      </c>
      <c r="AT11" s="238"/>
      <c r="AU11" s="238">
        <f t="shared" si="6"/>
        <v>0</v>
      </c>
      <c r="AV11" s="238">
        <f t="shared" si="7"/>
        <v>0</v>
      </c>
      <c r="AW11" s="238">
        <f t="shared" si="8"/>
        <v>2</v>
      </c>
      <c r="AX11" s="238" t="e">
        <f t="shared" ref="AX11:AX16" si="10">AU11+AY11</f>
        <v>#VALUE!</v>
      </c>
      <c r="AY11" s="313" t="e">
        <f>(BJ11*('Setting key Duty'!$I$8+'Setting key Duty'!$I$12))+(BH11*'Setting key Duty'!$I$9)+(BC11*('Setting key Duty'!$I$13+'Setting key Duty'!$I$9))+(BA11*('Setting key Duty'!$I$13+'Setting key Duty'!$I$12+'Setting key Duty'!$I$11))+(BE11*('Setting key Duty'!$I$8+'Setting key Duty'!$I$9+'Setting key Duty'!$I$12))</f>
        <v>#VALUE!</v>
      </c>
      <c r="AZ11" s="313">
        <f>COUNTIF(D11:AC11,"*BRT*")</f>
        <v>0</v>
      </c>
      <c r="BA11" s="313">
        <f t="shared" si="9"/>
        <v>0</v>
      </c>
      <c r="BB11" s="313" t="e">
        <f>BA11*('Setting key Duty'!$I$13+'Setting key Duty'!$I$12+'Setting key Duty'!$I$11)</f>
        <v>#VALUE!</v>
      </c>
      <c r="BC11" s="313">
        <f>COUNTIF(A11:AI11,"*$L*")</f>
        <v>0</v>
      </c>
      <c r="BD11" s="313" t="e">
        <f>BC11*('Setting key Duty'!$I$13+'Setting key Duty'!$I$9)</f>
        <v>#VALUE!</v>
      </c>
      <c r="BE11" s="313">
        <f>COUNTIF(A11:AI11,"*$M*")</f>
        <v>0</v>
      </c>
      <c r="BF11" s="313">
        <f>BE11*('Setting key Duty'!$I$8+'Setting key Duty'!$I$9+'Setting key Duty'!$I$12)</f>
        <v>0</v>
      </c>
      <c r="BG11" s="313">
        <f>COUNTIF(AF11:AI11,"*$N*")</f>
        <v>0</v>
      </c>
      <c r="BH11" s="313">
        <f>COUNTIF(AF11:AI11,"*$PM*")</f>
        <v>0</v>
      </c>
      <c r="BI11" s="313">
        <f>BH11*('Setting key Duty'!$I$9)</f>
        <v>0</v>
      </c>
      <c r="BJ11" s="313">
        <f>COUNTIF(A11:AI11,"*$AM*")</f>
        <v>2</v>
      </c>
      <c r="BK11" s="313">
        <f>BJ11*('Setting key Duty'!$I$12+'Setting key Duty'!$I$8)</f>
        <v>0.875</v>
      </c>
      <c r="BL11" s="313">
        <f>COUNTIF(D11:AI11,"*$FC*")</f>
        <v>0</v>
      </c>
      <c r="BM11" s="313">
        <f>BL11*('Setting key Duty'!$J$11+'Setting key Duty'!$I$8)</f>
        <v>0</v>
      </c>
      <c r="BN11" s="313">
        <f>COUNTIF($D11:$AE11,BN$4)</f>
        <v>0</v>
      </c>
      <c r="BO11" s="313">
        <f>COUNTIF($D11:$AE11,BO$4)</f>
        <v>0</v>
      </c>
      <c r="BP11" s="313">
        <f>COUNTIF($D11:$AE11,BP$4)</f>
        <v>2</v>
      </c>
      <c r="BQ11" s="314"/>
    </row>
    <row r="12" ht="19.5" customHeight="1" spans="1:69">
      <c r="A12" s="309"/>
      <c r="B12" s="329" t="s">
        <v>72</v>
      </c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 t="s">
        <v>61</v>
      </c>
      <c r="O12" s="197" t="s">
        <v>103</v>
      </c>
      <c r="R12" s="197" t="s">
        <v>59</v>
      </c>
      <c r="S12" s="197"/>
      <c r="T12" s="197" t="s">
        <v>116</v>
      </c>
      <c r="U12" s="197" t="s">
        <v>284</v>
      </c>
      <c r="V12" s="197" t="s">
        <v>285</v>
      </c>
      <c r="W12" s="197"/>
      <c r="X12" s="197"/>
      <c r="Y12" s="197" t="s">
        <v>59</v>
      </c>
      <c r="Z12" s="197"/>
      <c r="AB12" s="198" t="s">
        <v>133</v>
      </c>
      <c r="AC12" s="197" t="s">
        <v>59</v>
      </c>
      <c r="AD12" s="197"/>
      <c r="AF12" s="197" t="s">
        <v>59</v>
      </c>
      <c r="AG12" s="197"/>
      <c r="AH12" s="197"/>
      <c r="AI12" s="311"/>
      <c r="AJ12" s="312"/>
      <c r="AK12" s="311"/>
      <c r="AL12" s="313"/>
      <c r="AM12" s="313"/>
      <c r="AN12" s="313"/>
      <c r="AO12" s="313"/>
      <c r="AP12" s="238"/>
      <c r="AQ12" s="313">
        <f t="shared" si="2"/>
        <v>0</v>
      </c>
      <c r="AR12" s="238"/>
      <c r="AS12" s="238">
        <f t="shared" si="3"/>
        <v>0</v>
      </c>
      <c r="AT12" s="238"/>
      <c r="AU12" s="238">
        <f t="shared" si="6"/>
        <v>0</v>
      </c>
      <c r="AV12" s="238">
        <f t="shared" si="7"/>
        <v>0</v>
      </c>
      <c r="AW12" s="238">
        <f t="shared" si="8"/>
        <v>5</v>
      </c>
      <c r="AX12" s="238" t="e">
        <f t="shared" si="10"/>
        <v>#VALUE!</v>
      </c>
      <c r="AY12" s="313" t="e">
        <f>(BJ12*('Setting key Duty'!$I$8+'Setting key Duty'!$I$12))+(BH12*'Setting key Duty'!$I$9)+(BC12*('Setting key Duty'!$I$13+'Setting key Duty'!$I$9))+(BA12*('Setting key Duty'!$I$13+'Setting key Duty'!$I$12+'Setting key Duty'!$I$11))+(BE12*('Setting key Duty'!$I$8+'Setting key Duty'!$I$9+'Setting key Duty'!$I$12))</f>
        <v>#VALUE!</v>
      </c>
      <c r="AZ12" s="313">
        <f>COUNTIF(D12:Y12,"*BRT*")</f>
        <v>0</v>
      </c>
      <c r="BA12" s="313">
        <f t="shared" si="9"/>
        <v>0</v>
      </c>
      <c r="BB12" s="313" t="e">
        <f>BA12*('Setting key Duty'!$I$13+'Setting key Duty'!$I$12+'Setting key Duty'!$I$11)</f>
        <v>#VALUE!</v>
      </c>
      <c r="BC12" s="313">
        <f>COUNTIF(A12:AI12,"*$L*")</f>
        <v>0</v>
      </c>
      <c r="BD12" s="313" t="e">
        <f>BC12*('Setting key Duty'!$I$13+'Setting key Duty'!$I$9)</f>
        <v>#VALUE!</v>
      </c>
      <c r="BE12" s="313">
        <f>COUNTIF(A12:AI12,"*$M*")</f>
        <v>2</v>
      </c>
      <c r="BF12" s="313">
        <f>BE12*('Setting key Duty'!$I$8+'Setting key Duty'!$I$9+'Setting key Duty'!$I$12)</f>
        <v>1.125</v>
      </c>
      <c r="BG12" s="313">
        <f>COUNTIF(AI12,"*$N*")</f>
        <v>0</v>
      </c>
      <c r="BH12" s="313">
        <f>COUNTIF(AI12,"*$PM*")</f>
        <v>0</v>
      </c>
      <c r="BI12" s="313">
        <f>BH12*('Setting key Duty'!$I$9)</f>
        <v>0</v>
      </c>
      <c r="BJ12" s="313">
        <f>COUNTIF(A12:AI12,"*$AM*")</f>
        <v>3</v>
      </c>
      <c r="BK12" s="313">
        <f>BJ12*('Setting key Duty'!$I$12+'Setting key Duty'!$I$8)</f>
        <v>1.3125</v>
      </c>
      <c r="BL12" s="313">
        <f>COUNTIF(D12:AI12,"*$FC*")</f>
        <v>0</v>
      </c>
      <c r="BM12" s="313">
        <f>BL12*('Setting key Duty'!$J$11+'Setting key Duty'!$I$8)</f>
        <v>0</v>
      </c>
      <c r="BN12" s="313">
        <f>COUNTIF($D12:$Y12,BN$4)</f>
        <v>0</v>
      </c>
      <c r="BO12" s="313">
        <f>COUNTIF($D12:$Y12,BO$4)</f>
        <v>0</v>
      </c>
      <c r="BP12" s="313">
        <f>COUNTIF($D12:$Y12,BP$4)</f>
        <v>0</v>
      </c>
      <c r="BQ12" s="314"/>
    </row>
    <row r="13" ht="24" customHeight="1" spans="1:69">
      <c r="A13" s="309"/>
      <c r="B13" s="335" t="s">
        <v>76</v>
      </c>
      <c r="C13" s="197"/>
      <c r="E13" s="317" t="s">
        <v>59</v>
      </c>
      <c r="H13" s="197" t="s">
        <v>57</v>
      </c>
      <c r="J13" s="317"/>
      <c r="L13" s="317" t="s">
        <v>56</v>
      </c>
      <c r="M13" s="197"/>
      <c r="N13" s="197" t="s">
        <v>56</v>
      </c>
      <c r="O13" s="197"/>
      <c r="P13" s="197"/>
      <c r="Q13" s="197"/>
      <c r="R13" s="197" t="s">
        <v>57</v>
      </c>
      <c r="S13" s="197"/>
      <c r="T13" s="197"/>
      <c r="U13" s="197"/>
      <c r="V13" s="197" t="s">
        <v>57</v>
      </c>
      <c r="Y13" s="197" t="s">
        <v>57</v>
      </c>
      <c r="Z13" s="53"/>
      <c r="AA13" s="106"/>
      <c r="AB13" s="197" t="s">
        <v>59</v>
      </c>
      <c r="AC13" s="197"/>
      <c r="AD13" s="197"/>
      <c r="AE13" s="197"/>
      <c r="AF13" s="106"/>
      <c r="AG13" s="197"/>
      <c r="AH13" s="197"/>
      <c r="AI13" s="311">
        <f t="shared" ref="AI13:AO13" si="11">COUNTIF($C13:$AB13,AI$4)</f>
        <v>4</v>
      </c>
      <c r="AJ13" s="312">
        <f t="shared" si="11"/>
        <v>2</v>
      </c>
      <c r="AK13" s="311">
        <f t="shared" si="11"/>
        <v>2</v>
      </c>
      <c r="AL13" s="313">
        <f t="shared" si="11"/>
        <v>0</v>
      </c>
      <c r="AM13" s="313">
        <f t="shared" si="11"/>
        <v>0</v>
      </c>
      <c r="AN13" s="313">
        <f t="shared" si="11"/>
        <v>0</v>
      </c>
      <c r="AO13" s="313">
        <f t="shared" si="11"/>
        <v>0</v>
      </c>
      <c r="AP13" s="238"/>
      <c r="AQ13" s="313">
        <f t="shared" si="2"/>
        <v>0</v>
      </c>
      <c r="AR13" s="238"/>
      <c r="AS13" s="238">
        <f t="shared" si="3"/>
        <v>0</v>
      </c>
      <c r="AT13" s="238"/>
      <c r="AU13" s="238">
        <f t="shared" si="6"/>
        <v>0</v>
      </c>
      <c r="AV13" s="238">
        <f t="shared" si="7"/>
        <v>8</v>
      </c>
      <c r="AW13" s="238">
        <f t="shared" si="8"/>
        <v>0</v>
      </c>
      <c r="AX13" s="238" t="e">
        <f t="shared" si="10"/>
        <v>#VALUE!</v>
      </c>
      <c r="AY13" s="313" t="e">
        <f>(BJ13*('Setting key Duty'!$I$8+'Setting key Duty'!$I$12))+(BH13*'Setting key Duty'!$I$9)+(BC13*('Setting key Duty'!$I$13+'Setting key Duty'!$I$9))+(BA13*('Setting key Duty'!$I$13+'Setting key Duty'!$I$12+'Setting key Duty'!$I$11))+(BE13*('Setting key Duty'!$I$8+'Setting key Duty'!$I$9+'Setting key Duty'!$I$12))</f>
        <v>#VALUE!</v>
      </c>
      <c r="AZ13" s="313">
        <f>COUNTIF(C13:AB13,"*BRT*")</f>
        <v>0</v>
      </c>
      <c r="BA13" s="313">
        <f t="shared" si="9"/>
        <v>0</v>
      </c>
      <c r="BB13" s="313" t="e">
        <f>BA13*('Setting key Duty'!$I$13+'Setting key Duty'!$I$12+'Setting key Duty'!$I$11)</f>
        <v>#VALUE!</v>
      </c>
      <c r="BC13" s="313">
        <f>COUNTIF(A13:AI13,"*$L*")</f>
        <v>0</v>
      </c>
      <c r="BD13" s="313" t="e">
        <f>BC13*('Setting key Duty'!$I$13+'Setting key Duty'!$I$9)</f>
        <v>#VALUE!</v>
      </c>
      <c r="BE13" s="313">
        <f>COUNTIF(A13:AI13,"*$M*")</f>
        <v>0</v>
      </c>
      <c r="BF13" s="313">
        <f>BE13*('Setting key Duty'!$I$8+'Setting key Duty'!$I$9+'Setting key Duty'!$I$12)</f>
        <v>0</v>
      </c>
      <c r="BG13" s="313">
        <f>COUNTIF(A13:AI13,"*$N*")</f>
        <v>0</v>
      </c>
      <c r="BH13" s="313">
        <f>COUNTIF(AI13,"*$PM*")</f>
        <v>0</v>
      </c>
      <c r="BI13" s="313">
        <f>BH13*('Setting key Duty'!$I$9)</f>
        <v>0</v>
      </c>
      <c r="BJ13" s="313">
        <f>COUNTIF(A13:AI13,"*$AM*")</f>
        <v>0</v>
      </c>
      <c r="BK13" s="313">
        <f>BJ13*('Setting key Duty'!$I$12+'Setting key Duty'!$I$8)</f>
        <v>0</v>
      </c>
      <c r="BL13" s="313">
        <f>COUNTIF(C13:AI13,"*$FC*")</f>
        <v>0</v>
      </c>
      <c r="BM13" s="313">
        <f>BL13*('Setting key Duty'!$J$11+'Setting key Duty'!$I$8)</f>
        <v>0</v>
      </c>
      <c r="BN13" s="313">
        <f>COUNTIF($C13:$AB13,BN$4)</f>
        <v>0</v>
      </c>
      <c r="BO13" s="313">
        <f>COUNTIF($C13:$AB13,BO$4)</f>
        <v>0</v>
      </c>
      <c r="BP13" s="313">
        <f>COUNTIF($C13:$AB13,BP$4)</f>
        <v>0</v>
      </c>
      <c r="BQ13" s="314"/>
    </row>
    <row r="14" ht="37.5" customHeight="1" spans="1:69">
      <c r="A14" s="309"/>
      <c r="B14" s="329" t="s">
        <v>224</v>
      </c>
      <c r="C14" s="197"/>
      <c r="D14" s="197" t="s">
        <v>59</v>
      </c>
      <c r="E14" s="197"/>
      <c r="G14" s="324" t="s">
        <v>73</v>
      </c>
      <c r="H14" s="324" t="s">
        <v>73</v>
      </c>
      <c r="I14" s="324" t="s">
        <v>73</v>
      </c>
      <c r="J14" s="197"/>
      <c r="K14" s="197"/>
      <c r="L14" s="4" t="s">
        <v>243</v>
      </c>
      <c r="N14" s="197" t="s">
        <v>88</v>
      </c>
      <c r="O14" s="197" t="s">
        <v>88</v>
      </c>
      <c r="P14" s="197" t="s">
        <v>88</v>
      </c>
      <c r="Q14" s="197"/>
      <c r="S14" s="197"/>
      <c r="U14" s="197"/>
      <c r="V14" s="197"/>
      <c r="W14" s="197"/>
      <c r="X14" s="197"/>
      <c r="Z14" s="197" t="s">
        <v>57</v>
      </c>
      <c r="AA14" s="197"/>
      <c r="AD14" s="197" t="s">
        <v>57</v>
      </c>
      <c r="AF14" s="197"/>
      <c r="AG14" s="197"/>
      <c r="AH14" s="197"/>
      <c r="AI14" s="311">
        <f t="shared" ref="AI14:AO14" si="12">COUNTIF($D14:$AC14,AI$4)</f>
        <v>1</v>
      </c>
      <c r="AJ14" s="312">
        <f t="shared" si="12"/>
        <v>0</v>
      </c>
      <c r="AK14" s="311">
        <f t="shared" si="12"/>
        <v>1</v>
      </c>
      <c r="AL14" s="313">
        <f t="shared" si="12"/>
        <v>0</v>
      </c>
      <c r="AM14" s="313">
        <f t="shared" si="12"/>
        <v>0</v>
      </c>
      <c r="AN14" s="313">
        <f t="shared" si="12"/>
        <v>0</v>
      </c>
      <c r="AO14" s="313">
        <f t="shared" si="12"/>
        <v>0</v>
      </c>
      <c r="AP14" s="238"/>
      <c r="AQ14" s="313">
        <f t="shared" si="2"/>
        <v>0</v>
      </c>
      <c r="AR14" s="238"/>
      <c r="AS14" s="238">
        <f t="shared" si="3"/>
        <v>0</v>
      </c>
      <c r="AT14" s="238"/>
      <c r="AU14" s="238">
        <f t="shared" si="6"/>
        <v>0</v>
      </c>
      <c r="AV14" s="238">
        <f t="shared" si="7"/>
        <v>2</v>
      </c>
      <c r="AW14" s="238">
        <f t="shared" si="8"/>
        <v>6</v>
      </c>
      <c r="AX14" s="238" t="e">
        <f t="shared" si="10"/>
        <v>#VALUE!</v>
      </c>
      <c r="AY14" s="313" t="e">
        <f>(BJ14*('Setting key Duty'!$I$8+'Setting key Duty'!$I$12))+(BH14*'Setting key Duty'!$I$9)+(BC14*('Setting key Duty'!$I$13+'Setting key Duty'!$I$9))+(BA14*('Setting key Duty'!$I$13+'Setting key Duty'!$I$12+'Setting key Duty'!$I$11))+(BE14*('Setting key Duty'!$I$8+'Setting key Duty'!$I$9+'Setting key Duty'!$I$12))</f>
        <v>#VALUE!</v>
      </c>
      <c r="AZ14" s="313">
        <f>COUNTIF(C14:AC14,"*BRT*")</f>
        <v>0</v>
      </c>
      <c r="BA14" s="313">
        <f t="shared" si="9"/>
        <v>0</v>
      </c>
      <c r="BB14" s="313" t="e">
        <f>BA14*('Setting key Duty'!$I$13+'Setting key Duty'!$I$12+'Setting key Duty'!$I$11)</f>
        <v>#VALUE!</v>
      </c>
      <c r="BC14" s="313">
        <f>COUNTIF(A14:AI14,"*$L*")</f>
        <v>0</v>
      </c>
      <c r="BD14" s="313" t="e">
        <f>BC14*('Setting key Duty'!$I$13+'Setting key Duty'!$I$9)</f>
        <v>#VALUE!</v>
      </c>
      <c r="BE14" s="313">
        <f>COUNTIF(A14:AI14,"*$M*")</f>
        <v>0</v>
      </c>
      <c r="BF14" s="313">
        <f>BE14*('Setting key Duty'!$I$8+'Setting key Duty'!$I$9+'Setting key Duty'!$I$12)</f>
        <v>0</v>
      </c>
      <c r="BG14" s="313">
        <f>COUNTIF(AI14,"*$N*")</f>
        <v>0</v>
      </c>
      <c r="BH14" s="313">
        <f>COUNTIF(AI14,"*$PM*")</f>
        <v>0</v>
      </c>
      <c r="BI14" s="313">
        <f>BH14*('Setting key Duty'!$I$9)</f>
        <v>0</v>
      </c>
      <c r="BJ14" s="313">
        <f>COUNTIF(A14:AI14,"*$AM*")</f>
        <v>0</v>
      </c>
      <c r="BK14" s="313">
        <f>BJ14*('Setting key Duty'!$I$12+'Setting key Duty'!$I$8)</f>
        <v>0</v>
      </c>
      <c r="BL14" s="313">
        <f>COUNTIF(C14:AI14,"*$FC*")</f>
        <v>6</v>
      </c>
      <c r="BM14" s="313">
        <f>BL14*('Setting key Duty'!$J$11+'Setting key Duty'!$I$8)</f>
        <v>0.75</v>
      </c>
      <c r="BN14" s="313">
        <f>COUNTIF($C14:$AC14,BN$4)</f>
        <v>0</v>
      </c>
      <c r="BO14" s="313">
        <f>COUNTIF($C14:$AC14,BO$4)</f>
        <v>0</v>
      </c>
      <c r="BP14" s="313">
        <f>COUNTIF($C14:$AC14,BP$4)</f>
        <v>0</v>
      </c>
      <c r="BQ14" s="314"/>
    </row>
    <row r="15" ht="19.5" customHeight="1" spans="1:69">
      <c r="A15" s="309"/>
      <c r="B15" s="315" t="s">
        <v>226</v>
      </c>
      <c r="D15" s="198" t="s">
        <v>57</v>
      </c>
      <c r="E15" s="197"/>
      <c r="F15" s="197" t="s">
        <v>57</v>
      </c>
      <c r="G15" s="197"/>
      <c r="H15" s="197" t="s">
        <v>229</v>
      </c>
      <c r="I15" s="197" t="s">
        <v>55</v>
      </c>
      <c r="J15" s="197" t="s">
        <v>278</v>
      </c>
      <c r="K15" s="197" t="s">
        <v>278</v>
      </c>
      <c r="L15" s="197" t="s">
        <v>55</v>
      </c>
      <c r="M15" s="197" t="s">
        <v>57</v>
      </c>
      <c r="N15" s="197" t="s">
        <v>158</v>
      </c>
      <c r="O15" s="317"/>
      <c r="Q15" s="197"/>
      <c r="R15" s="197" t="s">
        <v>58</v>
      </c>
      <c r="S15" s="197"/>
      <c r="T15" s="197"/>
      <c r="U15" s="106"/>
      <c r="V15" s="197"/>
      <c r="W15" s="197" t="s">
        <v>59</v>
      </c>
      <c r="X15" s="197"/>
      <c r="Y15" s="197"/>
      <c r="Z15" s="198" t="s">
        <v>56</v>
      </c>
      <c r="AA15" s="197" t="s">
        <v>80</v>
      </c>
      <c r="AC15" s="197"/>
      <c r="AD15" s="197"/>
      <c r="AE15" s="197"/>
      <c r="AF15" s="196"/>
      <c r="AG15" s="197"/>
      <c r="AH15" s="197"/>
      <c r="AI15" s="311">
        <f t="shared" ref="AI15:AO15" si="13">COUNTIF($D15:$AA15,AI$4)</f>
        <v>3</v>
      </c>
      <c r="AJ15" s="312">
        <f t="shared" si="13"/>
        <v>1</v>
      </c>
      <c r="AK15" s="311">
        <f t="shared" si="13"/>
        <v>1</v>
      </c>
      <c r="AL15" s="313">
        <f t="shared" si="13"/>
        <v>1</v>
      </c>
      <c r="AM15" s="313">
        <f t="shared" si="13"/>
        <v>0</v>
      </c>
      <c r="AN15" s="313">
        <f t="shared" si="13"/>
        <v>0</v>
      </c>
      <c r="AO15" s="313">
        <f t="shared" si="13"/>
        <v>0</v>
      </c>
      <c r="AP15" s="238"/>
      <c r="AQ15" s="313">
        <f t="shared" si="2"/>
        <v>0</v>
      </c>
      <c r="AR15" s="238"/>
      <c r="AS15" s="238">
        <f t="shared" si="3"/>
        <v>0</v>
      </c>
      <c r="AT15" s="238"/>
      <c r="AU15" s="238">
        <f t="shared" si="6"/>
        <v>0</v>
      </c>
      <c r="AV15" s="238">
        <f t="shared" si="7"/>
        <v>6</v>
      </c>
      <c r="AW15" s="238">
        <f t="shared" si="8"/>
        <v>0</v>
      </c>
      <c r="AX15" s="238" t="e">
        <f t="shared" si="10"/>
        <v>#VALUE!</v>
      </c>
      <c r="AY15" s="313" t="e">
        <f>(BJ15*('Setting key Duty'!$I$8+'Setting key Duty'!$I$12))+(BH15*'Setting key Duty'!$I$9)+(BC15*('Setting key Duty'!$I$13+'Setting key Duty'!$I$9))+(BA15*('Setting key Duty'!$I$13+'Setting key Duty'!$I$12+'Setting key Duty'!$I$11))+(BE15*('Setting key Duty'!$I$8+'Setting key Duty'!$I$9+'Setting key Duty'!$I$12))</f>
        <v>#VALUE!</v>
      </c>
      <c r="AZ15" s="313">
        <f>COUNTIF(D15:AA15,"*BRT*")</f>
        <v>0</v>
      </c>
      <c r="BA15" s="313">
        <f t="shared" si="9"/>
        <v>0</v>
      </c>
      <c r="BB15" s="313" t="e">
        <f>BA15*('Setting key Duty'!$I$13+'Setting key Duty'!$I$12+'Setting key Duty'!$I$11)</f>
        <v>#VALUE!</v>
      </c>
      <c r="BC15" s="313">
        <f>COUNTIF(A15:AI15,"*$L*")</f>
        <v>0</v>
      </c>
      <c r="BD15" s="313" t="e">
        <f>BC15*('Setting key Duty'!$I$13+'Setting key Duty'!$I$9)</f>
        <v>#VALUE!</v>
      </c>
      <c r="BE15" s="313">
        <f>COUNTIF(A15:AI15,"*$M*")</f>
        <v>0</v>
      </c>
      <c r="BF15" s="313">
        <f>BE15*('Setting key Duty'!$I$8+'Setting key Duty'!$I$9+'Setting key Duty'!$I$12)</f>
        <v>0</v>
      </c>
      <c r="BG15" s="313">
        <f>COUNTIF(A15:AI15,"*$N*")</f>
        <v>0</v>
      </c>
      <c r="BH15" s="313">
        <f>COUNTIF(AI15,"*$PM*")</f>
        <v>0</v>
      </c>
      <c r="BI15" s="313">
        <f>BH15*('Setting key Duty'!$I$9)</f>
        <v>0</v>
      </c>
      <c r="BJ15" s="313">
        <f>COUNTIF(A15:AI15,"*$AM*")</f>
        <v>0</v>
      </c>
      <c r="BK15" s="313">
        <f>BJ15*('Setting key Duty'!$I$12+'Setting key Duty'!$I$8)</f>
        <v>0</v>
      </c>
      <c r="BL15" s="313">
        <f>COUNTIF(D15:AI15,"*$FC*")</f>
        <v>0</v>
      </c>
      <c r="BM15" s="313">
        <f>BL15*('Setting key Duty'!$J$11+'Setting key Duty'!$I$8)</f>
        <v>0</v>
      </c>
      <c r="BN15" s="313">
        <f>COUNTIF($D15:$AA15,BN$4)</f>
        <v>0</v>
      </c>
      <c r="BO15" s="313">
        <f>COUNTIF($D15:$AA15,BO$4)</f>
        <v>0</v>
      </c>
      <c r="BP15" s="313">
        <f>COUNTIF($D15:$AA15,BP$4)</f>
        <v>2</v>
      </c>
      <c r="BQ15" s="314"/>
    </row>
    <row r="16" ht="19.5" customHeight="1" spans="1:69">
      <c r="A16" s="309"/>
      <c r="B16" s="334" t="s">
        <v>286</v>
      </c>
      <c r="C16" s="197" t="s">
        <v>56</v>
      </c>
      <c r="D16" s="197"/>
      <c r="E16" s="197"/>
      <c r="F16" s="324"/>
      <c r="G16" s="197" t="s">
        <v>57</v>
      </c>
      <c r="I16" s="197" t="s">
        <v>58</v>
      </c>
      <c r="K16" s="197" t="s">
        <v>59</v>
      </c>
      <c r="L16" s="317"/>
      <c r="M16" s="197"/>
      <c r="N16" s="197"/>
      <c r="P16" s="197" t="s">
        <v>56</v>
      </c>
      <c r="Q16" s="197"/>
      <c r="R16" s="197"/>
      <c r="S16" s="197"/>
      <c r="T16" s="197"/>
      <c r="U16" s="197" t="s">
        <v>287</v>
      </c>
      <c r="V16" s="197"/>
      <c r="W16" s="197"/>
      <c r="X16" s="197"/>
      <c r="Y16" s="197"/>
      <c r="Z16" s="197"/>
      <c r="AA16" s="197" t="s">
        <v>288</v>
      </c>
      <c r="AB16" s="106"/>
      <c r="AC16" s="197"/>
      <c r="AD16" s="197" t="s">
        <v>59</v>
      </c>
      <c r="AF16" s="197"/>
      <c r="AG16" s="197"/>
      <c r="AH16" s="197"/>
      <c r="AI16" s="311">
        <f t="shared" ref="AI16:AO16" si="14">COUNTIF($C16:$AF16,AI$4)</f>
        <v>1</v>
      </c>
      <c r="AJ16" s="312">
        <f t="shared" si="14"/>
        <v>2</v>
      </c>
      <c r="AK16" s="311">
        <f t="shared" si="14"/>
        <v>2</v>
      </c>
      <c r="AL16" s="313">
        <f t="shared" si="14"/>
        <v>1</v>
      </c>
      <c r="AM16" s="313">
        <f t="shared" si="14"/>
        <v>0</v>
      </c>
      <c r="AN16" s="313">
        <f t="shared" si="14"/>
        <v>0</v>
      </c>
      <c r="AO16" s="313">
        <f t="shared" si="14"/>
        <v>0</v>
      </c>
      <c r="AP16" s="238"/>
      <c r="AQ16" s="313">
        <f t="shared" si="2"/>
        <v>0</v>
      </c>
      <c r="AR16" s="238"/>
      <c r="AS16" s="238">
        <f t="shared" si="3"/>
        <v>0</v>
      </c>
      <c r="AT16" s="238"/>
      <c r="AU16" s="238">
        <f t="shared" si="6"/>
        <v>0</v>
      </c>
      <c r="AV16" s="238">
        <f t="shared" si="7"/>
        <v>6</v>
      </c>
      <c r="AW16" s="238">
        <f t="shared" si="8"/>
        <v>2</v>
      </c>
      <c r="AX16" s="238" t="e">
        <f t="shared" si="10"/>
        <v>#VALUE!</v>
      </c>
      <c r="AY16" s="313" t="e">
        <f>(BJ16*('Setting key Duty'!$I$8+'Setting key Duty'!$I$12))+(BH16*'Setting key Duty'!$I$9)+(BC16*('Setting key Duty'!$I$13+'Setting key Duty'!$I$9))+(BA16*('Setting key Duty'!$I$13+'Setting key Duty'!$I$12+'Setting key Duty'!$I$11))+(BE16*('Setting key Duty'!$I$8+'Setting key Duty'!$I$9+'Setting key Duty'!$I$12))</f>
        <v>#VALUE!</v>
      </c>
      <c r="AZ16" s="313">
        <f>COUNTIF(C16:AC16,"*BRT*")</f>
        <v>0</v>
      </c>
      <c r="BA16" s="313">
        <f t="shared" si="9"/>
        <v>0</v>
      </c>
      <c r="BB16" s="313" t="e">
        <f>BA16*('Setting key Duty'!$I$13+'Setting key Duty'!$I$12+'Setting key Duty'!$I$11)</f>
        <v>#VALUE!</v>
      </c>
      <c r="BC16" s="313">
        <f>COUNTIF(I16:AI16,"*$L*")</f>
        <v>0</v>
      </c>
      <c r="BD16" s="313" t="e">
        <f>BC16*('Setting key Duty'!$I$13+'Setting key Duty'!$I$9)</f>
        <v>#VALUE!</v>
      </c>
      <c r="BE16" s="313">
        <f>COUNTIF(I16:AI16,"*$M*")</f>
        <v>1</v>
      </c>
      <c r="BF16" s="313">
        <f>BE16*('Setting key Duty'!$I$8+'Setting key Duty'!$I$9+'Setting key Duty'!$I$12)</f>
        <v>0.5625</v>
      </c>
      <c r="BG16" s="313">
        <f>COUNTIF(I16:AI16,"*$N*")</f>
        <v>0</v>
      </c>
      <c r="BH16" s="313">
        <f>COUNTIF(I16:AI16,"*$PM*")</f>
        <v>0</v>
      </c>
      <c r="BI16" s="313">
        <f>BH16*('Setting key Duty'!$I$9)</f>
        <v>0</v>
      </c>
      <c r="BJ16" s="313">
        <f>COUNTIF(I16:AI16,"*$AM*")</f>
        <v>1</v>
      </c>
      <c r="BK16" s="313">
        <f>BJ16*('Setting key Duty'!$I$12+'Setting key Duty'!$I$8)</f>
        <v>0.4375</v>
      </c>
      <c r="BL16" s="313">
        <f>COUNTIF(C16:AI16,"*$FC*")</f>
        <v>0</v>
      </c>
      <c r="BM16" s="313">
        <f>BL16*('Setting key Duty'!$J$11+'Setting key Duty'!$I$8)</f>
        <v>0</v>
      </c>
      <c r="BN16" s="313">
        <f>COUNTIF($C16:$AF16,BN$4)</f>
        <v>0</v>
      </c>
      <c r="BO16" s="313">
        <f>COUNTIF($C16:$AF16,BO$4)</f>
        <v>0</v>
      </c>
      <c r="BP16" s="313">
        <f>COUNTIF($I16:$AE16,BP$4)</f>
        <v>0</v>
      </c>
      <c r="BQ16" s="314"/>
    </row>
    <row r="17" ht="19.5" customHeight="1" spans="1:69">
      <c r="A17" s="309"/>
      <c r="B17" s="329" t="s">
        <v>289</v>
      </c>
      <c r="C17" s="197"/>
      <c r="D17" s="197"/>
      <c r="E17" s="197"/>
      <c r="F17" s="197"/>
      <c r="G17" s="197"/>
      <c r="H17" s="197" t="s">
        <v>58</v>
      </c>
      <c r="I17" s="197"/>
      <c r="J17" s="197"/>
      <c r="L17" s="197"/>
      <c r="M17" s="386" t="s">
        <v>58</v>
      </c>
      <c r="O17" s="197" t="s">
        <v>290</v>
      </c>
      <c r="P17" s="197"/>
      <c r="Q17" s="317"/>
      <c r="S17" s="197"/>
      <c r="T17" s="197" t="s">
        <v>291</v>
      </c>
      <c r="U17" s="197"/>
      <c r="V17" s="197" t="s">
        <v>58</v>
      </c>
      <c r="W17" s="197"/>
      <c r="X17" s="197"/>
      <c r="Y17" s="197"/>
      <c r="Z17" s="384" t="s">
        <v>292</v>
      </c>
      <c r="AA17" s="197" t="s">
        <v>293</v>
      </c>
      <c r="AB17" s="197" t="s">
        <v>58</v>
      </c>
      <c r="AC17" s="197"/>
      <c r="AD17" s="197"/>
      <c r="AE17" s="197"/>
      <c r="AF17" s="197"/>
      <c r="AG17" s="197" t="s">
        <v>294</v>
      </c>
      <c r="AH17" s="317"/>
      <c r="AI17" s="311"/>
      <c r="AJ17" s="312"/>
      <c r="AK17" s="311"/>
      <c r="AL17" s="313"/>
      <c r="AM17" s="313"/>
      <c r="AN17" s="313"/>
      <c r="AO17" s="313"/>
      <c r="AP17" s="238"/>
      <c r="AQ17" s="313">
        <f t="shared" si="2"/>
        <v>0</v>
      </c>
      <c r="AR17" s="238"/>
      <c r="AS17" s="238">
        <f t="shared" si="3"/>
        <v>0</v>
      </c>
      <c r="AT17" s="238"/>
      <c r="AU17" s="238">
        <f t="shared" si="6"/>
        <v>0</v>
      </c>
      <c r="AV17" s="238">
        <f t="shared" si="7"/>
        <v>0</v>
      </c>
      <c r="AW17" s="238">
        <f t="shared" si="8"/>
        <v>4</v>
      </c>
      <c r="AX17" s="238" t="e">
        <f>AU17+$AY$10</f>
        <v>#VALUE!</v>
      </c>
      <c r="AY17" s="313" t="e">
        <f>(BJ17*('Setting key Duty'!$I$8+'Setting key Duty'!$I$12))+(BH17*'Setting key Duty'!$I$9)+(BC17*('Setting key Duty'!$I$13+'Setting key Duty'!$I$9))+(BA17*('Setting key Duty'!$I$13+'Setting key Duty'!$I$12+'Setting key Duty'!$I$11))+(BE17*('Setting key Duty'!$I$8+'Setting key Duty'!$I$9+'Setting key Duty'!$I$12))</f>
        <v>#VALUE!</v>
      </c>
      <c r="AZ17" s="313">
        <f>COUNTIF(D17:AA17,"*BRT*")</f>
        <v>0</v>
      </c>
      <c r="BA17" s="313">
        <f t="shared" si="9"/>
        <v>0</v>
      </c>
      <c r="BB17" s="313" t="e">
        <f>BA17*('Setting key Duty'!$I$13+'Setting key Duty'!$I$12+'Setting key Duty'!$I$11)</f>
        <v>#VALUE!</v>
      </c>
      <c r="BC17" s="313">
        <f t="shared" ref="BC17:BC24" si="15">COUNTIF(A17:AI17,"*$L*")</f>
        <v>0</v>
      </c>
      <c r="BD17" s="313" t="e">
        <f>BC17*('Setting key Duty'!$I$13+'Setting key Duty'!$I$9)</f>
        <v>#VALUE!</v>
      </c>
      <c r="BE17" s="313">
        <f t="shared" ref="BE17:BE24" si="16">COUNTIF(A17:AI17,"*$M*")</f>
        <v>3</v>
      </c>
      <c r="BF17" s="313">
        <f>BE17*('Setting key Duty'!$I$8+'Setting key Duty'!$I$9+'Setting key Duty'!$I$12)</f>
        <v>1.6875</v>
      </c>
      <c r="BG17" s="313">
        <f>COUNTIF(AI17,"*$N*")</f>
        <v>0</v>
      </c>
      <c r="BH17" s="313">
        <f>COUNTIF(AI17,"*$PM*")</f>
        <v>0</v>
      </c>
      <c r="BI17" s="313">
        <f>BH17*('Setting key Duty'!$I$9)</f>
        <v>0</v>
      </c>
      <c r="BJ17" s="313">
        <f t="shared" ref="BJ17:BJ24" si="17">COUNTIF(A17:AI17,"*$AM*")</f>
        <v>1</v>
      </c>
      <c r="BK17" s="313">
        <f>BJ17*('Setting key Duty'!$I$12+'Setting key Duty'!$I$8)</f>
        <v>0.4375</v>
      </c>
      <c r="BL17" s="313">
        <f>COUNTIF(D17:AI17,"*$FC*")</f>
        <v>0</v>
      </c>
      <c r="BM17" s="313">
        <f>BL17*('Setting key Duty'!$J$11+'Setting key Duty'!$I$8)</f>
        <v>0</v>
      </c>
      <c r="BN17" s="313">
        <f>COUNTIF($D17:$AA17,BN$4)</f>
        <v>0</v>
      </c>
      <c r="BO17" s="313">
        <f>COUNTIF($D17:$AA17,BO$4)</f>
        <v>0</v>
      </c>
      <c r="BP17" s="313">
        <f>COUNTIF($D17:$AA17,BP$4)</f>
        <v>0</v>
      </c>
      <c r="BQ17" s="314"/>
    </row>
    <row r="18" ht="19.5" customHeight="1" spans="1:69">
      <c r="A18" s="309"/>
      <c r="B18" s="373" t="s">
        <v>121</v>
      </c>
      <c r="C18" s="197"/>
      <c r="D18" s="197"/>
      <c r="E18" s="197" t="s">
        <v>176</v>
      </c>
      <c r="F18" s="197" t="s">
        <v>176</v>
      </c>
      <c r="G18" s="197" t="s">
        <v>176</v>
      </c>
      <c r="H18" s="197" t="s">
        <v>176</v>
      </c>
      <c r="I18" s="197" t="s">
        <v>176</v>
      </c>
      <c r="K18" s="317" t="s">
        <v>58</v>
      </c>
      <c r="M18" s="197" t="s">
        <v>249</v>
      </c>
      <c r="O18" s="197" t="s">
        <v>295</v>
      </c>
      <c r="P18" s="197" t="s">
        <v>296</v>
      </c>
      <c r="Q18" s="197"/>
      <c r="R18" s="197"/>
      <c r="S18" s="197"/>
      <c r="T18" s="197" t="s">
        <v>297</v>
      </c>
      <c r="V18" s="197"/>
      <c r="W18" s="197" t="s">
        <v>65</v>
      </c>
      <c r="X18" s="197"/>
      <c r="Y18" s="1" t="s">
        <v>298</v>
      </c>
      <c r="Z18" s="384" t="s">
        <v>292</v>
      </c>
      <c r="AA18" s="198" t="s">
        <v>299</v>
      </c>
      <c r="AB18" s="197"/>
      <c r="AC18" s="197" t="s">
        <v>58</v>
      </c>
      <c r="AD18" s="197"/>
      <c r="AE18" s="197"/>
      <c r="AF18" s="198"/>
      <c r="AG18" s="197"/>
      <c r="AH18" s="197"/>
      <c r="AI18" s="311"/>
      <c r="AJ18" s="312"/>
      <c r="AK18" s="311"/>
      <c r="AL18" s="313"/>
      <c r="AM18" s="313"/>
      <c r="AN18" s="313"/>
      <c r="AO18" s="313"/>
      <c r="AP18" s="238"/>
      <c r="AQ18" s="313">
        <f t="shared" si="2"/>
        <v>0</v>
      </c>
      <c r="AR18" s="238"/>
      <c r="AS18" s="238">
        <f t="shared" si="3"/>
        <v>0</v>
      </c>
      <c r="AT18" s="238"/>
      <c r="AU18" s="238">
        <f t="shared" si="6"/>
        <v>0</v>
      </c>
      <c r="AV18" s="238">
        <f t="shared" si="7"/>
        <v>0</v>
      </c>
      <c r="AW18" s="238">
        <f t="shared" si="8"/>
        <v>3</v>
      </c>
      <c r="AX18" s="238" t="e">
        <f>AU18+$AY$10</f>
        <v>#VALUE!</v>
      </c>
      <c r="AY18" s="313" t="e">
        <f>(BJ18*('Setting key Duty'!$I$8+'Setting key Duty'!$I$12))+(BH18*'Setting key Duty'!$I$9)+(BC18*('Setting key Duty'!$I$13+'Setting key Duty'!$I$9))+(BA18*('Setting key Duty'!$I$13+'Setting key Duty'!$I$12+'Setting key Duty'!$I$11))+(BE18*('Setting key Duty'!$I$8+'Setting key Duty'!$I$9+'Setting key Duty'!$I$12))</f>
        <v>#VALUE!</v>
      </c>
      <c r="AZ18" s="313">
        <f>COUNTIF(D18:AA18,"*BRT*")</f>
        <v>0</v>
      </c>
      <c r="BA18" s="313">
        <f t="shared" si="9"/>
        <v>0</v>
      </c>
      <c r="BB18" s="313" t="e">
        <f>BA18*('Setting key Duty'!$I$13+'Setting key Duty'!$I$12+'Setting key Duty'!$I$11)</f>
        <v>#VALUE!</v>
      </c>
      <c r="BC18" s="313">
        <f t="shared" si="15"/>
        <v>0</v>
      </c>
      <c r="BD18" s="313" t="e">
        <f>BC18*('Setting key Duty'!$I$13+'Setting key Duty'!$I$9)</f>
        <v>#VALUE!</v>
      </c>
      <c r="BE18" s="313">
        <f t="shared" si="16"/>
        <v>2</v>
      </c>
      <c r="BF18" s="313">
        <f>BE18*('Setting key Duty'!$I$8+'Setting key Duty'!$I$9+'Setting key Duty'!$I$12)</f>
        <v>1.125</v>
      </c>
      <c r="BG18" s="313">
        <f>COUNTIF(AI18,"*$N*")</f>
        <v>0</v>
      </c>
      <c r="BH18" s="313">
        <f>COUNTIF(AI18,"*$PM*")</f>
        <v>0</v>
      </c>
      <c r="BI18" s="313">
        <f>BH18*('Setting key Duty'!$I$9)</f>
        <v>0</v>
      </c>
      <c r="BJ18" s="313">
        <f t="shared" si="17"/>
        <v>1</v>
      </c>
      <c r="BK18" s="313">
        <f>BJ18*('Setting key Duty'!$I$12+'Setting key Duty'!$I$8)</f>
        <v>0.4375</v>
      </c>
      <c r="BL18" s="313">
        <f>COUNTIF(D18:AI18,"*$FC*")</f>
        <v>0</v>
      </c>
      <c r="BM18" s="313">
        <f>BL18*('Setting key Duty'!$J$11+'Setting key Duty'!$I$8)</f>
        <v>0</v>
      </c>
      <c r="BN18" s="313">
        <f>COUNTIF($D18:$AA18,BN$4)</f>
        <v>0</v>
      </c>
      <c r="BO18" s="313">
        <f>COUNTIF($D18:$AA18,BO$4)</f>
        <v>0</v>
      </c>
      <c r="BP18" s="313">
        <f>COUNTIF($D18:$AA18,BP$4)</f>
        <v>0</v>
      </c>
      <c r="BQ18" s="314"/>
    </row>
    <row r="19" ht="26.25" customHeight="1" spans="1:69">
      <c r="A19" s="309"/>
      <c r="B19" s="333" t="s">
        <v>300</v>
      </c>
      <c r="C19" s="197"/>
      <c r="D19" s="197"/>
      <c r="E19" s="197"/>
      <c r="F19" s="197" t="s">
        <v>56</v>
      </c>
      <c r="G19" s="197"/>
      <c r="H19" s="317" t="s">
        <v>56</v>
      </c>
      <c r="I19" s="197"/>
      <c r="J19" s="197"/>
      <c r="K19" s="198" t="s">
        <v>56</v>
      </c>
      <c r="L19" s="197"/>
      <c r="N19" s="197" t="s">
        <v>58</v>
      </c>
      <c r="O19" s="197"/>
      <c r="P19" s="197" t="s">
        <v>57</v>
      </c>
      <c r="Q19" s="197"/>
      <c r="R19" s="197"/>
      <c r="T19" s="197" t="s">
        <v>59</v>
      </c>
      <c r="V19" s="197"/>
      <c r="W19" s="197"/>
      <c r="X19" s="197"/>
      <c r="Y19" s="197"/>
      <c r="Z19" s="197" t="s">
        <v>59</v>
      </c>
      <c r="AC19" s="197" t="s">
        <v>56</v>
      </c>
      <c r="AD19" s="197"/>
      <c r="AE19" s="197"/>
      <c r="AF19" s="197"/>
      <c r="AG19" s="197"/>
      <c r="AH19" s="197"/>
      <c r="AI19" s="311"/>
      <c r="AJ19" s="312"/>
      <c r="AK19" s="311"/>
      <c r="AL19" s="313"/>
      <c r="AM19" s="313"/>
      <c r="AN19" s="313"/>
      <c r="AO19" s="313"/>
      <c r="AP19" s="238"/>
      <c r="AQ19" s="313">
        <f t="shared" si="2"/>
        <v>0</v>
      </c>
      <c r="AR19" s="238"/>
      <c r="AS19" s="238">
        <f t="shared" si="3"/>
        <v>0</v>
      </c>
      <c r="AT19" s="238"/>
      <c r="AU19" s="238">
        <f t="shared" si="6"/>
        <v>0</v>
      </c>
      <c r="AV19" s="238">
        <f t="shared" si="7"/>
        <v>0</v>
      </c>
      <c r="AW19" s="238">
        <f t="shared" si="8"/>
        <v>0</v>
      </c>
      <c r="AX19" s="238" t="e">
        <f>AU19+AY19</f>
        <v>#VALUE!</v>
      </c>
      <c r="AY19" s="313" t="e">
        <f>(BJ19*('Setting key Duty'!$I$8+'Setting key Duty'!$I$12))+(BH19*'Setting key Duty'!$I$9)+(BC19*('Setting key Duty'!$I$13+'Setting key Duty'!$I$9))+(BA19*('Setting key Duty'!$I$13+'Setting key Duty'!$I$12+'Setting key Duty'!$I$11))+(BE19*('Setting key Duty'!$I$8+'Setting key Duty'!$I$9+'Setting key Duty'!$I$12))</f>
        <v>#VALUE!</v>
      </c>
      <c r="AZ19" s="313">
        <f>COUNTIF(E19:AA19,"*BRT*")</f>
        <v>0</v>
      </c>
      <c r="BA19" s="313">
        <f t="shared" si="9"/>
        <v>0</v>
      </c>
      <c r="BB19" s="313" t="e">
        <f>BA19*('Setting key Duty'!$I$13+'Setting key Duty'!$I$12+'Setting key Duty'!$I$11)</f>
        <v>#VALUE!</v>
      </c>
      <c r="BC19" s="313">
        <f t="shared" si="15"/>
        <v>0</v>
      </c>
      <c r="BD19" s="313" t="e">
        <f>BC19*('Setting key Duty'!$I$13+'Setting key Duty'!$I$9)</f>
        <v>#VALUE!</v>
      </c>
      <c r="BE19" s="313">
        <f t="shared" si="16"/>
        <v>0</v>
      </c>
      <c r="BF19" s="313">
        <f>BE19*('Setting key Duty'!$I$8+'Setting key Duty'!$I$9+'Setting key Duty'!$I$12)</f>
        <v>0</v>
      </c>
      <c r="BG19" s="313">
        <f>COUNTIF(AG19:AI19,"*$N*")</f>
        <v>0</v>
      </c>
      <c r="BH19" s="313">
        <f>COUNTIF(AG19:AI19,"*$PM*")</f>
        <v>0</v>
      </c>
      <c r="BI19" s="313">
        <f>BH19*('Setting key Duty'!$I$9)</f>
        <v>0</v>
      </c>
      <c r="BJ19" s="313">
        <f t="shared" si="17"/>
        <v>0</v>
      </c>
      <c r="BK19" s="313">
        <f>BJ19*('Setting key Duty'!$I$12+'Setting key Duty'!$I$8)</f>
        <v>0</v>
      </c>
      <c r="BL19" s="313">
        <f>COUNTIF(E19:AI19,"*$FC*")</f>
        <v>0</v>
      </c>
      <c r="BM19" s="313">
        <f>BL19*('Setting key Duty'!$J$11+'Setting key Duty'!$I$8)</f>
        <v>0</v>
      </c>
      <c r="BN19" s="313">
        <f>COUNTIF($E19:$AA19,BN$4)</f>
        <v>0</v>
      </c>
      <c r="BO19" s="313">
        <f>COUNTIF($E19:$AA19,BO$4)</f>
        <v>0</v>
      </c>
      <c r="BP19" s="313">
        <f>COUNTIF($E19:$AA19,BP$4)</f>
        <v>0</v>
      </c>
      <c r="BQ19" s="314"/>
    </row>
    <row r="20" ht="19.5" customHeight="1" spans="1:69">
      <c r="A20" s="309"/>
      <c r="B20" s="390" t="s">
        <v>82</v>
      </c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 t="s">
        <v>301</v>
      </c>
      <c r="Q20" s="106"/>
      <c r="R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311"/>
      <c r="AJ20" s="312"/>
      <c r="AK20" s="311"/>
      <c r="AL20" s="313"/>
      <c r="AM20" s="313"/>
      <c r="AN20" s="313"/>
      <c r="AO20" s="313"/>
      <c r="AP20" s="238"/>
      <c r="AQ20" s="313">
        <f t="shared" si="2"/>
        <v>0</v>
      </c>
      <c r="AR20" s="238"/>
      <c r="AS20" s="238">
        <f t="shared" si="3"/>
        <v>0</v>
      </c>
      <c r="AT20" s="238"/>
      <c r="AU20" s="238">
        <f t="shared" si="6"/>
        <v>0</v>
      </c>
      <c r="AV20" s="238">
        <f t="shared" si="7"/>
        <v>0</v>
      </c>
      <c r="AW20" s="238">
        <f t="shared" si="8"/>
        <v>0</v>
      </c>
      <c r="AX20" s="238" t="e">
        <f>AU20+AY20</f>
        <v>#VALUE!</v>
      </c>
      <c r="AY20" s="313" t="e">
        <f>(BJ20*('Setting key Duty'!$I$8+'Setting key Duty'!$I$12))+(BH20*'Setting key Duty'!$I$9)+(BC20*('Setting key Duty'!$I$13+'Setting key Duty'!$I$9))+(BA20*('Setting key Duty'!$I$13+'Setting key Duty'!$I$12+'Setting key Duty'!$I$11))+(BE20*('Setting key Duty'!$I$8+'Setting key Duty'!$I$9+'Setting key Duty'!$I$12))</f>
        <v>#VALUE!</v>
      </c>
      <c r="AZ20" s="313">
        <f>COUNTIF(C20:AC20,"*BRT*")</f>
        <v>0</v>
      </c>
      <c r="BA20" s="313">
        <f t="shared" si="9"/>
        <v>0</v>
      </c>
      <c r="BB20" s="313" t="e">
        <f>BA20*('Setting key Duty'!$I$13+'Setting key Duty'!$I$12+'Setting key Duty'!$I$11)</f>
        <v>#VALUE!</v>
      </c>
      <c r="BC20" s="313">
        <f t="shared" si="15"/>
        <v>0</v>
      </c>
      <c r="BD20" s="313" t="e">
        <f>BC20*('Setting key Duty'!$I$13+'Setting key Duty'!$I$9)</f>
        <v>#VALUE!</v>
      </c>
      <c r="BE20" s="313">
        <f t="shared" si="16"/>
        <v>0</v>
      </c>
      <c r="BF20" s="313">
        <f>BE20*('Setting key Duty'!$I$8+'Setting key Duty'!$I$9+'Setting key Duty'!$I$12)</f>
        <v>0</v>
      </c>
      <c r="BG20" s="313">
        <f>COUNTIF(AI20,"*$N*")</f>
        <v>0</v>
      </c>
      <c r="BH20" s="313">
        <f>COUNTIF(AI20,"*$PM*")</f>
        <v>0</v>
      </c>
      <c r="BI20" s="313">
        <f>BH20*('Setting key Duty'!$I$9)</f>
        <v>0</v>
      </c>
      <c r="BJ20" s="313">
        <f t="shared" si="17"/>
        <v>0</v>
      </c>
      <c r="BK20" s="313">
        <f>BJ20*('Setting key Duty'!$I$12+'Setting key Duty'!$I$8)</f>
        <v>0</v>
      </c>
      <c r="BL20" s="313">
        <f>COUNTIF(C20:AI20,"*$FC*")</f>
        <v>0</v>
      </c>
      <c r="BM20" s="313">
        <f>BL20*('Setting key Duty'!$J$11+'Setting key Duty'!$I$8)</f>
        <v>0</v>
      </c>
      <c r="BN20" s="313">
        <f>COUNTIF($C20:$AC20,BN$4)</f>
        <v>0</v>
      </c>
      <c r="BO20" s="313">
        <f>COUNTIF($C20:$AC20,BO$4)</f>
        <v>0</v>
      </c>
      <c r="BP20" s="313">
        <f>COUNTIF($C20:$AC20,BP$4)</f>
        <v>0</v>
      </c>
      <c r="BQ20" s="314"/>
    </row>
    <row r="21" ht="19.5" customHeight="1" spans="1:69">
      <c r="A21" s="309"/>
      <c r="B21" s="329" t="s">
        <v>83</v>
      </c>
      <c r="C21" s="197"/>
      <c r="D21" s="197"/>
      <c r="E21" s="317" t="s">
        <v>57</v>
      </c>
      <c r="F21" s="197"/>
      <c r="G21" s="317" t="s">
        <v>58</v>
      </c>
      <c r="H21" s="197"/>
      <c r="I21" s="317" t="s">
        <v>59</v>
      </c>
      <c r="J21" s="197"/>
      <c r="K21" s="197"/>
      <c r="L21" s="197" t="s">
        <v>59</v>
      </c>
      <c r="M21" s="197"/>
      <c r="N21" s="197" t="s">
        <v>57</v>
      </c>
      <c r="O21" s="197"/>
      <c r="P21" s="197" t="s">
        <v>69</v>
      </c>
      <c r="Q21" s="197" t="s">
        <v>59</v>
      </c>
      <c r="S21" s="197" t="s">
        <v>59</v>
      </c>
      <c r="U21" s="197"/>
      <c r="V21" s="197" t="s">
        <v>59</v>
      </c>
      <c r="W21" s="197"/>
      <c r="X21" s="197"/>
      <c r="Y21" s="197"/>
      <c r="Z21" s="197"/>
      <c r="AA21" s="197"/>
      <c r="AB21" s="197" t="s">
        <v>56</v>
      </c>
      <c r="AC21" s="197"/>
      <c r="AD21" s="197"/>
      <c r="AE21" s="197"/>
      <c r="AF21" s="197"/>
      <c r="AG21" s="197"/>
      <c r="AH21" s="197"/>
      <c r="AI21" s="311"/>
      <c r="AJ21" s="312"/>
      <c r="AK21" s="311"/>
      <c r="AL21" s="313"/>
      <c r="AM21" s="313"/>
      <c r="AN21" s="313"/>
      <c r="AO21" s="313"/>
      <c r="AP21" s="238"/>
      <c r="AQ21" s="313">
        <f t="shared" si="2"/>
        <v>0</v>
      </c>
      <c r="AR21" s="238"/>
      <c r="AS21" s="238">
        <f t="shared" si="3"/>
        <v>0</v>
      </c>
      <c r="AT21" s="238"/>
      <c r="AU21" s="238">
        <f t="shared" si="6"/>
        <v>0</v>
      </c>
      <c r="AV21" s="238">
        <f t="shared" si="7"/>
        <v>0</v>
      </c>
      <c r="AW21" s="238">
        <f t="shared" si="8"/>
        <v>0</v>
      </c>
      <c r="AX21" s="238" t="e">
        <f>AU21+AY21</f>
        <v>#VALUE!</v>
      </c>
      <c r="AY21" s="313" t="e">
        <f>(BJ21*('Setting key Duty'!$I$8+'Setting key Duty'!$I$12))+(BH21*'Setting key Duty'!$I$9)+(BC21*('Setting key Duty'!$I$13+'Setting key Duty'!$I$9))+(BA21*('Setting key Duty'!$I$13+'Setting key Duty'!$I$12+'Setting key Duty'!$I$11))+(BE21*('Setting key Duty'!$I$8+'Setting key Duty'!$I$9+'Setting key Duty'!$I$12))</f>
        <v>#VALUE!</v>
      </c>
      <c r="AZ21" s="313">
        <f>COUNTIF(D21:AC21,"*BRT*")</f>
        <v>0</v>
      </c>
      <c r="BA21" s="313">
        <f t="shared" si="9"/>
        <v>0</v>
      </c>
      <c r="BB21" s="313" t="e">
        <f>BA21*('Setting key Duty'!$I$13+'Setting key Duty'!$I$12+'Setting key Duty'!$I$11)</f>
        <v>#VALUE!</v>
      </c>
      <c r="BC21" s="313">
        <f t="shared" si="15"/>
        <v>0</v>
      </c>
      <c r="BD21" s="313" t="e">
        <f>BC21*('Setting key Duty'!$I$13+'Setting key Duty'!$I$9)</f>
        <v>#VALUE!</v>
      </c>
      <c r="BE21" s="313">
        <f t="shared" si="16"/>
        <v>0</v>
      </c>
      <c r="BF21" s="313">
        <f>BE21*('Setting key Duty'!$I$8+'Setting key Duty'!$I$9+'Setting key Duty'!$I$12)</f>
        <v>0</v>
      </c>
      <c r="BG21" s="313">
        <f>COUNTIF(AF21:AI21,"*$N*")</f>
        <v>0</v>
      </c>
      <c r="BH21" s="313">
        <f>COUNTIF(AF21:AI21,"*$PM*")</f>
        <v>0</v>
      </c>
      <c r="BI21" s="313">
        <f>BH21*('Setting key Duty'!$I$9)</f>
        <v>0</v>
      </c>
      <c r="BJ21" s="313">
        <f t="shared" si="17"/>
        <v>0</v>
      </c>
      <c r="BK21" s="313">
        <f>BJ21*('Setting key Duty'!$I$12+'Setting key Duty'!$I$8)</f>
        <v>0</v>
      </c>
      <c r="BL21" s="313">
        <f>COUNTIF(D21:AI21,"*$FC*")</f>
        <v>0</v>
      </c>
      <c r="BM21" s="313">
        <f>BL21*('Setting key Duty'!$J$11+'Setting key Duty'!$I$8)</f>
        <v>0</v>
      </c>
      <c r="BN21" s="313">
        <f>COUNTIF($D21:$AE21,BN$4)</f>
        <v>0</v>
      </c>
      <c r="BO21" s="313">
        <f>COUNTIF($D21:$AE21,BO$4)</f>
        <v>0</v>
      </c>
      <c r="BP21" s="313">
        <f>COUNTIF($D21:$AE21,BP$4)</f>
        <v>0</v>
      </c>
      <c r="BQ21" s="314"/>
    </row>
    <row r="22" ht="30.75" customHeight="1" spans="1:69">
      <c r="A22" s="309"/>
      <c r="B22" s="315" t="s">
        <v>302</v>
      </c>
      <c r="C22" s="317"/>
      <c r="D22" s="317"/>
      <c r="E22" s="317" t="s">
        <v>58</v>
      </c>
      <c r="F22" s="197"/>
      <c r="G22" s="198" t="s">
        <v>303</v>
      </c>
      <c r="H22" s="197" t="s">
        <v>106</v>
      </c>
      <c r="J22" s="317" t="s">
        <v>56</v>
      </c>
      <c r="K22" s="197"/>
      <c r="L22" s="197" t="s">
        <v>71</v>
      </c>
      <c r="M22" s="197" t="s">
        <v>71</v>
      </c>
      <c r="N22" s="197" t="s">
        <v>71</v>
      </c>
      <c r="O22" s="317" t="s">
        <v>59</v>
      </c>
      <c r="P22" s="197"/>
      <c r="Q22" s="197"/>
      <c r="R22" s="197"/>
      <c r="S22" s="197" t="s">
        <v>304</v>
      </c>
      <c r="U22" s="197"/>
      <c r="V22" s="197"/>
      <c r="W22" s="197"/>
      <c r="X22" s="197" t="s">
        <v>58</v>
      </c>
      <c r="Y22" s="197"/>
      <c r="AA22" s="197"/>
      <c r="AB22" s="197" t="s">
        <v>305</v>
      </c>
      <c r="AD22" s="197" t="s">
        <v>65</v>
      </c>
      <c r="AE22" s="197"/>
      <c r="AF22" s="197"/>
      <c r="AG22" s="106"/>
      <c r="AH22" s="106"/>
      <c r="AI22" s="311"/>
      <c r="AJ22" s="312"/>
      <c r="AK22" s="311"/>
      <c r="AL22" s="313"/>
      <c r="AM22" s="313"/>
      <c r="AN22" s="313"/>
      <c r="AO22" s="313"/>
      <c r="AP22" s="238"/>
      <c r="AQ22" s="313">
        <f t="shared" si="2"/>
        <v>0</v>
      </c>
      <c r="AR22" s="238"/>
      <c r="AS22" s="238">
        <f t="shared" si="3"/>
        <v>0</v>
      </c>
      <c r="AT22" s="238"/>
      <c r="AU22" s="238">
        <f t="shared" si="6"/>
        <v>0</v>
      </c>
      <c r="AV22" s="238">
        <f t="shared" si="7"/>
        <v>0</v>
      </c>
      <c r="AW22" s="238">
        <f t="shared" si="8"/>
        <v>4</v>
      </c>
      <c r="AX22" s="238" t="e">
        <f>AU22+$AY$10</f>
        <v>#VALUE!</v>
      </c>
      <c r="AY22" s="313" t="e">
        <f>(BJ22*('Setting key Duty'!$I$8+'Setting key Duty'!$I$12))+(BH22*'Setting key Duty'!$I$9)+(BC22*('Setting key Duty'!$I$13+'Setting key Duty'!$I$9))+(BA22*('Setting key Duty'!$I$13+'Setting key Duty'!$I$12+'Setting key Duty'!$I$11))+(BE22*('Setting key Duty'!$I$8+'Setting key Duty'!$I$9+'Setting key Duty'!$I$12))</f>
        <v>#VALUE!</v>
      </c>
      <c r="AZ22" s="313">
        <f>COUNTIF(D22:AA22,"*BRT*")</f>
        <v>0</v>
      </c>
      <c r="BA22" s="313">
        <f t="shared" si="9"/>
        <v>0</v>
      </c>
      <c r="BB22" s="313" t="e">
        <f>BA22*('Setting key Duty'!$I$13+'Setting key Duty'!$I$12+'Setting key Duty'!$I$11)</f>
        <v>#VALUE!</v>
      </c>
      <c r="BC22" s="313">
        <f t="shared" si="15"/>
        <v>0</v>
      </c>
      <c r="BD22" s="313" t="e">
        <f>BC22*('Setting key Duty'!$I$13+'Setting key Duty'!$I$9)</f>
        <v>#VALUE!</v>
      </c>
      <c r="BE22" s="313">
        <f t="shared" si="16"/>
        <v>3</v>
      </c>
      <c r="BF22" s="313">
        <f>BE22*('Setting key Duty'!$I$8+'Setting key Duty'!$I$9+'Setting key Duty'!$I$12)</f>
        <v>1.6875</v>
      </c>
      <c r="BG22" s="313">
        <f>COUNTIF(AI22,"*$N*")</f>
        <v>0</v>
      </c>
      <c r="BH22" s="313">
        <f>COUNTIF(AI22,"*$PM*")</f>
        <v>0</v>
      </c>
      <c r="BI22" s="313">
        <f>BH22*('Setting key Duty'!$I$9)</f>
        <v>0</v>
      </c>
      <c r="BJ22" s="313">
        <f t="shared" si="17"/>
        <v>1</v>
      </c>
      <c r="BK22" s="313">
        <f>BJ22*('Setting key Duty'!$I$12+'Setting key Duty'!$I$8)</f>
        <v>0.4375</v>
      </c>
      <c r="BL22" s="313">
        <f>COUNTIF(D22:AI22,"*$FC*")</f>
        <v>0</v>
      </c>
      <c r="BM22" s="313">
        <f>BL22*('Setting key Duty'!$J$11+'Setting key Duty'!$I$8)</f>
        <v>0</v>
      </c>
      <c r="BN22" s="313">
        <f>COUNTIF($D22:$AA22,BN$4)</f>
        <v>0</v>
      </c>
      <c r="BO22" s="313">
        <f>COUNTIF($D22:$AA22,BO$4)</f>
        <v>0</v>
      </c>
      <c r="BP22" s="313">
        <f>COUNTIF($D22:$AA22,BP$4)</f>
        <v>0</v>
      </c>
      <c r="BQ22" s="314"/>
    </row>
    <row r="23" ht="27.75" customHeight="1" spans="1:69">
      <c r="A23" s="309"/>
      <c r="B23" s="315" t="s">
        <v>306</v>
      </c>
      <c r="C23" s="349" t="s">
        <v>65</v>
      </c>
      <c r="D23" s="197" t="s">
        <v>111</v>
      </c>
      <c r="E23" s="106"/>
      <c r="F23" s="198" t="s">
        <v>307</v>
      </c>
      <c r="H23" s="197"/>
      <c r="I23" s="197" t="s">
        <v>308</v>
      </c>
      <c r="N23" s="197" t="s">
        <v>309</v>
      </c>
      <c r="O23" s="198" t="s">
        <v>281</v>
      </c>
      <c r="Q23" s="197"/>
      <c r="R23" s="197" t="s">
        <v>249</v>
      </c>
      <c r="T23" s="197" t="s">
        <v>310</v>
      </c>
      <c r="V23" s="197"/>
      <c r="W23" s="197" t="s">
        <v>56</v>
      </c>
      <c r="X23" s="197"/>
      <c r="Y23" s="197"/>
      <c r="Z23" s="197" t="s">
        <v>311</v>
      </c>
      <c r="AA23" s="317"/>
      <c r="AB23" s="197"/>
      <c r="AC23" s="197"/>
      <c r="AD23" s="197"/>
      <c r="AE23" s="197" t="s">
        <v>59</v>
      </c>
      <c r="AG23" s="317"/>
      <c r="AH23" s="317"/>
      <c r="AI23" s="311"/>
      <c r="AJ23" s="312"/>
      <c r="AK23" s="311"/>
      <c r="AL23" s="313"/>
      <c r="AM23" s="313"/>
      <c r="AN23" s="313"/>
      <c r="AO23" s="313"/>
      <c r="AP23" s="238"/>
      <c r="AQ23" s="313">
        <f t="shared" si="2"/>
        <v>0</v>
      </c>
      <c r="AR23" s="238"/>
      <c r="AS23" s="238">
        <f t="shared" si="3"/>
        <v>0</v>
      </c>
      <c r="AT23" s="238"/>
      <c r="AU23" s="238">
        <f t="shared" si="6"/>
        <v>0</v>
      </c>
      <c r="AV23" s="238">
        <f t="shared" si="7"/>
        <v>0</v>
      </c>
      <c r="AW23" s="238">
        <f t="shared" si="8"/>
        <v>7</v>
      </c>
      <c r="AX23" s="238" t="e">
        <f>AU23+$AY$10</f>
        <v>#VALUE!</v>
      </c>
      <c r="AY23" s="313" t="e">
        <f>(BJ23*('Setting key Duty'!$I$8+'Setting key Duty'!$I$12))+(BH23*'Setting key Duty'!$I$9)+(BC23*('Setting key Duty'!$I$13+'Setting key Duty'!$I$9))+(BA23*('Setting key Duty'!$I$13+'Setting key Duty'!$I$12+'Setting key Duty'!$I$11))+(BE23*('Setting key Duty'!$I$8+'Setting key Duty'!$I$9+'Setting key Duty'!$I$12))</f>
        <v>#VALUE!</v>
      </c>
      <c r="AZ23" s="313">
        <f>COUNTIF(C23:AA23,"*BRT*")</f>
        <v>0</v>
      </c>
      <c r="BA23" s="313">
        <f t="shared" si="9"/>
        <v>2</v>
      </c>
      <c r="BB23" s="313" t="e">
        <f>BA23*('Setting key Duty'!$I$13+'Setting key Duty'!$I$12+'Setting key Duty'!$I$11)</f>
        <v>#VALUE!</v>
      </c>
      <c r="BC23" s="313">
        <f t="shared" si="15"/>
        <v>0</v>
      </c>
      <c r="BD23" s="313" t="e">
        <f>BC23*('Setting key Duty'!$I$13+'Setting key Duty'!$I$9)</f>
        <v>#VALUE!</v>
      </c>
      <c r="BE23" s="313">
        <f t="shared" si="16"/>
        <v>2</v>
      </c>
      <c r="BF23" s="313">
        <f>BE23*('Setting key Duty'!$I$8+'Setting key Duty'!$I$9+'Setting key Duty'!$I$12)</f>
        <v>1.125</v>
      </c>
      <c r="BG23" s="313">
        <f>COUNTIF(AI23,"*$N*")</f>
        <v>0</v>
      </c>
      <c r="BH23" s="313">
        <f>COUNTIF(AI23,"*$PM*")</f>
        <v>0</v>
      </c>
      <c r="BI23" s="313">
        <f>BH23*('Setting key Duty'!$I$9)</f>
        <v>0</v>
      </c>
      <c r="BJ23" s="313">
        <f t="shared" si="17"/>
        <v>3</v>
      </c>
      <c r="BK23" s="313">
        <f>BJ23*('Setting key Duty'!$I$12+'Setting key Duty'!$I$8)</f>
        <v>1.3125</v>
      </c>
      <c r="BL23" s="313">
        <f>COUNTIF(C23:AI23,"*$FC*")</f>
        <v>0</v>
      </c>
      <c r="BM23" s="313">
        <f>BL23*('Setting key Duty'!$J$11+'Setting key Duty'!$I$8)</f>
        <v>0</v>
      </c>
      <c r="BN23" s="313">
        <f>COUNTIF($C23:$AA23,BN$4)</f>
        <v>0</v>
      </c>
      <c r="BO23" s="313">
        <f>COUNTIF($C23:$AA23,BO$4)</f>
        <v>0</v>
      </c>
      <c r="BP23" s="313">
        <f>COUNTIF($C23:$AA23,BP$4)</f>
        <v>0</v>
      </c>
      <c r="BQ23" s="314"/>
    </row>
    <row r="24" ht="19.5" customHeight="1" spans="1:69">
      <c r="A24" s="309"/>
      <c r="B24" s="407" t="s">
        <v>84</v>
      </c>
      <c r="C24" s="197"/>
      <c r="D24" s="197"/>
      <c r="E24" s="198" t="s">
        <v>56</v>
      </c>
      <c r="F24" s="197"/>
      <c r="G24" s="197"/>
      <c r="H24" s="197" t="s">
        <v>59</v>
      </c>
      <c r="J24" s="197"/>
      <c r="K24" s="197"/>
      <c r="L24" s="317" t="s">
        <v>96</v>
      </c>
      <c r="O24" s="197" t="s">
        <v>57</v>
      </c>
      <c r="P24" s="197"/>
      <c r="Q24" s="197" t="s">
        <v>57</v>
      </c>
      <c r="S24" s="197" t="s">
        <v>56</v>
      </c>
      <c r="U24" s="197"/>
      <c r="V24" s="197" t="s">
        <v>56</v>
      </c>
      <c r="W24" s="197"/>
      <c r="X24" s="197" t="s">
        <v>56</v>
      </c>
      <c r="Y24" s="197"/>
      <c r="Z24" s="197"/>
      <c r="AA24" s="197" t="s">
        <v>57</v>
      </c>
      <c r="AC24" s="197"/>
      <c r="AD24" s="197"/>
      <c r="AE24" s="197"/>
      <c r="AF24" s="197"/>
      <c r="AG24" s="197"/>
      <c r="AH24" s="197"/>
      <c r="AI24" s="311"/>
      <c r="AJ24" s="312"/>
      <c r="AK24" s="311"/>
      <c r="AL24" s="313"/>
      <c r="AM24" s="313"/>
      <c r="AN24" s="313"/>
      <c r="AO24" s="313"/>
      <c r="AP24" s="238"/>
      <c r="AQ24" s="313">
        <f t="shared" si="2"/>
        <v>0</v>
      </c>
      <c r="AR24" s="238"/>
      <c r="AS24" s="238">
        <f t="shared" si="3"/>
        <v>0</v>
      </c>
      <c r="AT24" s="238"/>
      <c r="AU24" s="238">
        <f t="shared" si="6"/>
        <v>0</v>
      </c>
      <c r="AV24" s="238">
        <f t="shared" si="7"/>
        <v>0</v>
      </c>
      <c r="AW24" s="238">
        <f t="shared" si="8"/>
        <v>0</v>
      </c>
      <c r="AX24" s="238" t="e">
        <f>AU24+AY24</f>
        <v>#VALUE!</v>
      </c>
      <c r="AY24" s="313" t="e">
        <f>(BJ24*('Setting key Duty'!$I$8+'Setting key Duty'!$I$12))+(BH24*'Setting key Duty'!$I$9)+(BC24*('Setting key Duty'!$I$13+'Setting key Duty'!$I$9))+(BA24*('Setting key Duty'!$I$13+'Setting key Duty'!$I$12+'Setting key Duty'!$I$11))+(BE24*('Setting key Duty'!$I$8+'Setting key Duty'!$I$9+'Setting key Duty'!$I$12))</f>
        <v>#VALUE!</v>
      </c>
      <c r="AZ24" s="313">
        <f>COUNTIF(D24:AB24,"*BRT*")</f>
        <v>0</v>
      </c>
      <c r="BA24" s="313">
        <f t="shared" si="9"/>
        <v>0</v>
      </c>
      <c r="BB24" s="313" t="e">
        <f>BA24*('Setting key Duty'!$I$13+'Setting key Duty'!$I$12+'Setting key Duty'!$I$11)</f>
        <v>#VALUE!</v>
      </c>
      <c r="BC24" s="313">
        <f t="shared" si="15"/>
        <v>0</v>
      </c>
      <c r="BD24" s="313" t="e">
        <f>BC24*('Setting key Duty'!$I$13+'Setting key Duty'!$I$9)</f>
        <v>#VALUE!</v>
      </c>
      <c r="BE24" s="313">
        <f t="shared" si="16"/>
        <v>0</v>
      </c>
      <c r="BF24" s="313">
        <f>BE24*('Setting key Duty'!$I$8+'Setting key Duty'!$I$9+'Setting key Duty'!$I$12)</f>
        <v>0</v>
      </c>
      <c r="BG24" s="313">
        <f>COUNTIF(AF24:AI24,"*$N*")</f>
        <v>0</v>
      </c>
      <c r="BH24" s="313">
        <f>COUNTIF(AF24:AI24,"*$PM*")</f>
        <v>0</v>
      </c>
      <c r="BI24" s="313">
        <f>BH24*('Setting key Duty'!$I$9)</f>
        <v>0</v>
      </c>
      <c r="BJ24" s="313">
        <f t="shared" si="17"/>
        <v>0</v>
      </c>
      <c r="BK24" s="313">
        <f>BJ24*('Setting key Duty'!$I$12+'Setting key Duty'!$I$8)</f>
        <v>0</v>
      </c>
      <c r="BL24" s="313">
        <f>COUNTIF(D24:AI24,"*$FC*")</f>
        <v>0</v>
      </c>
      <c r="BM24" s="313">
        <f>BL24*('Setting key Duty'!$J$11+'Setting key Duty'!$I$8)</f>
        <v>0</v>
      </c>
      <c r="BN24" s="313">
        <f>COUNTIF($D24:$AE24,BN$4)</f>
        <v>0</v>
      </c>
      <c r="BO24" s="313">
        <f>COUNTIF($D24:$AE24,BO$4)</f>
        <v>0</v>
      </c>
      <c r="BP24" s="313">
        <f>COUNTIF($D24:$AE24,BP$4)</f>
        <v>0</v>
      </c>
      <c r="BQ24" s="314"/>
    </row>
    <row r="25" ht="19.5" customHeight="1" spans="1:69">
      <c r="A25" s="309"/>
      <c r="B25" s="328" t="s">
        <v>312</v>
      </c>
      <c r="C25" s="317"/>
      <c r="D25" s="317"/>
      <c r="E25" s="1" t="s">
        <v>313</v>
      </c>
      <c r="F25" s="197"/>
      <c r="G25" s="198" t="s">
        <v>314</v>
      </c>
      <c r="H25" s="197" t="s">
        <v>308</v>
      </c>
      <c r="J25" s="106"/>
      <c r="K25" s="106"/>
      <c r="L25" s="197" t="s">
        <v>58</v>
      </c>
      <c r="M25" s="197"/>
      <c r="N25" s="197" t="s">
        <v>185</v>
      </c>
      <c r="O25" s="197" t="s">
        <v>249</v>
      </c>
      <c r="P25" s="391" t="s">
        <v>180</v>
      </c>
      <c r="Q25" s="317" t="s">
        <v>58</v>
      </c>
      <c r="R25" s="197"/>
      <c r="S25" s="197"/>
      <c r="T25" s="317"/>
      <c r="U25" s="197" t="s">
        <v>315</v>
      </c>
      <c r="V25" s="197"/>
      <c r="W25" s="197"/>
      <c r="X25" s="197"/>
      <c r="Y25" s="197"/>
      <c r="Z25" s="197"/>
      <c r="AA25" s="198"/>
      <c r="AB25" s="198" t="s">
        <v>316</v>
      </c>
      <c r="AC25" s="198"/>
      <c r="AD25" s="197" t="s">
        <v>317</v>
      </c>
      <c r="AE25" s="197" t="s">
        <v>56</v>
      </c>
      <c r="AF25" s="197"/>
      <c r="AG25" s="197"/>
      <c r="AH25" s="197"/>
      <c r="AI25" s="311"/>
      <c r="AJ25" s="312"/>
      <c r="AK25" s="311"/>
      <c r="AL25" s="313"/>
      <c r="AM25" s="313"/>
      <c r="AN25" s="313"/>
      <c r="AO25" s="313"/>
      <c r="AP25" s="238"/>
      <c r="AQ25" s="313">
        <f t="shared" si="2"/>
        <v>0</v>
      </c>
      <c r="AR25" s="238"/>
      <c r="AS25" s="238">
        <f t="shared" si="3"/>
        <v>0</v>
      </c>
      <c r="AT25" s="238"/>
      <c r="AU25" s="238">
        <f t="shared" si="6"/>
        <v>0</v>
      </c>
      <c r="AV25" s="238">
        <f t="shared" si="7"/>
        <v>0</v>
      </c>
      <c r="AW25" s="238">
        <f t="shared" si="8"/>
        <v>0</v>
      </c>
      <c r="AX25" s="238" t="e">
        <f>AU25+$AY$10</f>
        <v>#VALUE!</v>
      </c>
      <c r="AY25" s="313" t="e">
        <f>(BJ25*('Setting key Duty'!$I$8+'Setting key Duty'!$I$12))+(BH25*'Setting key Duty'!$I$9)+(BC25*('Setting key Duty'!$I$13+'Setting key Duty'!$I$9))+(BA25*('Setting key Duty'!$I$13+'Setting key Duty'!$I$12+'Setting key Duty'!$I$11))+(BE25*('Setting key Duty'!$I$8+'Setting key Duty'!$I$9+'Setting key Duty'!$I$12))</f>
        <v>#VALUE!</v>
      </c>
      <c r="AZ25" s="313"/>
      <c r="BA25" s="313"/>
      <c r="BB25" s="313"/>
      <c r="BC25" s="313"/>
      <c r="BD25" s="313"/>
      <c r="BE25" s="313"/>
      <c r="BF25" s="313"/>
      <c r="BG25" s="313"/>
      <c r="BH25" s="313"/>
      <c r="BI25" s="313"/>
      <c r="BJ25" s="313"/>
      <c r="BK25" s="313"/>
      <c r="BL25" s="313"/>
      <c r="BM25" s="313"/>
      <c r="BN25" s="313"/>
      <c r="BO25" s="313"/>
      <c r="BP25" s="313"/>
      <c r="BQ25" s="314"/>
    </row>
    <row r="26" ht="19.5" customHeight="1" spans="1:69">
      <c r="A26" s="309"/>
      <c r="B26" s="392" t="s">
        <v>86</v>
      </c>
      <c r="C26" s="197"/>
      <c r="D26" s="198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 t="s">
        <v>301</v>
      </c>
      <c r="V26" s="197"/>
      <c r="W26" s="197"/>
      <c r="Y26" s="197"/>
      <c r="AA26" s="197"/>
      <c r="AB26" s="197"/>
      <c r="AC26" s="197"/>
      <c r="AD26" s="197"/>
      <c r="AE26" s="197"/>
      <c r="AF26" s="197"/>
      <c r="AG26" s="197"/>
      <c r="AH26" s="197"/>
      <c r="AI26" s="311"/>
      <c r="AJ26" s="312"/>
      <c r="AK26" s="311"/>
      <c r="AL26" s="313"/>
      <c r="AM26" s="313"/>
      <c r="AN26" s="313"/>
      <c r="AO26" s="313"/>
      <c r="AP26" s="238"/>
      <c r="AQ26" s="313">
        <f t="shared" si="2"/>
        <v>0</v>
      </c>
      <c r="AR26" s="238"/>
      <c r="AS26" s="238">
        <f t="shared" si="3"/>
        <v>0</v>
      </c>
      <c r="AT26" s="238"/>
      <c r="AU26" s="238">
        <f t="shared" si="6"/>
        <v>0</v>
      </c>
      <c r="AV26" s="238">
        <f t="shared" si="7"/>
        <v>0</v>
      </c>
      <c r="AW26" s="238">
        <f t="shared" si="8"/>
        <v>0</v>
      </c>
      <c r="AX26" s="238" t="e">
        <f>AU26+AY26</f>
        <v>#VALUE!</v>
      </c>
      <c r="AY26" s="313" t="e">
        <f>(BJ26*('Setting key Duty'!$I$8+'Setting key Duty'!$I$12))+(BH26*'Setting key Duty'!$I$9)+(BC26*('Setting key Duty'!$I$13+'Setting key Duty'!$I$9))+(BA26*('Setting key Duty'!$I$13+'Setting key Duty'!$I$12+'Setting key Duty'!$I$11))+(BE26*('Setting key Duty'!$I$8+'Setting key Duty'!$I$9+'Setting key Duty'!$I$12))</f>
        <v>#VALUE!</v>
      </c>
      <c r="AZ26" s="313">
        <f>COUNTIF(D26:AC26,"*BRT*")</f>
        <v>0</v>
      </c>
      <c r="BA26" s="313">
        <f t="shared" ref="BA26:BA33" si="18">COUNTIF(A26:AI26,"*$BTP*")</f>
        <v>0</v>
      </c>
      <c r="BB26" s="313" t="e">
        <f>BA26*('Setting key Duty'!$I$13+'Setting key Duty'!$I$12+'Setting key Duty'!$I$11)</f>
        <v>#VALUE!</v>
      </c>
      <c r="BC26" s="313">
        <f>COUNTIF(A26:AI26,"*$L*")</f>
        <v>0</v>
      </c>
      <c r="BD26" s="313" t="e">
        <f>BC26*('Setting key Duty'!$I$13+'Setting key Duty'!$I$9)</f>
        <v>#VALUE!</v>
      </c>
      <c r="BE26" s="313">
        <f>COUNTIF(A26:AI26,"*$M*")</f>
        <v>0</v>
      </c>
      <c r="BF26" s="313">
        <f>BE26*('Setting key Duty'!$I$8+'Setting key Duty'!$I$9+'Setting key Duty'!$I$12)</f>
        <v>0</v>
      </c>
      <c r="BG26" s="313">
        <f>COUNTIF(AE26:AI26,"*$N*")</f>
        <v>0</v>
      </c>
      <c r="BH26" s="313">
        <f>COUNTIF(AE26:AI26,"*$PM*")</f>
        <v>0</v>
      </c>
      <c r="BI26" s="313">
        <f>BH26*('Setting key Duty'!$I$9)</f>
        <v>0</v>
      </c>
      <c r="BJ26" s="313">
        <f>COUNTIF(A26:AI26,"*$AM*")</f>
        <v>0</v>
      </c>
      <c r="BK26" s="313">
        <f>BJ26*('Setting key Duty'!$I$12+'Setting key Duty'!$I$8)</f>
        <v>0</v>
      </c>
      <c r="BL26" s="313">
        <f>COUNTIF(D26:AI26,"*$FC*")</f>
        <v>0</v>
      </c>
      <c r="BM26" s="313">
        <f>BL26*('Setting key Duty'!$J$11+'Setting key Duty'!$I$8)</f>
        <v>0</v>
      </c>
      <c r="BN26" s="313">
        <f>COUNTIF($D26:$AE26,BN$4)</f>
        <v>0</v>
      </c>
      <c r="BO26" s="313">
        <f>COUNTIF($D26:$AE26,BO$4)</f>
        <v>0</v>
      </c>
      <c r="BP26" s="313">
        <f>COUNTIF($D26:$AE26,BP$4)</f>
        <v>0</v>
      </c>
      <c r="BQ26" s="314"/>
    </row>
    <row r="27" ht="19.5" customHeight="1" spans="1:69">
      <c r="A27" s="309"/>
      <c r="B27" s="328" t="s">
        <v>233</v>
      </c>
      <c r="C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 t="s">
        <v>61</v>
      </c>
      <c r="O27" s="197"/>
      <c r="P27" s="197" t="s">
        <v>318</v>
      </c>
      <c r="R27" s="197" t="s">
        <v>56</v>
      </c>
      <c r="S27" s="197"/>
      <c r="T27" s="197" t="s">
        <v>133</v>
      </c>
      <c r="U27" s="317" t="s">
        <v>58</v>
      </c>
      <c r="V27" s="197"/>
      <c r="W27" s="197" t="s">
        <v>319</v>
      </c>
      <c r="X27" s="198" t="s">
        <v>59</v>
      </c>
      <c r="Z27" s="197"/>
      <c r="AA27" s="197" t="s">
        <v>320</v>
      </c>
      <c r="AB27" s="197" t="s">
        <v>321</v>
      </c>
      <c r="AD27" s="197" t="s">
        <v>322</v>
      </c>
      <c r="AE27" s="197"/>
      <c r="AF27" s="197" t="s">
        <v>56</v>
      </c>
      <c r="AG27" s="197"/>
      <c r="AH27" s="197"/>
      <c r="AI27" s="311"/>
      <c r="AJ27" s="312"/>
      <c r="AK27" s="311"/>
      <c r="AL27" s="313"/>
      <c r="AM27" s="313"/>
      <c r="AN27" s="313"/>
      <c r="AO27" s="313"/>
      <c r="AP27" s="238"/>
      <c r="AQ27" s="313">
        <f t="shared" si="2"/>
        <v>0</v>
      </c>
      <c r="AR27" s="238"/>
      <c r="AS27" s="238">
        <f t="shared" si="3"/>
        <v>0</v>
      </c>
      <c r="AT27" s="238"/>
      <c r="AU27" s="238">
        <f t="shared" si="6"/>
        <v>0</v>
      </c>
      <c r="AV27" s="238">
        <f t="shared" si="7"/>
        <v>0</v>
      </c>
      <c r="AW27" s="238">
        <f t="shared" si="8"/>
        <v>5</v>
      </c>
      <c r="AX27" s="238" t="e">
        <f>AU27+AY27</f>
        <v>#VALUE!</v>
      </c>
      <c r="AY27" s="313" t="e">
        <f>(BJ27*('Setting key Duty'!$I$8+'Setting key Duty'!$I$12))+(BH27*'Setting key Duty'!$I$9)+(BC27*('Setting key Duty'!$I$13+'Setting key Duty'!$I$9))+(BA27*('Setting key Duty'!$I$13+'Setting key Duty'!$I$12+'Setting key Duty'!$I$11))+(BE27*('Setting key Duty'!$I$8+'Setting key Duty'!$I$9+'Setting key Duty'!$I$12))</f>
        <v>#VALUE!</v>
      </c>
      <c r="AZ27" s="313">
        <f>COUNTIF(D27:AA27,"*BRT*")</f>
        <v>0</v>
      </c>
      <c r="BA27" s="313">
        <f t="shared" si="18"/>
        <v>0</v>
      </c>
      <c r="BB27" s="313" t="e">
        <f>BA27*('Setting key Duty'!$I$13+'Setting key Duty'!$I$12+'Setting key Duty'!$I$11)</f>
        <v>#VALUE!</v>
      </c>
      <c r="BC27" s="313">
        <f>COUNTIF(A27:AI27,"*$L*")</f>
        <v>0</v>
      </c>
      <c r="BD27" s="313" t="e">
        <f>BC27*('Setting key Duty'!$I$13+'Setting key Duty'!$I$9)</f>
        <v>#VALUE!</v>
      </c>
      <c r="BE27" s="313">
        <f>COUNTIF(A27:AI27,"*$M*")</f>
        <v>2</v>
      </c>
      <c r="BF27" s="313">
        <f>BE27*('Setting key Duty'!$I$8+'Setting key Duty'!$I$9+'Setting key Duty'!$I$12)</f>
        <v>1.125</v>
      </c>
      <c r="BG27" s="313">
        <f>COUNTIF(AI27,"*$N*")</f>
        <v>0</v>
      </c>
      <c r="BH27" s="313">
        <f>COUNTIF(AI27,"*$PM*")</f>
        <v>0</v>
      </c>
      <c r="BI27" s="313">
        <f>BH27*('Setting key Duty'!$I$9)</f>
        <v>0</v>
      </c>
      <c r="BJ27" s="313">
        <f>COUNTIF(A27:AI27,"*$AM*")</f>
        <v>3</v>
      </c>
      <c r="BK27" s="313">
        <f>BJ27*('Setting key Duty'!$I$12+'Setting key Duty'!$I$8)</f>
        <v>1.3125</v>
      </c>
      <c r="BL27" s="313">
        <f>COUNTIF(D27:AI27,"*$FC*")</f>
        <v>0</v>
      </c>
      <c r="BM27" s="313">
        <f>BL27*('Setting key Duty'!$J$11+'Setting key Duty'!$I$8)</f>
        <v>0</v>
      </c>
      <c r="BN27" s="313">
        <f>COUNTIF($D27:$AA27,BN$4)</f>
        <v>0</v>
      </c>
      <c r="BO27" s="313">
        <f>COUNTIF($D27:$AA27,BO$4)</f>
        <v>0</v>
      </c>
      <c r="BP27" s="313">
        <f>COUNTIF($D27:$AA27,BP$4)</f>
        <v>0</v>
      </c>
      <c r="BQ27" s="314"/>
    </row>
    <row r="28" ht="19.5" customHeight="1" spans="1:69">
      <c r="A28" s="309"/>
      <c r="B28" s="376" t="s">
        <v>189</v>
      </c>
      <c r="C28" s="324"/>
      <c r="E28" s="324" t="s">
        <v>65</v>
      </c>
      <c r="F28" s="324"/>
      <c r="G28" s="324" t="s">
        <v>65</v>
      </c>
      <c r="H28" s="317" t="s">
        <v>93</v>
      </c>
      <c r="I28" s="1" t="s">
        <v>69</v>
      </c>
      <c r="J28" s="317"/>
      <c r="K28" s="317" t="s">
        <v>65</v>
      </c>
      <c r="L28" s="324"/>
      <c r="M28" s="324"/>
      <c r="N28" s="317" t="s">
        <v>65</v>
      </c>
      <c r="O28" s="324"/>
      <c r="P28" s="317" t="s">
        <v>93</v>
      </c>
      <c r="Q28" s="197"/>
      <c r="R28" s="317" t="s">
        <v>65</v>
      </c>
      <c r="S28" s="317"/>
      <c r="T28" s="317" t="s">
        <v>65</v>
      </c>
      <c r="U28" s="317" t="s">
        <v>93</v>
      </c>
      <c r="V28" s="317" t="s">
        <v>65</v>
      </c>
      <c r="X28" s="317"/>
      <c r="Z28" s="317" t="s">
        <v>93</v>
      </c>
      <c r="AA28" s="317" t="s">
        <v>65</v>
      </c>
      <c r="AC28" s="317" t="s">
        <v>65</v>
      </c>
      <c r="AD28" s="197"/>
      <c r="AE28" s="197"/>
      <c r="AF28" s="197" t="s">
        <v>65</v>
      </c>
      <c r="AG28" s="317"/>
      <c r="AH28" s="317"/>
      <c r="AI28" s="311"/>
      <c r="AJ28" s="312"/>
      <c r="AK28" s="311"/>
      <c r="AL28" s="313"/>
      <c r="AM28" s="313"/>
      <c r="AN28" s="313"/>
      <c r="AO28" s="313"/>
      <c r="AP28" s="238"/>
      <c r="AQ28" s="313">
        <f t="shared" si="2"/>
        <v>0</v>
      </c>
      <c r="AR28" s="238"/>
      <c r="AS28" s="238">
        <f t="shared" si="3"/>
        <v>0</v>
      </c>
      <c r="AT28" s="238"/>
      <c r="AU28" s="238">
        <f t="shared" si="6"/>
        <v>0</v>
      </c>
      <c r="AV28" s="238">
        <f t="shared" si="7"/>
        <v>0</v>
      </c>
      <c r="AW28" s="238">
        <f t="shared" si="8"/>
        <v>0</v>
      </c>
      <c r="AX28" s="238" t="e">
        <f>AU28+$AY$10</f>
        <v>#VALUE!</v>
      </c>
      <c r="AY28" s="313" t="e">
        <f>(BJ28*('Setting key Duty'!$I$8+'Setting key Duty'!$I$12))+(BH28*'Setting key Duty'!$I$9)+(BC28*('Setting key Duty'!$I$13+'Setting key Duty'!$I$9))+(BA28*('Setting key Duty'!$I$13+'Setting key Duty'!$I$12+'Setting key Duty'!$I$11))+(BE28*('Setting key Duty'!$I$8+'Setting key Duty'!$I$9+'Setting key Duty'!$I$12))</f>
        <v>#VALUE!</v>
      </c>
      <c r="AZ28" s="313">
        <f>COUNTIF(D28:AA28,"*BRT*")</f>
        <v>0</v>
      </c>
      <c r="BA28" s="313">
        <f t="shared" si="18"/>
        <v>0</v>
      </c>
      <c r="BB28" s="313" t="e">
        <f>BA28*('Setting key Duty'!$I$13+'Setting key Duty'!$I$12+'Setting key Duty'!$I$11)</f>
        <v>#VALUE!</v>
      </c>
      <c r="BC28" s="313">
        <f>COUNTIF(A28:AI28,"*$L*")</f>
        <v>0</v>
      </c>
      <c r="BD28" s="313" t="e">
        <f>BC28*('Setting key Duty'!$I$13+'Setting key Duty'!$I$9)</f>
        <v>#VALUE!</v>
      </c>
      <c r="BE28" s="313">
        <f>COUNTIF(A28:AI28,"*$M*")</f>
        <v>0</v>
      </c>
      <c r="BF28" s="313">
        <f>BE28*('Setting key Duty'!$I$8+'Setting key Duty'!$I$9+'Setting key Duty'!$I$12)</f>
        <v>0</v>
      </c>
      <c r="BG28" s="313">
        <f>COUNTIF(AI28,"*$N*")</f>
        <v>0</v>
      </c>
      <c r="BH28" s="313">
        <f>COUNTIF(AI28,"*$PM*")</f>
        <v>0</v>
      </c>
      <c r="BI28" s="313">
        <f>BH28*('Setting key Duty'!$I$9)</f>
        <v>0</v>
      </c>
      <c r="BJ28" s="313">
        <f>COUNTIF(A28:AI28,"*$AM*")</f>
        <v>0</v>
      </c>
      <c r="BK28" s="313">
        <f>BJ28*('Setting key Duty'!$I$12+'Setting key Duty'!$I$8)</f>
        <v>0</v>
      </c>
      <c r="BL28" s="313">
        <f>COUNTIF(D28:AI28,"*$FC*")</f>
        <v>0</v>
      </c>
      <c r="BM28" s="313">
        <f>BL28*('Setting key Duty'!$J$11+'Setting key Duty'!$I$8)</f>
        <v>0</v>
      </c>
      <c r="BN28" s="313">
        <f>COUNTIF($D28:$AA28,BN$4)</f>
        <v>0</v>
      </c>
      <c r="BO28" s="313">
        <f>COUNTIF($D28:$AA28,BO$4)</f>
        <v>0</v>
      </c>
      <c r="BP28" s="313">
        <f>COUNTIF($D28:$AA28,BP$4)</f>
        <v>0</v>
      </c>
      <c r="BQ28" s="314"/>
    </row>
    <row r="29" ht="19.5" customHeight="1" spans="1:69">
      <c r="A29" s="309"/>
      <c r="B29" s="332" t="s">
        <v>191</v>
      </c>
      <c r="C29" s="324"/>
      <c r="E29" s="324"/>
      <c r="F29" s="198" t="s">
        <v>188</v>
      </c>
      <c r="G29" s="317" t="s">
        <v>93</v>
      </c>
      <c r="H29" s="324" t="s">
        <v>65</v>
      </c>
      <c r="J29" s="317"/>
      <c r="K29" s="324"/>
      <c r="L29" s="197" t="s">
        <v>323</v>
      </c>
      <c r="M29" s="324" t="s">
        <v>65</v>
      </c>
      <c r="O29" s="197" t="s">
        <v>324</v>
      </c>
      <c r="P29" s="197" t="s">
        <v>249</v>
      </c>
      <c r="Q29" s="317" t="s">
        <v>65</v>
      </c>
      <c r="R29" s="197"/>
      <c r="S29" s="197" t="s">
        <v>325</v>
      </c>
      <c r="T29" s="317" t="s">
        <v>93</v>
      </c>
      <c r="U29" s="317"/>
      <c r="V29" s="197" t="s">
        <v>326</v>
      </c>
      <c r="W29" s="106"/>
      <c r="Y29" s="384"/>
      <c r="Z29" s="384" t="s">
        <v>292</v>
      </c>
      <c r="AA29" s="197" t="s">
        <v>327</v>
      </c>
      <c r="AB29" s="197"/>
      <c r="AC29" s="384"/>
      <c r="AD29" s="197" t="s">
        <v>328</v>
      </c>
      <c r="AF29" s="197"/>
      <c r="AH29" s="197" t="s">
        <v>294</v>
      </c>
      <c r="AI29" s="311"/>
      <c r="AJ29" s="312"/>
      <c r="AK29" s="311"/>
      <c r="AL29" s="313"/>
      <c r="AM29" s="313"/>
      <c r="AN29" s="313"/>
      <c r="AO29" s="313"/>
      <c r="AP29" s="238"/>
      <c r="AQ29" s="313">
        <f t="shared" si="2"/>
        <v>0</v>
      </c>
      <c r="AR29" s="238"/>
      <c r="AS29" s="238">
        <f t="shared" si="3"/>
        <v>0</v>
      </c>
      <c r="AT29" s="238"/>
      <c r="AU29" s="238">
        <f t="shared" si="6"/>
        <v>0</v>
      </c>
      <c r="AV29" s="238">
        <f t="shared" si="7"/>
        <v>0</v>
      </c>
      <c r="AW29" s="238">
        <f t="shared" si="8"/>
        <v>8</v>
      </c>
      <c r="AX29" s="238" t="e">
        <f>AU29+AY29</f>
        <v>#VALUE!</v>
      </c>
      <c r="AY29" s="313" t="e">
        <f>(BJ29*('Setting key Duty'!$I$8+'Setting key Duty'!$I$12))+(BH29*'Setting key Duty'!$I$9)+(BC29*('Setting key Duty'!$I$13+'Setting key Duty'!$I$9))+(BA29*('Setting key Duty'!$I$13+'Setting key Duty'!$I$12+'Setting key Duty'!$I$11))+(BE29*('Setting key Duty'!$I$8+'Setting key Duty'!$I$9+'Setting key Duty'!$I$12))</f>
        <v>#VALUE!</v>
      </c>
      <c r="AZ29" s="313">
        <f>COUNTIF(C29:X29,"*BRT*")</f>
        <v>0</v>
      </c>
      <c r="BA29" s="313">
        <f t="shared" si="18"/>
        <v>0</v>
      </c>
      <c r="BB29" s="313" t="e">
        <f>BA29*('Setting key Duty'!$I$13+'Setting key Duty'!$I$12+'Setting key Duty'!$I$11)</f>
        <v>#VALUE!</v>
      </c>
      <c r="BC29" s="313">
        <f>COUNTIF(D29:AI29,"*$L*")</f>
        <v>0</v>
      </c>
      <c r="BD29" s="313" t="e">
        <f>BC29*('Setting key Duty'!$I$13+'Setting key Duty'!$I$9)</f>
        <v>#VALUE!</v>
      </c>
      <c r="BE29" s="313">
        <f>COUNTIF(D29:AI29,"*$M*")</f>
        <v>6</v>
      </c>
      <c r="BF29" s="313">
        <f>BE29*('Setting key Duty'!$I$8+'Setting key Duty'!$I$9+'Setting key Duty'!$I$12)</f>
        <v>3.375</v>
      </c>
      <c r="BG29" s="313">
        <f>COUNTIF(D29:AI29,"*$N*")</f>
        <v>0</v>
      </c>
      <c r="BH29" s="313">
        <f>COUNTIF(D29:AI29,"*$PM*")</f>
        <v>0</v>
      </c>
      <c r="BI29" s="313">
        <f>BH29*('Setting key Duty'!$I$9)</f>
        <v>0</v>
      </c>
      <c r="BJ29" s="313">
        <f>COUNTIF(D29:AI29,"*$AM*")</f>
        <v>2</v>
      </c>
      <c r="BK29" s="313">
        <f>BJ29*('Setting key Duty'!$I$12+'Setting key Duty'!$I$8)</f>
        <v>0.875</v>
      </c>
      <c r="BL29" s="313">
        <f>COUNTIF(C29:AI29,"*$FC*")</f>
        <v>0</v>
      </c>
      <c r="BM29" s="313">
        <f>BL29*('Setting key Duty'!$J$11+'Setting key Duty'!$I$8)</f>
        <v>0</v>
      </c>
      <c r="BN29" s="313">
        <f>COUNTIF($C29:$AG29,BN$4)</f>
        <v>0</v>
      </c>
      <c r="BO29" s="313">
        <f>COUNTIF($C29:$AG29,BO$4)</f>
        <v>0</v>
      </c>
      <c r="BP29" s="313">
        <f>COUNTIF($D29:$AD29,BP$4)</f>
        <v>0</v>
      </c>
      <c r="BQ29" s="314"/>
    </row>
    <row r="30" ht="19.5" customHeight="1" spans="1:69">
      <c r="A30" s="309"/>
      <c r="B30" s="315" t="s">
        <v>192</v>
      </c>
      <c r="C30" s="317"/>
      <c r="D30" s="317"/>
      <c r="E30" s="197" t="s">
        <v>329</v>
      </c>
      <c r="F30" s="197" t="s">
        <v>329</v>
      </c>
      <c r="G30" s="197" t="s">
        <v>329</v>
      </c>
      <c r="H30" s="197" t="s">
        <v>329</v>
      </c>
      <c r="I30" s="197" t="s">
        <v>329</v>
      </c>
      <c r="J30" s="317"/>
      <c r="K30" s="317"/>
      <c r="L30" s="324"/>
      <c r="M30" s="197" t="s">
        <v>307</v>
      </c>
      <c r="N30" s="317" t="s">
        <v>93</v>
      </c>
      <c r="O30" s="197" t="s">
        <v>330</v>
      </c>
      <c r="Q30" s="106"/>
      <c r="R30" s="317"/>
      <c r="S30" s="1" t="s">
        <v>69</v>
      </c>
      <c r="T30" s="317"/>
      <c r="U30" s="197" t="s">
        <v>331</v>
      </c>
      <c r="V30" s="317" t="s">
        <v>93</v>
      </c>
      <c r="X30" s="349" t="s">
        <v>65</v>
      </c>
      <c r="Y30" s="317"/>
      <c r="Z30" s="384" t="s">
        <v>292</v>
      </c>
      <c r="AA30" s="197" t="s">
        <v>332</v>
      </c>
      <c r="AD30" s="197" t="s">
        <v>319</v>
      </c>
      <c r="AE30" s="316"/>
      <c r="AG30" s="317"/>
      <c r="AH30" s="317"/>
      <c r="AI30" s="311"/>
      <c r="AJ30" s="312"/>
      <c r="AK30" s="311"/>
      <c r="AL30" s="344"/>
      <c r="AM30" s="344"/>
      <c r="AN30" s="344"/>
      <c r="AO30" s="344"/>
      <c r="AP30" s="246"/>
      <c r="AQ30" s="313">
        <f t="shared" si="2"/>
        <v>0</v>
      </c>
      <c r="AR30" s="238"/>
      <c r="AS30" s="238">
        <f t="shared" si="3"/>
        <v>0</v>
      </c>
      <c r="AT30" s="246"/>
      <c r="AU30" s="238">
        <f t="shared" si="6"/>
        <v>0</v>
      </c>
      <c r="AV30" s="238">
        <f t="shared" si="7"/>
        <v>0</v>
      </c>
      <c r="AW30" s="238">
        <f t="shared" si="8"/>
        <v>10</v>
      </c>
      <c r="AX30" s="238" t="e">
        <f>AU30+AY30</f>
        <v>#VALUE!</v>
      </c>
      <c r="AY30" s="313" t="e">
        <f>(BJ30*('Setting key Duty'!$I$8+'Setting key Duty'!$I$12))+(BH30*'Setting key Duty'!$I$9)+(BC30*('Setting key Duty'!$I$13+'Setting key Duty'!$I$9))+(BA30*('Setting key Duty'!$I$13+'Setting key Duty'!$I$12+'Setting key Duty'!$I$11))+(BE30*('Setting key Duty'!$I$8+'Setting key Duty'!$I$9+'Setting key Duty'!$I$12))</f>
        <v>#VALUE!</v>
      </c>
      <c r="AZ30" s="313">
        <f>COUNTIF(C30:Y30,"*BRT*")</f>
        <v>0</v>
      </c>
      <c r="BA30" s="313">
        <f t="shared" si="18"/>
        <v>1</v>
      </c>
      <c r="BB30" s="313" t="e">
        <f>BA30*('Setting key Duty'!$I$13+'Setting key Duty'!$I$12+'Setting key Duty'!$I$11)</f>
        <v>#VALUE!</v>
      </c>
      <c r="BC30" s="313">
        <f>COUNTIF(D30:AI30,"*$L*")</f>
        <v>0</v>
      </c>
      <c r="BD30" s="313" t="e">
        <f>BC30*('Setting key Duty'!$I$13+'Setting key Duty'!$I$9)</f>
        <v>#VALUE!</v>
      </c>
      <c r="BE30" s="313">
        <f>COUNTIF(D30:AI30,"*$M*")</f>
        <v>3</v>
      </c>
      <c r="BF30" s="313">
        <f>BE30*('Setting key Duty'!$I$8+'Setting key Duty'!$I$9+'Setting key Duty'!$I$12)</f>
        <v>1.6875</v>
      </c>
      <c r="BG30" s="313">
        <f>COUNTIF(D30:AI30,"*$N*")</f>
        <v>0</v>
      </c>
      <c r="BH30" s="313">
        <f>COUNTIF(D30:AI30,"*$PM*")</f>
        <v>0</v>
      </c>
      <c r="BI30" s="313">
        <f>BH30*('Setting key Duty'!$I$9)</f>
        <v>0</v>
      </c>
      <c r="BJ30" s="313">
        <f>COUNTIF(D30:AI30,"*$AM*")</f>
        <v>1</v>
      </c>
      <c r="BK30" s="313">
        <f>BJ30*('Setting key Duty'!$I$12+'Setting key Duty'!$I$8)</f>
        <v>0.4375</v>
      </c>
      <c r="BL30" s="313">
        <f>COUNTIF(C30:AI30,"*$FC*")</f>
        <v>5</v>
      </c>
      <c r="BM30" s="313">
        <f>BL30*('Setting key Duty'!$J$11+'Setting key Duty'!$I$8)</f>
        <v>0.625</v>
      </c>
      <c r="BN30" s="313">
        <f>COUNTIF($C30:$AG30,BN$4)</f>
        <v>0</v>
      </c>
      <c r="BO30" s="313">
        <f>COUNTIF($C30:$AG30,BO$4)</f>
        <v>0</v>
      </c>
      <c r="BP30" s="313">
        <f>COUNTIF($D30:$AE30,BP$4)</f>
        <v>0</v>
      </c>
      <c r="BQ30" s="345"/>
    </row>
    <row r="31" ht="19.5" customHeight="1" spans="1:69">
      <c r="A31" s="309"/>
      <c r="B31" s="315" t="s">
        <v>193</v>
      </c>
      <c r="C31" s="349"/>
      <c r="D31" s="324" t="s">
        <v>65</v>
      </c>
      <c r="E31" s="317"/>
      <c r="F31" s="317" t="s">
        <v>93</v>
      </c>
      <c r="I31" s="317" t="s">
        <v>93</v>
      </c>
      <c r="J31" s="317" t="s">
        <v>65</v>
      </c>
      <c r="L31" s="324" t="s">
        <v>93</v>
      </c>
      <c r="M31" s="197" t="s">
        <v>333</v>
      </c>
      <c r="N31" s="197" t="s">
        <v>334</v>
      </c>
      <c r="P31" s="197" t="s">
        <v>335</v>
      </c>
      <c r="R31" s="317"/>
      <c r="S31" s="317" t="s">
        <v>93</v>
      </c>
      <c r="T31" s="317"/>
      <c r="U31" s="197" t="s">
        <v>336</v>
      </c>
      <c r="W31" s="197" t="s">
        <v>93</v>
      </c>
      <c r="X31" s="349"/>
      <c r="Y31" s="317"/>
      <c r="Z31" s="197" t="s">
        <v>337</v>
      </c>
      <c r="AA31" s="317" t="s">
        <v>93</v>
      </c>
      <c r="AB31" s="197" t="s">
        <v>124</v>
      </c>
      <c r="AC31" s="317"/>
      <c r="AD31" s="197" t="s">
        <v>338</v>
      </c>
      <c r="AE31" s="316"/>
      <c r="AF31" s="197"/>
      <c r="AG31" s="317"/>
      <c r="AH31" s="317"/>
      <c r="AI31" s="311"/>
      <c r="AJ31" s="312"/>
      <c r="AK31" s="311"/>
      <c r="AL31" s="344"/>
      <c r="AM31" s="344"/>
      <c r="AN31" s="344"/>
      <c r="AO31" s="344"/>
      <c r="AP31" s="246"/>
      <c r="AQ31" s="313">
        <f t="shared" si="2"/>
        <v>0</v>
      </c>
      <c r="AR31" s="238"/>
      <c r="AS31" s="238">
        <f t="shared" si="3"/>
        <v>0</v>
      </c>
      <c r="AT31" s="246"/>
      <c r="AU31" s="238">
        <f t="shared" si="6"/>
        <v>0</v>
      </c>
      <c r="AV31" s="238">
        <f t="shared" si="7"/>
        <v>0</v>
      </c>
      <c r="AW31" s="238">
        <f t="shared" si="8"/>
        <v>7</v>
      </c>
      <c r="AX31" s="238" t="e">
        <f>AU31+AY31</f>
        <v>#VALUE!</v>
      </c>
      <c r="AY31" s="313" t="e">
        <f>(BJ31*('Setting key Duty'!$I$8+'Setting key Duty'!$I$12))+(BH31*'Setting key Duty'!$I$9)+(BC31*('Setting key Duty'!$I$13+'Setting key Duty'!$I$9))+(BA31*('Setting key Duty'!$I$13+'Setting key Duty'!$I$12+'Setting key Duty'!$I$11))+(BE31*('Setting key Duty'!$I$8+'Setting key Duty'!$I$9+'Setting key Duty'!$I$12))</f>
        <v>#VALUE!</v>
      </c>
      <c r="AZ31" s="313">
        <f>COUNTIF(C31:Y31,"*BRT*")</f>
        <v>0</v>
      </c>
      <c r="BA31" s="313">
        <f t="shared" si="18"/>
        <v>0</v>
      </c>
      <c r="BB31" s="313" t="e">
        <f>BA31*('Setting key Duty'!$I$13+'Setting key Duty'!$I$12+'Setting key Duty'!$I$11)</f>
        <v>#VALUE!</v>
      </c>
      <c r="BC31" s="313">
        <f>COUNTIF(D31:AI31,"*$L*")</f>
        <v>0</v>
      </c>
      <c r="BD31" s="313" t="e">
        <f>BC31*('Setting key Duty'!$I$13+'Setting key Duty'!$I$9)</f>
        <v>#VALUE!</v>
      </c>
      <c r="BE31" s="313">
        <f>COUNTIF(D31:AI31,"*$M*")</f>
        <v>0</v>
      </c>
      <c r="BF31" s="313">
        <f>BE31*('Setting key Duty'!$I$8+'Setting key Duty'!$I$9+'Setting key Duty'!$I$12)</f>
        <v>0</v>
      </c>
      <c r="BG31" s="313">
        <f>COUNTIF(D31:AI31,"*$N*")</f>
        <v>0</v>
      </c>
      <c r="BH31" s="313">
        <f>COUNTIF(D31:AI31,"*$PM*")</f>
        <v>7</v>
      </c>
      <c r="BI31" s="313">
        <f>BH31*('Setting key Duty'!$I$9)</f>
        <v>0.875</v>
      </c>
      <c r="BJ31" s="313">
        <f>COUNTIF(D31:AI31,"*$AM*")</f>
        <v>0</v>
      </c>
      <c r="BK31" s="313">
        <f>BJ31*('Setting key Duty'!$I$12+'Setting key Duty'!$I$8)</f>
        <v>0</v>
      </c>
      <c r="BL31" s="313">
        <f>COUNTIF(C31:AI31,"*$FC*")</f>
        <v>0</v>
      </c>
      <c r="BM31" s="313">
        <f>BL31*('Setting key Duty'!$J$11+'Setting key Duty'!$I$8)</f>
        <v>0</v>
      </c>
      <c r="BN31" s="313">
        <f>COUNTIF($C31:$AG31,BN$4)</f>
        <v>0</v>
      </c>
      <c r="BO31" s="313">
        <f>COUNTIF($C31:$AG31,BO$4)</f>
        <v>0</v>
      </c>
      <c r="BP31" s="313">
        <f>COUNTIF($D31:$AE31,BP$4)</f>
        <v>0</v>
      </c>
      <c r="BQ31" s="345"/>
    </row>
    <row r="32" ht="19.5" customHeight="1" spans="1:69">
      <c r="A32" s="309"/>
      <c r="B32" s="315" t="s">
        <v>262</v>
      </c>
      <c r="D32" s="317"/>
      <c r="E32" s="317" t="s">
        <v>93</v>
      </c>
      <c r="F32" s="324" t="s">
        <v>65</v>
      </c>
      <c r="J32" s="317" t="s">
        <v>58</v>
      </c>
      <c r="K32" s="324"/>
      <c r="L32" s="317" t="s">
        <v>65</v>
      </c>
      <c r="O32" s="317" t="s">
        <v>93</v>
      </c>
      <c r="P32" s="317" t="s">
        <v>65</v>
      </c>
      <c r="Q32" s="317"/>
      <c r="R32" s="106"/>
      <c r="S32" s="317" t="s">
        <v>65</v>
      </c>
      <c r="T32" s="317"/>
      <c r="U32" s="317" t="s">
        <v>65</v>
      </c>
      <c r="V32" s="317"/>
      <c r="W32" s="317" t="s">
        <v>253</v>
      </c>
      <c r="X32" s="349"/>
      <c r="Y32" s="317"/>
      <c r="Z32" s="317" t="s">
        <v>65</v>
      </c>
      <c r="AA32" s="317"/>
      <c r="AB32" s="317" t="s">
        <v>65</v>
      </c>
      <c r="AC32" s="317" t="s">
        <v>93</v>
      </c>
      <c r="AD32" s="197"/>
      <c r="AE32" s="197" t="s">
        <v>65</v>
      </c>
      <c r="AG32" s="317"/>
      <c r="AH32" s="317"/>
      <c r="AI32" s="311"/>
      <c r="AJ32" s="312"/>
      <c r="AK32" s="311"/>
      <c r="AL32" s="344"/>
      <c r="AM32" s="344"/>
      <c r="AN32" s="344"/>
      <c r="AO32" s="344"/>
      <c r="AP32" s="246"/>
      <c r="AQ32" s="313">
        <f t="shared" si="2"/>
        <v>0</v>
      </c>
      <c r="AR32" s="238"/>
      <c r="AS32" s="238">
        <f t="shared" si="3"/>
        <v>0</v>
      </c>
      <c r="AT32" s="246"/>
      <c r="AU32" s="238">
        <f t="shared" si="6"/>
        <v>0</v>
      </c>
      <c r="AV32" s="238">
        <f t="shared" si="7"/>
        <v>0</v>
      </c>
      <c r="AW32" s="238">
        <f t="shared" si="8"/>
        <v>0</v>
      </c>
      <c r="AX32" s="238" t="e">
        <f>AU32+AY32</f>
        <v>#VALUE!</v>
      </c>
      <c r="AY32" s="313" t="e">
        <f>(BJ32*('Setting key Duty'!$I$8+'Setting key Duty'!$I$12))+(BH32*'Setting key Duty'!$I$9)+(BC32*('Setting key Duty'!$I$13+'Setting key Duty'!$I$9))+(BA32*('Setting key Duty'!$I$13+'Setting key Duty'!$I$12+'Setting key Duty'!$I$11))+(BE32*('Setting key Duty'!$I$8+'Setting key Duty'!$I$9+'Setting key Duty'!$I$12))</f>
        <v>#VALUE!</v>
      </c>
      <c r="AZ32" s="313">
        <f>COUNTIF(C32:Y32,"*BRT*")</f>
        <v>0</v>
      </c>
      <c r="BA32" s="313">
        <f t="shared" si="18"/>
        <v>0</v>
      </c>
      <c r="BB32" s="313" t="e">
        <f>BA32*('Setting key Duty'!$I$13+'Setting key Duty'!$I$12+'Setting key Duty'!$I$11)</f>
        <v>#VALUE!</v>
      </c>
      <c r="BC32" s="313">
        <f>COUNTIF(D32:AI32,"*$L*")</f>
        <v>0</v>
      </c>
      <c r="BD32" s="313" t="e">
        <f>BC32*('Setting key Duty'!$I$13+'Setting key Duty'!$I$9)</f>
        <v>#VALUE!</v>
      </c>
      <c r="BE32" s="313">
        <f>COUNTIF(D32:AI32,"*$M*")</f>
        <v>0</v>
      </c>
      <c r="BF32" s="313">
        <f>BE32*('Setting key Duty'!$I$8+'Setting key Duty'!$I$9+'Setting key Duty'!$I$12)</f>
        <v>0</v>
      </c>
      <c r="BG32" s="313">
        <f>COUNTIF(D32:AI32,"*$N*")</f>
        <v>0</v>
      </c>
      <c r="BH32" s="313">
        <f>COUNTIF(D32:AI32,"*$PM*")</f>
        <v>0</v>
      </c>
      <c r="BI32" s="313">
        <f>BH32*('Setting key Duty'!$I$9)</f>
        <v>0</v>
      </c>
      <c r="BJ32" s="313">
        <f>COUNTIF(D32:AI32,"*$AM*")</f>
        <v>0</v>
      </c>
      <c r="BK32" s="313">
        <f>BJ32*('Setting key Duty'!$I$12+'Setting key Duty'!$I$8)</f>
        <v>0</v>
      </c>
      <c r="BL32" s="313">
        <f>COUNTIF(C32:AI32,"*$FC*")</f>
        <v>0</v>
      </c>
      <c r="BM32" s="313">
        <f>BL32*('Setting key Duty'!$J$11+'Setting key Duty'!$I$8)</f>
        <v>0</v>
      </c>
      <c r="BN32" s="313">
        <f>COUNTIF($C32:$AG32,BN$4)</f>
        <v>0</v>
      </c>
      <c r="BO32" s="313">
        <f>COUNTIF($C32:$AG32,BO$4)</f>
        <v>0</v>
      </c>
      <c r="BP32" s="313">
        <f>COUNTIF($D32:$AE32,BP$4)</f>
        <v>0</v>
      </c>
      <c r="BQ32" s="345"/>
    </row>
    <row r="33" ht="19.5" customHeight="1" spans="1:69">
      <c r="A33" s="309"/>
      <c r="B33" s="315" t="s">
        <v>195</v>
      </c>
      <c r="C33" s="349"/>
      <c r="D33" s="317"/>
      <c r="E33" s="197" t="s">
        <v>339</v>
      </c>
      <c r="F33" s="197" t="s">
        <v>339</v>
      </c>
      <c r="G33" s="197" t="s">
        <v>339</v>
      </c>
      <c r="H33" s="197" t="s">
        <v>339</v>
      </c>
      <c r="I33" s="197" t="s">
        <v>339</v>
      </c>
      <c r="J33" s="317"/>
      <c r="K33" s="317"/>
      <c r="L33" s="317"/>
      <c r="M33" s="317" t="s">
        <v>93</v>
      </c>
      <c r="N33" s="197" t="s">
        <v>110</v>
      </c>
      <c r="P33" s="197" t="s">
        <v>340</v>
      </c>
      <c r="Q33" s="197"/>
      <c r="T33" s="197" t="s">
        <v>188</v>
      </c>
      <c r="U33" s="197" t="s">
        <v>341</v>
      </c>
      <c r="X33" s="321"/>
      <c r="Y33" s="197" t="s">
        <v>65</v>
      </c>
      <c r="Z33" s="384" t="s">
        <v>292</v>
      </c>
      <c r="AA33" s="197" t="s">
        <v>342</v>
      </c>
      <c r="AB33" s="317" t="s">
        <v>93</v>
      </c>
      <c r="AC33" s="197"/>
      <c r="AD33" s="197" t="s">
        <v>343</v>
      </c>
      <c r="AF33" s="197"/>
      <c r="AH33" s="106"/>
      <c r="AI33" s="311"/>
      <c r="AJ33" s="312"/>
      <c r="AK33" s="311"/>
      <c r="AL33" s="344"/>
      <c r="AM33" s="344"/>
      <c r="AN33" s="344"/>
      <c r="AO33" s="344"/>
      <c r="AP33" s="246"/>
      <c r="AQ33" s="313">
        <f t="shared" si="2"/>
        <v>0</v>
      </c>
      <c r="AR33" s="238"/>
      <c r="AS33" s="238">
        <f t="shared" si="3"/>
        <v>0</v>
      </c>
      <c r="AT33" s="246"/>
      <c r="AU33" s="238">
        <f t="shared" si="6"/>
        <v>0</v>
      </c>
      <c r="AV33" s="238">
        <f t="shared" si="7"/>
        <v>0</v>
      </c>
      <c r="AW33" s="238">
        <f t="shared" si="8"/>
        <v>11</v>
      </c>
      <c r="AX33" s="238" t="e">
        <f>AU33+AY33</f>
        <v>#VALUE!</v>
      </c>
      <c r="AY33" s="313" t="e">
        <f>(BJ33*('Setting key Duty'!$I$8+'Setting key Duty'!$I$12))+(BH33*'Setting key Duty'!$I$9)+(BC33*('Setting key Duty'!$I$13+'Setting key Duty'!$I$9))+(BA33*('Setting key Duty'!$I$13+'Setting key Duty'!$I$12+'Setting key Duty'!$I$11))+(BE33*('Setting key Duty'!$I$8+'Setting key Duty'!$I$9+'Setting key Duty'!$I$12))</f>
        <v>#VALUE!</v>
      </c>
      <c r="AZ33" s="313">
        <f>COUNTIF(C33:Y33,"*BRT*")</f>
        <v>0</v>
      </c>
      <c r="BA33" s="313">
        <f t="shared" si="18"/>
        <v>1</v>
      </c>
      <c r="BB33" s="313" t="e">
        <f>BA33*('Setting key Duty'!$I$13+'Setting key Duty'!$I$12+'Setting key Duty'!$I$11)</f>
        <v>#VALUE!</v>
      </c>
      <c r="BC33" s="313">
        <f>COUNTIF(D33:AI33,"*$L*")</f>
        <v>0</v>
      </c>
      <c r="BD33" s="313" t="e">
        <f>BC33*('Setting key Duty'!$I$13+'Setting key Duty'!$I$9)</f>
        <v>#VALUE!</v>
      </c>
      <c r="BE33" s="313">
        <f>COUNTIF(D33:AI33,"*$M*")</f>
        <v>3</v>
      </c>
      <c r="BF33" s="313">
        <f>BE33*('Setting key Duty'!$I$8+'Setting key Duty'!$I$9+'Setting key Duty'!$I$12)</f>
        <v>1.6875</v>
      </c>
      <c r="BG33" s="313">
        <f>COUNTIF(D33:AI33,"*$N*")</f>
        <v>0</v>
      </c>
      <c r="BH33" s="313">
        <f>COUNTIF(D33:AI33,"*$PM*")</f>
        <v>0</v>
      </c>
      <c r="BI33" s="313">
        <f>BH33*('Setting key Duty'!$I$9)</f>
        <v>0</v>
      </c>
      <c r="BJ33" s="313">
        <f>COUNTIF(D33:AI33,"*$AM*")</f>
        <v>2</v>
      </c>
      <c r="BK33" s="313">
        <f>BJ33*('Setting key Duty'!$I$12+'Setting key Duty'!$I$8)</f>
        <v>0.875</v>
      </c>
      <c r="BL33" s="313">
        <f>COUNTIF(C33:AI33,"*$FC*")</f>
        <v>5</v>
      </c>
      <c r="BM33" s="313">
        <f>BL33*('Setting key Duty'!$J$11+'Setting key Duty'!$I$8)</f>
        <v>0.625</v>
      </c>
      <c r="BN33" s="313">
        <f>COUNTIF($C33:$AG33,BN$4)</f>
        <v>0</v>
      </c>
      <c r="BO33" s="313">
        <f>COUNTIF($C33:$AG33,BO$4)</f>
        <v>0</v>
      </c>
      <c r="BP33" s="313">
        <f>COUNTIF($D33:$AE33,BP$4)</f>
        <v>0</v>
      </c>
      <c r="BQ33" s="345"/>
    </row>
    <row r="34" ht="19.5" customHeight="1" spans="1:69">
      <c r="A34" s="309"/>
      <c r="B34" s="354"/>
      <c r="C34" s="349"/>
      <c r="D34" s="317"/>
      <c r="J34" s="317"/>
      <c r="K34" s="324"/>
      <c r="L34" s="324"/>
      <c r="M34" s="155"/>
      <c r="N34" s="324"/>
      <c r="O34" s="324"/>
      <c r="P34" s="317"/>
      <c r="Q34" s="106"/>
      <c r="R34" s="106"/>
      <c r="T34" s="317"/>
      <c r="U34" s="317"/>
      <c r="V34" s="317"/>
      <c r="X34" s="349"/>
      <c r="Y34" s="106"/>
      <c r="Z34" s="106"/>
      <c r="AA34" s="106"/>
      <c r="AB34" s="106"/>
      <c r="AC34" s="106"/>
      <c r="AD34" s="317"/>
      <c r="AE34" s="393"/>
      <c r="AF34" s="317"/>
      <c r="AG34" s="317"/>
      <c r="AH34" s="317"/>
      <c r="AI34" s="311"/>
      <c r="AJ34" s="312"/>
      <c r="AK34" s="311"/>
      <c r="AL34" s="344"/>
      <c r="AM34" s="344"/>
      <c r="AN34" s="344"/>
      <c r="AO34" s="344"/>
      <c r="AP34" s="246"/>
      <c r="AQ34" s="313"/>
      <c r="AR34" s="246"/>
      <c r="AS34" s="238"/>
      <c r="AT34" s="246"/>
      <c r="AU34" s="238"/>
      <c r="AV34" s="238"/>
      <c r="AW34" s="238"/>
      <c r="AX34" s="238"/>
      <c r="AY34" s="313"/>
      <c r="AZ34" s="313"/>
      <c r="BA34" s="313"/>
      <c r="BB34" s="313"/>
      <c r="BC34" s="313"/>
      <c r="BD34" s="313"/>
      <c r="BE34" s="313"/>
      <c r="BF34" s="313"/>
      <c r="BG34" s="313"/>
      <c r="BH34" s="313"/>
      <c r="BI34" s="313"/>
      <c r="BJ34" s="313"/>
      <c r="BK34" s="313"/>
      <c r="BL34" s="313"/>
      <c r="BM34" s="313"/>
      <c r="BN34" s="313"/>
      <c r="BO34" s="313"/>
      <c r="BP34" s="313"/>
      <c r="BQ34" s="345"/>
    </row>
    <row r="35" ht="19.5" customHeight="1" spans="1:69">
      <c r="A35" s="309"/>
      <c r="B35" s="354" t="s">
        <v>148</v>
      </c>
      <c r="C35" s="349"/>
      <c r="D35" s="317"/>
      <c r="E35" s="317"/>
      <c r="F35" s="317"/>
      <c r="G35" s="317"/>
      <c r="H35" s="317"/>
      <c r="I35" s="317"/>
      <c r="J35" s="317"/>
      <c r="K35" s="317"/>
      <c r="L35" s="317"/>
      <c r="N35" s="317"/>
      <c r="O35" s="317"/>
      <c r="P35" s="317"/>
      <c r="Q35" s="106"/>
      <c r="R35" s="106"/>
      <c r="S35" s="317"/>
      <c r="T35" s="317"/>
      <c r="U35" s="198"/>
      <c r="V35" s="317"/>
      <c r="W35" s="317"/>
      <c r="X35" s="317"/>
      <c r="Y35" s="356"/>
      <c r="Z35" s="356"/>
      <c r="AA35" s="356"/>
      <c r="AB35" s="356"/>
      <c r="AC35" s="356"/>
      <c r="AD35" s="356"/>
      <c r="AE35" s="317"/>
      <c r="AF35" s="317"/>
      <c r="AG35" s="317"/>
      <c r="AH35" s="317"/>
      <c r="AI35" s="311">
        <f t="shared" ref="AI35:AO35" si="19">COUNTIF($C35:$AG35,AI$4)</f>
        <v>0</v>
      </c>
      <c r="AJ35" s="312">
        <f t="shared" si="19"/>
        <v>0</v>
      </c>
      <c r="AK35" s="311">
        <f t="shared" si="19"/>
        <v>0</v>
      </c>
      <c r="AL35" s="344">
        <f t="shared" si="19"/>
        <v>0</v>
      </c>
      <c r="AM35" s="344">
        <f t="shared" si="19"/>
        <v>0</v>
      </c>
      <c r="AN35" s="344">
        <f t="shared" si="19"/>
        <v>0</v>
      </c>
      <c r="AO35" s="344">
        <f t="shared" si="19"/>
        <v>0</v>
      </c>
      <c r="AP35" s="246"/>
      <c r="AQ35" s="313"/>
      <c r="AR35" s="246"/>
      <c r="AS35" s="238"/>
      <c r="AT35" s="246"/>
      <c r="AU35" s="246"/>
      <c r="AV35" s="238"/>
      <c r="AW35" s="238"/>
      <c r="AX35" s="238"/>
      <c r="AY35" s="313"/>
      <c r="AZ35" s="313"/>
      <c r="BA35" s="313"/>
      <c r="BB35" s="313"/>
      <c r="BC35" s="313"/>
      <c r="BD35" s="313"/>
      <c r="BE35" s="313"/>
      <c r="BF35" s="313"/>
      <c r="BG35" s="313"/>
      <c r="BH35" s="313"/>
      <c r="BI35" s="313"/>
      <c r="BJ35" s="313"/>
      <c r="BK35" s="313"/>
      <c r="BL35" s="313"/>
      <c r="BM35" s="313"/>
      <c r="BN35" s="344"/>
      <c r="BO35" s="344"/>
      <c r="BP35" s="344"/>
      <c r="BQ35" s="345"/>
    </row>
    <row r="36" ht="19.5" customHeight="1" spans="1:69">
      <c r="A36" s="309"/>
      <c r="B36" s="357"/>
      <c r="C36" s="358"/>
      <c r="D36" s="359"/>
      <c r="E36" s="359"/>
      <c r="F36" s="359"/>
      <c r="G36" s="359"/>
      <c r="H36" s="358"/>
      <c r="I36" s="358"/>
      <c r="J36" s="358"/>
      <c r="K36" s="358"/>
      <c r="L36" s="358"/>
      <c r="M36" s="358"/>
      <c r="N36" s="358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358"/>
      <c r="AA36" s="358"/>
      <c r="AB36" s="358"/>
      <c r="AC36" s="358"/>
      <c r="AD36" s="358"/>
      <c r="AE36" s="358"/>
      <c r="AF36" s="358"/>
      <c r="AG36" s="358"/>
      <c r="AH36" s="360"/>
      <c r="AI36" s="361"/>
      <c r="AJ36" s="362"/>
      <c r="AK36" s="361"/>
      <c r="AL36" s="363"/>
      <c r="AM36" s="363"/>
      <c r="AN36" s="363"/>
      <c r="AO36" s="363"/>
      <c r="AP36" s="253"/>
      <c r="AQ36" s="253"/>
      <c r="AR36" s="253"/>
      <c r="AS36" s="253">
        <f>SUMPRODUCT(--WEEKDAY(C$3:AG$3,2)&gt;5,--((C36:AG36="DM"))+(C36:AG36="CS1")+((C36:AG36="CS2"))+(C36:AG36="SB1")+(C36:AG36="AE")+(C36:AG36="EM"))</f>
        <v>0</v>
      </c>
      <c r="AT36" s="253"/>
      <c r="AU36" s="253">
        <f>(AQ36-AR36)/2+(AS36-AT36)</f>
        <v>0</v>
      </c>
      <c r="AV36" s="253"/>
      <c r="AW36" s="253"/>
      <c r="AX36" s="253"/>
      <c r="AY36" s="363"/>
      <c r="AZ36" s="363"/>
      <c r="BA36" s="363"/>
      <c r="BB36" s="363"/>
      <c r="BC36" s="363"/>
      <c r="BD36" s="363"/>
      <c r="BE36" s="363"/>
      <c r="BF36" s="363"/>
      <c r="BG36" s="363"/>
      <c r="BH36" s="363"/>
      <c r="BI36" s="363"/>
      <c r="BJ36" s="363"/>
      <c r="BK36" s="363"/>
      <c r="BL36" s="363"/>
      <c r="BM36" s="363"/>
      <c r="BN36" s="363"/>
      <c r="BO36" s="363"/>
      <c r="BP36" s="363"/>
      <c r="BQ36" s="364"/>
    </row>
    <row r="37" ht="19.5" customHeight="1" spans="1:69">
      <c r="A37" s="309"/>
      <c r="B37" s="365" t="s">
        <v>57</v>
      </c>
      <c r="C37" s="366" t="str">
        <f>VLOOKUP("DM",C4:C35,1,FALSE)</f>
        <v>DM</v>
      </c>
      <c r="D37" s="366" t="str">
        <f>VLOOKUP("DM",D4:D35,1,FALSE)</f>
        <v>DM</v>
      </c>
      <c r="E37" s="366" t="str">
        <f>VLOOKUP("DM",E1:E35,1,FALSE)</f>
        <v>DM</v>
      </c>
      <c r="F37" s="366" t="str">
        <f t="shared" ref="F37:L37" si="20">VLOOKUP("DM",F4:F35,1,FALSE)</f>
        <v>DM</v>
      </c>
      <c r="G37" s="366" t="str">
        <f t="shared" si="20"/>
        <v>DM</v>
      </c>
      <c r="H37" s="366" t="str">
        <f t="shared" si="20"/>
        <v>DM</v>
      </c>
      <c r="I37" s="366" t="str">
        <f t="shared" si="20"/>
        <v>DM</v>
      </c>
      <c r="J37" s="366" t="str">
        <f t="shared" si="20"/>
        <v>DM</v>
      </c>
      <c r="K37" s="366" t="str">
        <f t="shared" si="20"/>
        <v>DM</v>
      </c>
      <c r="L37" s="366" t="str">
        <f t="shared" si="20"/>
        <v>DM</v>
      </c>
      <c r="M37" s="366" t="str">
        <f>VLOOKUP("DM",M4:M29,1,FALSE)</f>
        <v>DM</v>
      </c>
      <c r="N37" s="366" t="str">
        <f>VLOOKUP("DM",N4:N35,1,FALSE)</f>
        <v>DM</v>
      </c>
      <c r="O37" s="366" t="str">
        <f>VLOOKUP("DM",O4:O35,1,FALSE)</f>
        <v>DM</v>
      </c>
      <c r="P37" s="366" t="str">
        <f>VLOOKUP("DM",P4:P35,1,FALSE)</f>
        <v>DM</v>
      </c>
      <c r="Q37" s="366" t="str">
        <f>VLOOKUP("DM",Q4:Q33,1,FALSE)</f>
        <v>DM</v>
      </c>
      <c r="R37" s="366" t="str">
        <f>VLOOKUP("DM",R4:R27,1,FALSE)</f>
        <v>DM</v>
      </c>
      <c r="S37" s="366" t="str">
        <f>VLOOKUP("DM",S4:S35,1,FALSE)</f>
        <v>DM</v>
      </c>
      <c r="T37" s="366" t="str">
        <f>VLOOKUP("DM",T4:T35,1,FALSE)</f>
        <v>DM</v>
      </c>
      <c r="U37" s="366" t="str">
        <f>VLOOKUP("DM",U4:U35,1,FALSE)</f>
        <v>DM</v>
      </c>
      <c r="V37" s="366" t="str">
        <f>VLOOKUP("DM",V4:V27,1,FALSE)</f>
        <v>DM</v>
      </c>
      <c r="W37" s="366" t="str">
        <f>VLOOKUP("DM",W4:W27,1,FALSE)</f>
        <v>DM</v>
      </c>
      <c r="X37" s="366" t="str">
        <f>VLOOKUP("DM",X4:X35,1,FALSE)</f>
        <v>DM</v>
      </c>
      <c r="Y37" s="366" t="str">
        <f>VLOOKUP("DM",Y4:Y35,1,FALSE)</f>
        <v>DM</v>
      </c>
      <c r="Z37" s="366" t="str">
        <f>VLOOKUP("DM",Z4:Z35,1,FALSE)</f>
        <v>DM</v>
      </c>
      <c r="AA37" s="366" t="str">
        <f>VLOOKUP("DM",AA11:AA35,1,FALSE)</f>
        <v>DM</v>
      </c>
      <c r="AB37" s="366" t="str">
        <f t="shared" ref="AB37:AG37" si="21">VLOOKUP("DM",AB4:AB35,1,FALSE)</f>
        <v>DM</v>
      </c>
      <c r="AC37" s="366" t="str">
        <f t="shared" si="21"/>
        <v>DM</v>
      </c>
      <c r="AD37" s="366" t="str">
        <f t="shared" si="21"/>
        <v>DM</v>
      </c>
      <c r="AE37" s="366" t="str">
        <f t="shared" si="21"/>
        <v>DM</v>
      </c>
      <c r="AF37" s="366" t="str">
        <f t="shared" si="21"/>
        <v>DM</v>
      </c>
      <c r="AG37" s="366" t="e">
        <f t="shared" si="21"/>
        <v>#N/A</v>
      </c>
      <c r="AH37" s="387"/>
      <c r="AI37" s="311"/>
      <c r="AJ37" s="312"/>
      <c r="AK37" s="311"/>
      <c r="AL37" s="313"/>
      <c r="AM37" s="313"/>
      <c r="AN37" s="313"/>
      <c r="AO37" s="313"/>
      <c r="AP37" s="313"/>
      <c r="AQ37" s="313"/>
      <c r="AR37" s="313"/>
      <c r="AS37" s="313"/>
      <c r="AT37" s="313"/>
      <c r="AU37" s="313"/>
      <c r="AV37" s="313"/>
      <c r="AW37" s="313"/>
      <c r="AX37" s="313"/>
      <c r="AY37" s="313"/>
      <c r="AZ37" s="313"/>
      <c r="BA37" s="313"/>
      <c r="BB37" s="313"/>
      <c r="BC37" s="313"/>
      <c r="BD37" s="313"/>
      <c r="BE37" s="313"/>
      <c r="BF37" s="313"/>
      <c r="BG37" s="313"/>
      <c r="BH37" s="313"/>
      <c r="BI37" s="313"/>
      <c r="BJ37" s="313"/>
      <c r="BK37" s="313"/>
      <c r="BL37" s="313"/>
      <c r="BM37" s="313"/>
      <c r="BN37" s="313"/>
      <c r="BO37" s="313"/>
      <c r="BP37" s="313"/>
      <c r="BQ37" s="314"/>
    </row>
    <row r="38" ht="19.5" customHeight="1" spans="1:69">
      <c r="A38" s="309" t="e">
        <f>LTE()</f>
        <v>#NAME?</v>
      </c>
      <c r="B38" s="368" t="s">
        <v>56</v>
      </c>
      <c r="C38" s="366" t="str">
        <f>VLOOKUP("CS1",C5:C35,1,FALSE)</f>
        <v>CS1</v>
      </c>
      <c r="D38" s="366" t="str">
        <f>VLOOKUP("CS1",D1:D35,1,FALSE)</f>
        <v>CS1</v>
      </c>
      <c r="E38" s="366" t="str">
        <f>VLOOKUP("CS1",E7:E35,1,FALSE)</f>
        <v>CS1</v>
      </c>
      <c r="F38" s="366" t="str">
        <f>VLOOKUP("CS1",F8:F35,1,FALSE)</f>
        <v>CS1</v>
      </c>
      <c r="G38" s="366" t="str">
        <f>VLOOKUP("CS1",G7:G35,1,FALSE)</f>
        <v>CS1</v>
      </c>
      <c r="H38" s="366" t="str">
        <f>VLOOKUP("CS1",H5:H35,1,FALSE)</f>
        <v>CS1</v>
      </c>
      <c r="I38" s="366" t="str">
        <f>VLOOKUP("CS1",I6:I35,1,FALSE)</f>
        <v>CS1</v>
      </c>
      <c r="J38" s="366" t="str">
        <f>VLOOKUP("CS1",J4:J35,1,FALSE)</f>
        <v>CS1</v>
      </c>
      <c r="K38" s="366" t="str">
        <f>VLOOKUP("CS1",K1:K35,1,FALSE)</f>
        <v>CS1</v>
      </c>
      <c r="L38" s="366" t="str">
        <f>VLOOKUP("CS1",L1:L35,1,FALSE)</f>
        <v>CS1</v>
      </c>
      <c r="M38" s="366" t="str">
        <f>VLOOKUP("CS1",M5:M29,1,FALSE)</f>
        <v>CS1</v>
      </c>
      <c r="N38" s="366" t="str">
        <f>VLOOKUP("CS1",N6:N35,1,FALSE)</f>
        <v>CS1</v>
      </c>
      <c r="O38" s="366" t="str">
        <f>VLOOKUP("CS1",O1:O35,1,FALSE)</f>
        <v>CS1</v>
      </c>
      <c r="P38" s="366" t="str">
        <f>VLOOKUP("CS1",P5:P35,1,FALSE)</f>
        <v>CS1</v>
      </c>
      <c r="Q38" s="366" t="str">
        <f>VLOOKUP("CS1",Q6:Q33,1,FALSE)</f>
        <v>CS1</v>
      </c>
      <c r="R38" s="366" t="str">
        <f>VLOOKUP("CS1",R6:R27,1,FALSE)</f>
        <v>CS1</v>
      </c>
      <c r="S38" s="366" t="str">
        <f>VLOOKUP("CS1",S7:S35,1,FALSE)</f>
        <v>CS1</v>
      </c>
      <c r="T38" s="366" t="str">
        <f>VLOOKUP("CS1",T8:T35,1,FALSE)</f>
        <v>CS1</v>
      </c>
      <c r="U38" s="366" t="str">
        <f>VLOOKUP("CS1",U6:U35,1,FALSE)</f>
        <v>CS1</v>
      </c>
      <c r="V38" s="366" t="str">
        <f>VLOOKUP("CS1",V1:V27,1,FALSE)</f>
        <v>CS1</v>
      </c>
      <c r="W38" s="366" t="str">
        <f>VLOOKUP("CS1",W1:W27,1,FALSE)</f>
        <v>CS1</v>
      </c>
      <c r="X38" s="366" t="str">
        <f>VLOOKUP("CS1",X1:X35,1,FALSE)</f>
        <v>CS1</v>
      </c>
      <c r="Y38" s="366" t="str">
        <f>VLOOKUP("CS1",Y6:Y35,1,FALSE)</f>
        <v>CS1</v>
      </c>
      <c r="Z38" s="366" t="str">
        <f>VLOOKUP("CS1",Z9:Z35,1,FALSE)</f>
        <v>CS1</v>
      </c>
      <c r="AA38" s="366" t="str">
        <f>VLOOKUP("CS1",AA1:AA35,1,FALSE)</f>
        <v>CS1</v>
      </c>
      <c r="AB38" s="366" t="str">
        <f>VLOOKUP("CS1",AB9:AB35,1,FALSE)</f>
        <v>CS1</v>
      </c>
      <c r="AC38" s="366" t="str">
        <f>VLOOKUP("CS1",AC7:AC35,1,FALSE)</f>
        <v>CS1</v>
      </c>
      <c r="AD38" s="366" t="str">
        <f>VLOOKUP("CS1",AD1:AD35,1,FALSE)</f>
        <v>CS1</v>
      </c>
      <c r="AE38" s="366" t="str">
        <f>VLOOKUP("CS1",AE7:AE35,1,FALSE)</f>
        <v>CS1</v>
      </c>
      <c r="AF38" s="366" t="str">
        <f>VLOOKUP("CS1",AF7:AF35,1,FALSE)</f>
        <v>CS1</v>
      </c>
      <c r="AG38" s="366" t="e">
        <f>VLOOKUP("CS1",AG7:AG35,1,FALSE)</f>
        <v>#N/A</v>
      </c>
      <c r="AH38" s="387"/>
      <c r="AI38" s="311"/>
      <c r="AJ38" s="312"/>
      <c r="AK38" s="311"/>
      <c r="AL38" s="313"/>
      <c r="AM38" s="313"/>
      <c r="AN38" s="313"/>
      <c r="AO38" s="313"/>
      <c r="AP38" s="313"/>
      <c r="AQ38" s="313"/>
      <c r="AR38" s="313"/>
      <c r="AS38" s="313"/>
      <c r="AT38" s="313"/>
      <c r="AU38" s="313"/>
      <c r="AV38" s="313"/>
      <c r="AW38" s="313"/>
      <c r="AX38" s="313"/>
      <c r="AY38" s="313"/>
      <c r="AZ38" s="313"/>
      <c r="BA38" s="313"/>
      <c r="BB38" s="313"/>
      <c r="BC38" s="313"/>
      <c r="BD38" s="313"/>
      <c r="BE38" s="313"/>
      <c r="BF38" s="313"/>
      <c r="BG38" s="313"/>
      <c r="BH38" s="313"/>
      <c r="BI38" s="313"/>
      <c r="BJ38" s="313"/>
      <c r="BK38" s="313"/>
      <c r="BL38" s="313"/>
      <c r="BM38" s="313"/>
      <c r="BN38" s="313"/>
      <c r="BO38" s="313"/>
      <c r="BP38" s="313"/>
      <c r="BQ38" s="314"/>
    </row>
    <row r="39" ht="19.5" customHeight="1" spans="1:69">
      <c r="A39" s="309"/>
      <c r="B39" s="369" t="s">
        <v>59</v>
      </c>
      <c r="C39" s="366" t="str">
        <f>VLOOKUP("CS2",C6:C35,1,FALSE)</f>
        <v>CS2</v>
      </c>
      <c r="D39" s="366" t="str">
        <f>VLOOKUP("CS2",D9:D35,1,FALSE)</f>
        <v>CS2</v>
      </c>
      <c r="E39" s="366" t="str">
        <f>VLOOKUP("CS2",E7:E35,1,FALSE)</f>
        <v>CS2</v>
      </c>
      <c r="F39" s="366" t="str">
        <f>VLOOKUP("CS2",F8:F35,1,FALSE)</f>
        <v>CS2</v>
      </c>
      <c r="G39" s="366" t="str">
        <f>VLOOKUP("CS2",G1:G35,1,FALSE)</f>
        <v>CS2</v>
      </c>
      <c r="H39" s="366" t="str">
        <f>VLOOKUP("CS2",H1:H35,1,FALSE)</f>
        <v>CS2</v>
      </c>
      <c r="I39" s="366" t="str">
        <f>VLOOKUP("CS2",I6:I35,1,FALSE)</f>
        <v>CS2</v>
      </c>
      <c r="J39" s="366" t="str">
        <f>VLOOKUP("CS2",J4:J35,1,FALSE)</f>
        <v>CS2</v>
      </c>
      <c r="K39" s="366" t="str">
        <f>VLOOKUP("CS2",K5:K35,1,FALSE)</f>
        <v>CS2</v>
      </c>
      <c r="L39" s="366" t="str">
        <f>VLOOKUP("CS2",L4:L35,1,FALSE)</f>
        <v>CS2</v>
      </c>
      <c r="M39" s="366" t="str">
        <f>VLOOKUP("CS2",M1:M29,1,FALSE)</f>
        <v>CS2</v>
      </c>
      <c r="N39" s="366" t="str">
        <f>VLOOKUP("CS2",N6:N35,1,FALSE)</f>
        <v>CS2</v>
      </c>
      <c r="O39" s="366" t="str">
        <f>VLOOKUP("CS2",O6:O35,1,FALSE)</f>
        <v>CS2</v>
      </c>
      <c r="P39" s="366" t="str">
        <f>VLOOKUP("CS2",P5:P35,1,FALSE)</f>
        <v>CS2</v>
      </c>
      <c r="Q39" s="366" t="str">
        <f>VLOOKUP("CS2",Q6:Q33,1,FALSE)</f>
        <v>CS2</v>
      </c>
      <c r="R39" s="366" t="str">
        <f>VLOOKUP("CS2",R6:R27,1,FALSE)</f>
        <v>CS2</v>
      </c>
      <c r="S39" s="366" t="str">
        <f>VLOOKUP("CS2",S1:S35,1,FALSE)</f>
        <v>CS2</v>
      </c>
      <c r="T39" s="366" t="str">
        <f>VLOOKUP("CS2",T1:T35,1,FALSE)</f>
        <v>CS2</v>
      </c>
      <c r="U39" s="366" t="str">
        <f>VLOOKUP("CS2",U1:U35,1,FALSE)</f>
        <v>CS2</v>
      </c>
      <c r="V39" s="366" t="str">
        <f>VLOOKUP("CS2",V1:V27,1,FALSE)</f>
        <v>CS2</v>
      </c>
      <c r="W39" s="366" t="str">
        <f>VLOOKUP("CS2",W11:W27,1,FALSE)</f>
        <v>CS2</v>
      </c>
      <c r="X39" s="366" t="str">
        <f>VLOOKUP("CS2",X8:X35,1,FALSE)</f>
        <v>CS2</v>
      </c>
      <c r="Y39" s="366" t="str">
        <f>VLOOKUP("CS2",Y6:Y35,1,FALSE)</f>
        <v>CS2</v>
      </c>
      <c r="Z39" s="366" t="str">
        <f>VLOOKUP("CS2",Z9:Z35,1,FALSE)</f>
        <v>CS2</v>
      </c>
      <c r="AA39" s="366" t="str">
        <f>VLOOKUP("CS2",AA1:AA35,1,FALSE)</f>
        <v>CS2</v>
      </c>
      <c r="AB39" s="366" t="str">
        <f>VLOOKUP("CS2",AB1:AB35,1,FALSE)</f>
        <v>CS2</v>
      </c>
      <c r="AC39" s="366" t="str">
        <f>VLOOKUP("CS2",AC7:AC35,1,FALSE)</f>
        <v>CS2</v>
      </c>
      <c r="AD39" s="366" t="str">
        <f>VLOOKUP("CS2",AD1:AD35,1,FALSE)</f>
        <v>CS2</v>
      </c>
      <c r="AE39" s="366" t="str">
        <f>VLOOKUP("CS2",AE7:AE35,1,FALSE)</f>
        <v>CS2</v>
      </c>
      <c r="AF39" s="366" t="str">
        <f>VLOOKUP("CS2",AF7:AF35,1,FALSE)</f>
        <v>CS2</v>
      </c>
      <c r="AG39" s="366" t="e">
        <f>VLOOKUP("CS2",AG7:AG35,1,FALSE)</f>
        <v>#N/A</v>
      </c>
      <c r="AH39" s="387"/>
      <c r="AI39" s="311"/>
      <c r="AJ39" s="312"/>
      <c r="AK39" s="311"/>
      <c r="AL39" s="313"/>
      <c r="AM39" s="313"/>
      <c r="AN39" s="313"/>
      <c r="AO39" s="313"/>
      <c r="AP39" s="313"/>
      <c r="AQ39" s="313"/>
      <c r="AR39" s="313"/>
      <c r="AS39" s="313"/>
      <c r="AT39" s="313"/>
      <c r="AU39" s="313"/>
      <c r="AV39" s="313"/>
      <c r="AW39" s="313"/>
      <c r="AX39" s="313"/>
      <c r="AY39" s="313"/>
      <c r="AZ39" s="313"/>
      <c r="BA39" s="313"/>
      <c r="BB39" s="313"/>
      <c r="BC39" s="313"/>
      <c r="BD39" s="313"/>
      <c r="BE39" s="313"/>
      <c r="BF39" s="313"/>
      <c r="BG39" s="313"/>
      <c r="BH39" s="313"/>
      <c r="BI39" s="313"/>
      <c r="BJ39" s="313"/>
      <c r="BK39" s="313"/>
      <c r="BL39" s="313"/>
      <c r="BM39" s="313"/>
      <c r="BN39" s="313"/>
      <c r="BO39" s="313"/>
      <c r="BP39" s="313"/>
      <c r="BQ39" s="314"/>
    </row>
    <row r="40" ht="19.5" customHeight="1" spans="1:69">
      <c r="A40" s="309"/>
      <c r="B40" s="370" t="s">
        <v>58</v>
      </c>
      <c r="C40" s="366" t="e">
        <f>VLOOKUP("SB1",C6:C35,1,FALSE)</f>
        <v>#N/A</v>
      </c>
      <c r="D40" s="366" t="str">
        <f>VLOOKUP("SB1",D3:D35,1,FALSE)</f>
        <v>SB1</v>
      </c>
      <c r="E40" s="366" t="str">
        <f>VLOOKUP("SB1",E1:E35,1,FALSE)</f>
        <v>SB1</v>
      </c>
      <c r="F40" s="366" t="str">
        <f>VLOOKUP("SB1",F8:F35,1,FALSE)</f>
        <v>SB1</v>
      </c>
      <c r="G40" s="366" t="str">
        <f>VLOOKUP("SB1",G7:G35,1,FALSE)</f>
        <v>SB1</v>
      </c>
      <c r="H40" s="366" t="str">
        <f>VLOOKUP("SB1",H8:H35,1,FALSE)</f>
        <v>SB1</v>
      </c>
      <c r="I40" s="366" t="str">
        <f>VLOOKUP("SB1",I1:I35,1,FALSE)</f>
        <v>SB1</v>
      </c>
      <c r="J40" s="366" t="str">
        <f>VLOOKUP("SB1",J4:J35,1,FALSE)</f>
        <v>SB1</v>
      </c>
      <c r="K40" s="366" t="str">
        <f>VLOOKUP("SB1",K6:K35,1,FALSE)</f>
        <v>SB1</v>
      </c>
      <c r="L40" s="366" t="str">
        <f>VLOOKUP("SB1",L8:L35,1,FALSE)</f>
        <v>SB1</v>
      </c>
      <c r="M40" s="366" t="str">
        <f>VLOOKUP("SB1",M1:M29,1,FALSE)</f>
        <v>SB1</v>
      </c>
      <c r="N40" s="366" t="str">
        <f>VLOOKUP("SB1",N6:N35,1,FALSE)</f>
        <v>SB1</v>
      </c>
      <c r="O40" s="366" t="str">
        <f>VLOOKUP("SB1",O1:O35,1,FALSE)</f>
        <v>SB1</v>
      </c>
      <c r="P40" s="366" t="e">
        <f>VLOOKUP("SB1",P5:P35,1,FALSE)</f>
        <v>#N/A</v>
      </c>
      <c r="Q40" s="366" t="str">
        <f>VLOOKUP("SB1",Q1:Q33,1,FALSE)</f>
        <v>SB1</v>
      </c>
      <c r="R40" s="366" t="str">
        <f>VLOOKUP("SB1",R6:R27,1,FALSE)</f>
        <v>SB1</v>
      </c>
      <c r="S40" s="366" t="str">
        <f>VLOOKUP("SB1",S1:S35,1,FALSE)</f>
        <v>SB1</v>
      </c>
      <c r="T40" s="366" t="str">
        <f>VLOOKUP("SB1",T8:T35,1,FALSE)</f>
        <v>SB1</v>
      </c>
      <c r="U40" s="366" t="str">
        <f>VLOOKUP("SB1",U1:U35,1,FALSE)</f>
        <v>SB1</v>
      </c>
      <c r="V40" s="366" t="str">
        <f>VLOOKUP("SB1",V9:V27,1,FALSE)</f>
        <v>SB1</v>
      </c>
      <c r="W40" s="366" t="str">
        <f>VLOOKUP("SB1",W5:W27,1,FALSE)</f>
        <v>SB1</v>
      </c>
      <c r="X40" s="366" t="str">
        <f>VLOOKUP("SB1",X6:X35,1,FALSE)</f>
        <v>SB1</v>
      </c>
      <c r="Y40" s="366" t="str">
        <f>VLOOKUP("SB1",Y1:Y35,1,FALSE)</f>
        <v>SB1</v>
      </c>
      <c r="Z40" s="366" t="str">
        <f>VLOOKUP("SB1",Z9:Z35,1,FALSE)</f>
        <v>SB1</v>
      </c>
      <c r="AA40" s="366" t="str">
        <f>VLOOKUP("SB1",AA11:AA35,1,FALSE)</f>
        <v>SB1</v>
      </c>
      <c r="AB40" s="366" t="str">
        <f>VLOOKUP("SB1",AB1:AB35,1,FALSE)</f>
        <v>SB1</v>
      </c>
      <c r="AC40" s="366" t="str">
        <f>VLOOKUP("SB1",AC1:AC35,1,FALSE)</f>
        <v>SB1</v>
      </c>
      <c r="AD40" s="366" t="e">
        <f>VLOOKUP("SB1",AD6:AD35,1,FALSE)</f>
        <v>#N/A</v>
      </c>
      <c r="AE40" s="366" t="e">
        <f>VLOOKUP("SB1",AE7:AE35,1,FALSE)</f>
        <v>#N/A</v>
      </c>
      <c r="AF40" s="366" t="str">
        <f>VLOOKUP("SB1",AF5:AF35,1,FALSE)</f>
        <v>SB1</v>
      </c>
      <c r="AG40" s="366" t="e">
        <f>VLOOKUP("SB1",AG7:AG35,1,FALSE)</f>
        <v>#N/A</v>
      </c>
      <c r="AH40" s="387"/>
      <c r="AI40" s="311"/>
      <c r="AJ40" s="312"/>
      <c r="AK40" s="311"/>
      <c r="AL40" s="313"/>
      <c r="AM40" s="313"/>
      <c r="AN40" s="313"/>
      <c r="AO40" s="313"/>
      <c r="AP40" s="313"/>
      <c r="AQ40" s="313"/>
      <c r="AR40" s="313"/>
      <c r="AS40" s="313"/>
      <c r="AT40" s="313"/>
      <c r="AU40" s="313"/>
      <c r="AV40" s="313"/>
      <c r="AW40" s="313"/>
      <c r="AX40" s="313"/>
      <c r="AY40" s="313"/>
      <c r="AZ40" s="313"/>
      <c r="BA40" s="313"/>
      <c r="BB40" s="313"/>
      <c r="BC40" s="313"/>
      <c r="BD40" s="313"/>
      <c r="BE40" s="313"/>
      <c r="BF40" s="313"/>
      <c r="BG40" s="313"/>
      <c r="BH40" s="313"/>
      <c r="BI40" s="313"/>
      <c r="BJ40" s="313"/>
      <c r="BK40" s="313"/>
      <c r="BL40" s="313"/>
      <c r="BM40" s="313"/>
      <c r="BN40" s="313"/>
      <c r="BO40" s="313"/>
      <c r="BP40" s="313"/>
      <c r="BQ40" s="314"/>
    </row>
    <row r="41" ht="19.5" customHeight="1" spans="1:69">
      <c r="A41" s="309"/>
      <c r="B41" s="371" t="s">
        <v>93</v>
      </c>
      <c r="C41" s="366" t="e">
        <f>VLOOKUP("SB2",C6:C35,1,FALSE)</f>
        <v>#N/A</v>
      </c>
      <c r="D41" s="366" t="e">
        <f>VLOOKUP("SB2",D9:D35,1,FALSE)</f>
        <v>#N/A</v>
      </c>
      <c r="E41" s="366" t="str">
        <f>VLOOKUP("SB2",E7:E35,1,FALSE)</f>
        <v>SB2</v>
      </c>
      <c r="F41" s="366" t="str">
        <f>VLOOKUP("SB2",F1:F35,1,FALSE)</f>
        <v>SB2</v>
      </c>
      <c r="G41" s="366" t="str">
        <f>VLOOKUP("SB2",G7:G35,1,FALSE)</f>
        <v>SB2</v>
      </c>
      <c r="H41" s="366" t="str">
        <f>VLOOKUP("SB2",H8:H35,1,FALSE)</f>
        <v>SB2</v>
      </c>
      <c r="I41" s="366" t="str">
        <f>VLOOKUP("SB2",I6:I35,1,FALSE)</f>
        <v>SB2</v>
      </c>
      <c r="J41" s="366" t="e">
        <f>VLOOKUP("SB2",J4:J35,1,FALSE)</f>
        <v>#N/A</v>
      </c>
      <c r="K41" s="366" t="e">
        <f>VLOOKUP("SB2",K6:K35,1,FALSE)</f>
        <v>#N/A</v>
      </c>
      <c r="L41" s="366" t="str">
        <f>VLOOKUP("SB2",L11:L35,1,FALSE)</f>
        <v>SB2</v>
      </c>
      <c r="M41" s="366" t="str">
        <f>VLOOKUP("SB2",M8:M39,1,FALSE)</f>
        <v>SB2</v>
      </c>
      <c r="N41" s="366" t="str">
        <f>VLOOKUP("SB2",N6:N35,1,FALSE)</f>
        <v>SB2</v>
      </c>
      <c r="O41" s="366" t="str">
        <f>VLOOKUP("SB2",O8:O35,1,FALSE)</f>
        <v>SB2</v>
      </c>
      <c r="P41" s="366" t="str">
        <f>VLOOKUP("SB2",P8:P35,1,FALSE)</f>
        <v>SB2</v>
      </c>
      <c r="Q41" s="366" t="e">
        <f>VLOOKUP("SB2",Q10:Q33,1,FALSE)</f>
        <v>#N/A</v>
      </c>
      <c r="R41" s="366" t="e">
        <f>VLOOKUP("SB2",R6:R33,1,FALSE)</f>
        <v>#N/A</v>
      </c>
      <c r="S41" s="366" t="str">
        <f>VLOOKUP("SB2",S12:S35,1,FALSE)</f>
        <v>SB2</v>
      </c>
      <c r="T41" s="366" t="str">
        <f>VLOOKUP("SB2",T8:T35,1,FALSE)</f>
        <v>SB2</v>
      </c>
      <c r="U41" s="366" t="str">
        <f>VLOOKUP("SB2",U9:U35,1,FALSE)</f>
        <v>SB2</v>
      </c>
      <c r="V41" s="366" t="str">
        <f>VLOOKUP("SB2",V5:V35,1,FALSE)</f>
        <v>SB2</v>
      </c>
      <c r="W41" s="366" t="str">
        <f>VLOOKUP("SB2",W11:W32,1,FALSE)</f>
        <v>SB2</v>
      </c>
      <c r="X41" s="366" t="e">
        <f>VLOOKUP("SB2",X8:X35,1,FALSE)</f>
        <v>#N/A</v>
      </c>
      <c r="Y41" s="366" t="e">
        <f>VLOOKUP("SB2",Y6:Y35,1,FALSE)</f>
        <v>#N/A</v>
      </c>
      <c r="Z41" s="366" t="str">
        <f>VLOOKUP("SB2",Z9:Z35,1,FALSE)</f>
        <v>SB2</v>
      </c>
      <c r="AA41" s="366" t="str">
        <f>VLOOKUP("SB2",AA11:AA35,1,FALSE)</f>
        <v>SB2</v>
      </c>
      <c r="AB41" s="366" t="str">
        <f>VLOOKUP("SB2",AB9:AB35,1,FALSE)</f>
        <v>SB2</v>
      </c>
      <c r="AC41" s="366" t="str">
        <f>VLOOKUP("SB2",AC11:AC35,1,FALSE)</f>
        <v>SB2</v>
      </c>
      <c r="AD41" s="366" t="e">
        <f>VLOOKUP("SB2",AD6:AD35,1,FALSE)</f>
        <v>#N/A</v>
      </c>
      <c r="AE41" s="366" t="e">
        <f>VLOOKUP("SB2",AE7:AE35,1,FALSE)</f>
        <v>#N/A</v>
      </c>
      <c r="AF41" s="366" t="e">
        <f>VLOOKUP("SB2",AF7:AF35,1,FALSE)</f>
        <v>#N/A</v>
      </c>
      <c r="AG41" s="366" t="e">
        <f>VLOOKUP("SB2",AG7:AG35,1,FALSE)</f>
        <v>#N/A</v>
      </c>
      <c r="AH41" s="387"/>
      <c r="AI41" s="311"/>
      <c r="AJ41" s="312"/>
      <c r="AK41" s="311"/>
      <c r="AL41" s="313"/>
      <c r="AM41" s="313"/>
      <c r="AN41" s="313"/>
      <c r="AO41" s="313"/>
      <c r="AP41" s="313"/>
      <c r="AQ41" s="313"/>
      <c r="AR41" s="313"/>
      <c r="AS41" s="313"/>
      <c r="AT41" s="313"/>
      <c r="AU41" s="313"/>
      <c r="AV41" s="313"/>
      <c r="AW41" s="313"/>
      <c r="AX41" s="313"/>
      <c r="AY41" s="313"/>
      <c r="AZ41" s="313"/>
      <c r="BA41" s="313"/>
      <c r="BB41" s="313"/>
      <c r="BC41" s="313"/>
      <c r="BD41" s="313"/>
      <c r="BE41" s="313"/>
      <c r="BF41" s="313"/>
      <c r="BG41" s="313"/>
      <c r="BH41" s="313"/>
      <c r="BI41" s="313"/>
      <c r="BJ41" s="313"/>
      <c r="BK41" s="313"/>
      <c r="BL41" s="313"/>
      <c r="BM41" s="313"/>
      <c r="BN41" s="313"/>
      <c r="BO41" s="313"/>
      <c r="BP41" s="313"/>
      <c r="BQ41" s="314"/>
    </row>
    <row r="42" ht="19.5" customHeight="1" spans="1:69">
      <c r="A42" s="309"/>
      <c r="B42" s="372" t="s">
        <v>65</v>
      </c>
      <c r="C42" s="366" t="str">
        <f>VLOOKUP("AE",C6:C35,1,FALSE)</f>
        <v>AE</v>
      </c>
      <c r="D42" s="366" t="str">
        <f>VLOOKUP("AE",D9:D35,1,FALSE)</f>
        <v>AE</v>
      </c>
      <c r="E42" s="366" t="str">
        <f>VLOOKUP("AE",E7:E35,1,FALSE)</f>
        <v>AE</v>
      </c>
      <c r="F42" s="366" t="str">
        <f>VLOOKUP("AE",F1:F35,1,FALSE)</f>
        <v>AE</v>
      </c>
      <c r="G42" s="366" t="str">
        <f>VLOOKUP("AE",G7:G35,1,FALSE)</f>
        <v>AE</v>
      </c>
      <c r="H42" s="366" t="str">
        <f>VLOOKUP("AE",H8:H35,1,FALSE)</f>
        <v>AE</v>
      </c>
      <c r="I42" s="366" t="e">
        <f>VLOOKUP("AE",I6:I35,1,FALSE)</f>
        <v>#N/A</v>
      </c>
      <c r="J42" s="366" t="str">
        <f>VLOOKUP("AE",J4:J35,1,FALSE)</f>
        <v>AE</v>
      </c>
      <c r="K42" s="366" t="str">
        <f>VLOOKUP("AE",K6:K35,1,FALSE)</f>
        <v>AE</v>
      </c>
      <c r="L42" s="366" t="str">
        <f>VLOOKUP("AE",L11:L35,1,FALSE)</f>
        <v>AE</v>
      </c>
      <c r="M42" s="366" t="str">
        <f>VLOOKUP("AE",M8:M39,1,FALSE)</f>
        <v>AE</v>
      </c>
      <c r="N42" s="366" t="str">
        <f>VLOOKUP("AE",N6:N35,1,FALSE)</f>
        <v>AE</v>
      </c>
      <c r="O42" s="366" t="e">
        <f>VLOOKUP("AE",O8:O35,1,FALSE)</f>
        <v>#N/A</v>
      </c>
      <c r="P42" s="366" t="str">
        <f>VLOOKUP("AE",P8:P35,1,FALSE)</f>
        <v>AE</v>
      </c>
      <c r="Q42" s="366" t="str">
        <f>VLOOKUP("AE",Q10:Q33,1,FALSE)</f>
        <v>AE</v>
      </c>
      <c r="R42" s="366" t="str">
        <f>VLOOKUP("AE",R6:R33,1,FALSE)</f>
        <v>AE</v>
      </c>
      <c r="S42" s="366" t="str">
        <f>VLOOKUP("AE",S12:S35,1,FALSE)</f>
        <v>AE</v>
      </c>
      <c r="T42" s="366" t="str">
        <f>VLOOKUP("AE",T8:T35,1,FALSE)</f>
        <v>AE</v>
      </c>
      <c r="U42" s="366" t="str">
        <f>VLOOKUP("AE",U9:U35,1,FALSE)</f>
        <v>AE</v>
      </c>
      <c r="V42" s="366" t="str">
        <f>VLOOKUP("AE",V9:V37,1,FALSE)</f>
        <v>AE</v>
      </c>
      <c r="W42" s="366" t="str">
        <f>VLOOKUP("AE",W11:W35,1,FALSE)</f>
        <v>AE</v>
      </c>
      <c r="X42" s="366" t="str">
        <f>VLOOKUP("AE",X8:X35,1,FALSE)</f>
        <v>AE</v>
      </c>
      <c r="Y42" s="366" t="str">
        <f>VLOOKUP("AE",Y6:Y35,1,FALSE)</f>
        <v>AE</v>
      </c>
      <c r="Z42" s="366" t="str">
        <f>VLOOKUP("AE",Z9:Z35,1,FALSE)</f>
        <v>AE</v>
      </c>
      <c r="AA42" s="366" t="str">
        <f>VLOOKUP("AE",AA11:AA35,1,FALSE)</f>
        <v>AE</v>
      </c>
      <c r="AB42" s="366" t="str">
        <f>VLOOKUP("AE",AB9:AB35,1,FALSE)</f>
        <v>AE</v>
      </c>
      <c r="AC42" s="366" t="str">
        <f>VLOOKUP("AE",AC11:AC35,1,FALSE)</f>
        <v>AE</v>
      </c>
      <c r="AD42" s="366" t="str">
        <f>VLOOKUP("AE",AD6:AD35,1,FALSE)</f>
        <v>AE</v>
      </c>
      <c r="AE42" s="366" t="str">
        <f>VLOOKUP("AE",AE7:AE35,1,FALSE)</f>
        <v>AE</v>
      </c>
      <c r="AF42" s="366" t="str">
        <f>VLOOKUP("AE",AF7:AF35,1,FALSE)</f>
        <v>AE</v>
      </c>
      <c r="AG42" s="366" t="e">
        <f>VLOOKUP("AE",AG7:AG35,1,FALSE)</f>
        <v>#N/A</v>
      </c>
      <c r="AH42" s="387"/>
      <c r="AI42" s="311"/>
      <c r="AJ42" s="312"/>
      <c r="AK42" s="311"/>
      <c r="AL42" s="313"/>
      <c r="AM42" s="313"/>
      <c r="AN42" s="313"/>
      <c r="AO42" s="313"/>
      <c r="AP42" s="313"/>
      <c r="AQ42" s="313"/>
      <c r="AR42" s="313"/>
      <c r="AS42" s="313"/>
      <c r="AT42" s="313"/>
      <c r="AU42" s="313"/>
      <c r="AV42" s="313"/>
      <c r="AW42" s="313"/>
      <c r="AX42" s="313"/>
      <c r="AY42" s="313"/>
      <c r="AZ42" s="313"/>
      <c r="BA42" s="313"/>
      <c r="BB42" s="313"/>
      <c r="BC42" s="313"/>
      <c r="BD42" s="313"/>
      <c r="BE42" s="313"/>
      <c r="BF42" s="313"/>
      <c r="BG42" s="313"/>
      <c r="BH42" s="313"/>
      <c r="BI42" s="313"/>
      <c r="BJ42" s="313"/>
      <c r="BK42" s="313"/>
      <c r="BL42" s="313"/>
      <c r="BM42" s="313"/>
      <c r="BN42" s="313"/>
      <c r="BO42" s="313"/>
      <c r="BP42" s="313"/>
      <c r="BQ42" s="314"/>
    </row>
  </sheetData>
  <mergeCells count="1">
    <mergeCell ref="C1:S1"/>
  </mergeCells>
  <conditionalFormatting sqref="H10">
    <cfRule type="expression" dxfId="136" priority="7">
      <formula>WEEKDAY(H$3,2)&gt;5</formula>
    </cfRule>
  </conditionalFormatting>
  <conditionalFormatting sqref="D15">
    <cfRule type="expression" dxfId="136" priority="8">
      <formula>WEEKDAY(E$3,2)&gt;5</formula>
    </cfRule>
  </conditionalFormatting>
  <conditionalFormatting sqref="T18">
    <cfRule type="expression" dxfId="136" priority="1">
      <formula>WEEKDAY(U$3,2)&gt;5</formula>
    </cfRule>
    <cfRule type="expression" dxfId="136" priority="2">
      <formula>WEEKDAY(V$3,2)&gt;5</formula>
    </cfRule>
  </conditionalFormatting>
  <conditionalFormatting sqref="X27">
    <cfRule type="expression" dxfId="136" priority="3">
      <formula>WEEKDAY(AA$3,2)&gt;5</formula>
    </cfRule>
    <cfRule type="expression" dxfId="136" priority="4">
      <formula>WEEKDAY(Z$3,2)&gt;5</formula>
    </cfRule>
  </conditionalFormatting>
  <conditionalFormatting sqref="AF27">
    <cfRule type="expression" dxfId="136" priority="5">
      <formula>WEEKDAY(AG$3,2)&gt;5</formula>
    </cfRule>
    <cfRule type="expression" dxfId="136" priority="6">
      <formula>WEEKDAY(AF$3,2)&gt;5</formula>
    </cfRule>
  </conditionalFormatting>
  <conditionalFormatting sqref="K32">
    <cfRule type="expression" dxfId="136" priority="9">
      <formula>WEEKDAY(M$3,2)&gt;5</formula>
    </cfRule>
  </conditionalFormatting>
  <conditionalFormatting sqref="T2:X35 C3:S35 Y3:AH35">
    <cfRule type="expression" dxfId="136" priority="71">
      <formula>WEEKDAY(T$3,2)&gt;5</formula>
    </cfRule>
  </conditionalFormatting>
  <conditionalFormatting sqref="J4:J42 AA4:AA42 C5:I42 K5:R42 S5:S19 T5:Z42 AB5:AH42 S21:S42">
    <cfRule type="cellIs" dxfId="137" priority="56" operator="equal">
      <formula>"B"</formula>
    </cfRule>
    <cfRule type="cellIs" dxfId="137" priority="57" operator="equal">
      <formula>"AL"</formula>
    </cfRule>
    <cfRule type="cellIs" dxfId="138" priority="58" operator="equal">
      <formula>"DM"</formula>
    </cfRule>
    <cfRule type="cellIs" dxfId="139" priority="59" operator="equal">
      <formula>"CS1"</formula>
    </cfRule>
    <cfRule type="cellIs" dxfId="140" priority="60" operator="equal">
      <formula>"CS2"</formula>
    </cfRule>
    <cfRule type="cellIs" dxfId="141" priority="61" operator="equal">
      <formula>"SB1"</formula>
    </cfRule>
    <cfRule type="cellIs" dxfId="142" priority="62" operator="equal">
      <formula>"SB2"</formula>
    </cfRule>
    <cfRule type="cellIs" dxfId="143" priority="63" operator="equal">
      <formula>"AE"</formula>
    </cfRule>
  </conditionalFormatting>
  <conditionalFormatting sqref="J4:J35 AA4:AA35 C5:I35 K5:R35 S5:S19 T5:Z35 AB5:AH35 S21:S35">
    <cfRule type="cellIs" dxfId="137" priority="65" operator="equal">
      <formula>"DB"</formula>
    </cfRule>
    <cfRule type="containsText" dxfId="144" priority="66" operator="between" text="$AM">
      <formula>NOT(ISERROR(SEARCH("$AM",C4)))</formula>
    </cfRule>
    <cfRule type="containsText" dxfId="145" priority="67" operator="between" text="$PM">
      <formula>NOT(ISERROR(SEARCH("$PM",C4)))</formula>
    </cfRule>
    <cfRule type="containsText" dxfId="146" priority="68" operator="between" text="$L">
      <formula>NOT(ISERROR(SEARCH("$L",C4)))</formula>
    </cfRule>
    <cfRule type="containsText" dxfId="147" priority="69" operator="between" text="$BTP">
      <formula>NOT(ISERROR(SEARCH("$BTP",C4)))</formula>
    </cfRule>
    <cfRule type="containsText" dxfId="148" priority="70" operator="between" text="$M">
      <formula>NOT(ISERROR(SEARCH("$M",C4)))</formula>
    </cfRule>
    <cfRule type="containsText" dxfId="149" priority="72" operator="between" text="$N">
      <formula>NOT(ISERROR(SEARCH("$N",C4)))</formula>
    </cfRule>
    <cfRule type="containsText" dxfId="150" priority="73" operator="between" text="$FC">
      <formula>NOT(ISERROR(SEARCH("$FC",C4)))</formula>
    </cfRule>
    <cfRule type="containsText" dxfId="151" priority="74" operator="between" text="OAL">
      <formula>NOT(ISERROR(SEARCH("OAL",C4)))</formula>
    </cfRule>
    <cfRule type="containsText" dxfId="152" priority="75" operator="between" text="S+">
      <formula>NOT(ISERROR(SEARCH("S+",C4)))</formula>
    </cfRule>
    <cfRule type="containsText" dxfId="153" priority="76" operator="between" text="EX-D">
      <formula>NOT(ISERROR(SEARCH("EX-D",C4)))</formula>
    </cfRule>
  </conditionalFormatting>
  <conditionalFormatting sqref="J4:J27 C5:C22 D5:D26 E5:E8 F5 G5:G21 H5 I5:I27 K5:K22 L5:L27 M5:M13 N5:N7 O5:O8 P5 Q5:Q29 S5:S7 T5 V5:V29 W5:W27 X5:X29 Y5:Y27 Z5 AA5:AA13 AB5:AB9 AC5:AC13 AD5:AF33 AG5:AG27 AH5 R6:R29 U6:U7 F7:F27 H7:H27 P7:P28 T7:T20 Z7:Z25 AH7:AH27 N9:N17 S9:S19 E10:E27 O10:O11 U11:U18 AB12:AB27 O13:O27 M15:M27 AA15:AA30 AC15:AC30 N19:N29 U20:U24 S21:S30 T22:T29 G23:G27 C24:C27 K24:K27 U26:U31 Z27 D29 F29:F30 I29:I30 L29 O29:O30 Y29:Z30 AB29 AH29 E30 G30:H30 M30:M31 J31:J32 N31 P31 W31 AB31:AB34 K32:L32 AA32:AA34 AC32:AC34 AG32:AH32 E33:I33 N33:U33 W33:X33 Y33:Z34 U35">
    <cfRule type="containsText" dxfId="154" priority="77" operator="between" text="VACC">
      <formula>NOT(ISERROR(SEARCH("VACC",C4)))</formula>
    </cfRule>
  </conditionalFormatting>
  <conditionalFormatting sqref="C5:C14 D5 H5 M5:M6 O5:O6 V5 G6 D7 E7:E8 F7:F10 I7 N7 G8:H9 J8:M8 E10 K10 E12:E13 F12:K12 L12:L13 M12 D15 I15:J15 O15 C16:C22 G16 Q17 E18:G18 H18:H20 I18 K18 J19:J20 E20:E22 F20 G20:G21 I20:I21 K20:O20 D22:D23 J22 O22 U22 AA22 C24:C27 D25 S25:S26 W25:Z25 E26:M27 N26:R26 T26 N28 P28 M30 N31 L32 G33">
    <cfRule type="cellIs" dxfId="137" priority="12" operator="equal">
      <formula>"B"</formula>
    </cfRule>
    <cfRule type="cellIs" dxfId="137" priority="13" operator="equal">
      <formula>"AL"</formula>
    </cfRule>
    <cfRule type="cellIs" dxfId="138" priority="14" operator="equal">
      <formula>"DM"</formula>
    </cfRule>
    <cfRule type="cellIs" dxfId="139" priority="15" operator="equal">
      <formula>"CS1"</formula>
    </cfRule>
    <cfRule type="cellIs" dxfId="140" priority="16" operator="equal">
      <formula>"CS2"</formula>
    </cfRule>
    <cfRule type="cellIs" dxfId="141" priority="17" operator="equal">
      <formula>"SB1"</formula>
    </cfRule>
    <cfRule type="cellIs" dxfId="142" priority="18" operator="equal">
      <formula>"SB2"</formula>
    </cfRule>
    <cfRule type="cellIs" dxfId="143" priority="19" operator="equal">
      <formula>"AE"</formula>
    </cfRule>
    <cfRule type="cellIs" dxfId="137" priority="20" operator="equal">
      <formula>"DB"</formula>
    </cfRule>
    <cfRule type="containsText" dxfId="144" priority="21" operator="between" text="$AM">
      <formula>NOT(ISERROR(SEARCH("$AM",C5)))</formula>
    </cfRule>
    <cfRule type="containsText" dxfId="145" priority="22" operator="between" text="$PM">
      <formula>NOT(ISERROR(SEARCH("$PM",C5)))</formula>
    </cfRule>
    <cfRule type="containsText" dxfId="146" priority="23" operator="between" text="$L">
      <formula>NOT(ISERROR(SEARCH("$L",C5)))</formula>
    </cfRule>
    <cfRule type="containsText" dxfId="147" priority="24" operator="between" text="$BTP">
      <formula>NOT(ISERROR(SEARCH("$BTP",C5)))</formula>
    </cfRule>
    <cfRule type="containsText" dxfId="148" priority="25" operator="between" text="$M">
      <formula>NOT(ISERROR(SEARCH("$M",C5)))</formula>
    </cfRule>
    <cfRule type="containsText" dxfId="149" priority="26" operator="between" text="$N">
      <formula>NOT(ISERROR(SEARCH("$N",C5)))</formula>
    </cfRule>
    <cfRule type="containsText" dxfId="150" priority="27" operator="between" text="$FC">
      <formula>NOT(ISERROR(SEARCH("$FC",C5)))</formula>
    </cfRule>
    <cfRule type="containsText" dxfId="151" priority="28" operator="between" text="OAL">
      <formula>NOT(ISERROR(SEARCH("OAL",C5)))</formula>
    </cfRule>
    <cfRule type="containsText" dxfId="152" priority="29" operator="between" text="S+">
      <formula>NOT(ISERROR(SEARCH("S+",C5)))</formula>
    </cfRule>
    <cfRule type="containsText" dxfId="153" priority="30" operator="between" text="EX-D">
      <formula>NOT(ISERROR(SEARCH("EX-D",C5)))</formula>
    </cfRule>
  </conditionalFormatting>
  <conditionalFormatting sqref="C5:C22 D5:D26 E5:E27 F5 G5:G21 H5 I5:J27 K5:K22 L5:L27 M5:M13 N5:N7 O5:O8 P5 Q5:Q29 R5:R27 S5:S7 T5 V5:V7 W5:W17 X5:Y27 Z5 AA5:AA13 AB5:AB9 AC5:AC13 AD5:AF33 AG5:AG27 AH5 U6:U7 F7:F27 H7:H27 P7:P28 T7 Z7:Z25 AH7:AH27 N9:N17 S9:S19 T9:T23 V9:V27 O10:O11 U11:U18 AB12:AB27 O13:O27 M15:M27 AA15:AA30 AC15:AC29 N19:N29 W19:W27 U20:U24 S21:S27 G23:G27 C24:C27 K24:K27 T26:U27 Z27 D29 F29:F30 I29:I30 L29 O29:O30 R29:T29 V29 X29 Y29:Z30 AB29 AH29 E30 G30:H30 M30:M31 U30:U31 J31:J32 N31 P31 W31 AB31:AB34 K32:L32 AA32:AA34 AC32:AC34 E33:I33 N33:Q33 S33:U33 X33 Y33:Z34 U35">
    <cfRule type="cellIs" dxfId="137" priority="35" operator="equal">
      <formula>"B"</formula>
    </cfRule>
    <cfRule type="cellIs" dxfId="137" priority="36" operator="equal">
      <formula>"AL"</formula>
    </cfRule>
    <cfRule type="cellIs" dxfId="138" priority="37" operator="equal">
      <formula>"DM"</formula>
    </cfRule>
    <cfRule type="cellIs" dxfId="139" priority="38" operator="equal">
      <formula>"CS1"</formula>
    </cfRule>
    <cfRule type="cellIs" dxfId="140" priority="39" operator="equal">
      <formula>"CS2"</formula>
    </cfRule>
    <cfRule type="cellIs" dxfId="141" priority="40" operator="equal">
      <formula>"SB1"</formula>
    </cfRule>
    <cfRule type="cellIs" dxfId="142" priority="41" operator="equal">
      <formula>"SB2"</formula>
    </cfRule>
    <cfRule type="cellIs" dxfId="143" priority="42" operator="equal">
      <formula>"AE"</formula>
    </cfRule>
    <cfRule type="cellIs" dxfId="137" priority="44" operator="equal">
      <formula>"DB"</formula>
    </cfRule>
    <cfRule type="containsText" dxfId="144" priority="45" operator="between" text="$AM">
      <formula>NOT(ISERROR(SEARCH("$AM",C5)))</formula>
    </cfRule>
    <cfRule type="containsText" dxfId="145" priority="46" operator="between" text="$PM">
      <formula>NOT(ISERROR(SEARCH("$PM",C5)))</formula>
    </cfRule>
    <cfRule type="containsText" dxfId="146" priority="47" operator="between" text="$L">
      <formula>NOT(ISERROR(SEARCH("$L",C5)))</formula>
    </cfRule>
    <cfRule type="containsText" dxfId="147" priority="48" operator="between" text="$BTP">
      <formula>NOT(ISERROR(SEARCH("$BTP",C5)))</formula>
    </cfRule>
    <cfRule type="containsText" dxfId="148" priority="49" operator="between" text="$M">
      <formula>NOT(ISERROR(SEARCH("$M",C5)))</formula>
    </cfRule>
    <cfRule type="containsText" dxfId="149" priority="50" operator="between" text="$N">
      <formula>NOT(ISERROR(SEARCH("$N",C5)))</formula>
    </cfRule>
    <cfRule type="containsText" dxfId="150" priority="51" operator="between" text="$FC">
      <formula>NOT(ISERROR(SEARCH("$FC",C5)))</formula>
    </cfRule>
    <cfRule type="containsText" dxfId="151" priority="52" operator="between" text="OAL">
      <formula>NOT(ISERROR(SEARCH("OAL",C5)))</formula>
    </cfRule>
    <cfRule type="containsText" dxfId="152" priority="53" operator="between" text="S+">
      <formula>NOT(ISERROR(SEARCH("S+",C5)))</formula>
    </cfRule>
    <cfRule type="containsText" dxfId="153" priority="54" operator="between" text="EX-D">
      <formula>NOT(ISERROR(SEARCH("EX-D",C5)))</formula>
    </cfRule>
  </conditionalFormatting>
  <conditionalFormatting sqref="C5:C22 D5:D26 E5:E27 F5 G5:G21 H5 I5:J27 K5:K22 L5:L27 M5:M13 N5:N7 O5:O8 P5 Q5:Q29 S5:S7 T5 V5:V7 W5:W17 X5:Y27 Z5 AA5:AA13 AB5:AB9 AC5:AC13 AD5:AF33 AG5:AG27 AH5 R6:R27 U6:U7 F7:F27 H7:H27 P7:P29 T7 Z7:Z25 AH7:AH27 N9:N17 S9:S19 T9:T23 V9:V27 O10:O11 U11:U18 AB12:AB27 O13:O27 M15:M27 AA15:AA30 AC15:AC29 N19:N29 W19:W27 U20:U24 S21:S27 G23:G27 C24:C27 K24:K27 T26:U27 Z27 D29 F29:F30 I29:I30 L29 O29:O30 R29:T29 V29 X29 Y29:Z30 AB29 AH29 E30 G30:H30 M30:M31 U30:U31 J31:J32 N31 P31 W31 AB31:AB34 K32:L32 AA32:AA34 AC32:AC34 E33:I33 N33:Q33 S33:U33 X33 Y33:Z34 U35">
    <cfRule type="containsText" dxfId="154" priority="43" operator="between" text="VACC">
      <formula>NOT(ISERROR(SEARCH("VACC",C5)))</formula>
    </cfRule>
  </conditionalFormatting>
  <conditionalFormatting sqref="C5:C22 D5:D7 E5:E27 F5 G5:G21 H5 I5:J27 K5:K22 L5:L27 M5:M13 N5:N7 O5:O8 P5 S5:S7 T5 V5 W5:W17 X5:Y27 Z5 AA5:AA13 AB5:AB9 AC5:AC13 AD5:AE33 AF5:AF12 AG5:AG14 AH5 Q6 R6:R27 U6:U7 F7:F27 H7:H27 P7:P28 T7 V7 Z7:Z25 AH7:AH14 Q8:Q24 N9:N17 S9:S19 T9:T23 V9:V27 D10:D26 O10:O11 U11:U18 AB12:AB27 O13:O27 AF14:AF33 M15:M27 AA15:AA30 AC15:AC29 AG16:AH27 N19:N29 W19:W27 U20:U24 S21:S27 G23:G27 C24:C27 K24:K27 Q26:Q29 T26:U27 Z27 D29 F29:F30 I29:I30 L29 O29:O30 R29:T29 V29 X29 Y29:Z30 AB29 AH29 E30 G30:H30 M30:M31 U30:U31 J31:J32 N31 P31 W31 AB31:AB34 K32:L32 AA32:AA34 AC32:AC34 E33:I33 N33:Q33 S33:U33 X33 Y33:Z34 U35">
    <cfRule type="expression" dxfId="136" priority="55">
      <formula>WEEKDAY(#REF!,2)&gt;5</formula>
    </cfRule>
  </conditionalFormatting>
  <conditionalFormatting sqref="G5 AA6 U7 AB9 P10 U12:W12 Z12 AB12 T13 H15 AB17 F18:G18 AA18 T19 O23 T23 G25 P25 E27 G27 F29 T29 AA30 U33 U35">
    <cfRule type="expression" dxfId="136" priority="33">
      <formula>WEEKDAY(H$3,2)&gt;5</formula>
    </cfRule>
  </conditionalFormatting>
  <conditionalFormatting sqref="BP5:BQ35">
    <cfRule type="cellIs" dxfId="155" priority="64" operator="lessThan">
      <formula>1</formula>
    </cfRule>
  </conditionalFormatting>
  <conditionalFormatting sqref="C6:C14 G6 D7 E7:E8 F7:F10 I7 N7 G8:H9 J8:M8 E10 K10 E12:E13 F12:M12 D15 I15:J15 C16 G16 C18:C21 E18:G18 H18:H20 I18 K18 J19:J20 E20:E21 F20 G20:G21 I20:I21 K20:O20 J22 AA22 D23 C24 O25:O26 S25:S26 W25:Z25 C26:C27 E26:M27 N26 P26:R26 T26 P29 M30 N31 G33">
    <cfRule type="expression" dxfId="136" priority="31">
      <formula>WEEKDAY(#REF!,2)&gt;5</formula>
    </cfRule>
  </conditionalFormatting>
  <conditionalFormatting sqref="AA6 U7 AB9 F11 C12 U12:W12 Z12 T13 F15 H15 AB17 C19 T19 F22 T23 E27 T29 AA30 U33">
    <cfRule type="expression" dxfId="136" priority="32">
      <formula>WEEKDAY(AC$3,2)&gt;5</formula>
    </cfRule>
  </conditionalFormatting>
  <conditionalFormatting sqref="C8:C9 E11:F11 C12 F15 C19 F22 C24">
    <cfRule type="expression" dxfId="136" priority="34">
      <formula>WEEKDAY(E$3,2)&gt;5</formula>
    </cfRule>
  </conditionalFormatting>
  <conditionalFormatting sqref="S9 P10 O17 Q33">
    <cfRule type="expression" dxfId="136" priority="10">
      <formula>WEEKDAY(N$3,2)&gt;5</formula>
    </cfRule>
    <cfRule type="expression" dxfId="136" priority="11">
      <formula>WEEKDAY(M$3,2)&gt;5</formula>
    </cfRule>
  </conditionalFormatting>
  <dataValidations count="2">
    <dataValidation type="list" allowBlank="1" sqref="D5:M5 O5 S5 V5:W5 Y5:Z5 AB5 AD5:AE5 AG5:AH5 C6:D6 G6 M6:O6 Q6:R6 X6:Y6 AA6 AC6:AD6 AF6 E7:G7 N7 P7 S7 X7 Z7:AA7 AC7 AE7 AG7:AH7 E8:M8 O8:R8 W8:Y8 AE8:AH8 F9:K9 M9:N9 Q9 S9:T9 V9 X9 Z9 AG9:AH9 F10 H10:K10 N10 P10:T10 AC10:AE10 AH10 D11:M11 O11:R11 T11 AD11:AE11 AG11:AH11 C12:O12 R12:Z12 AB12:AD12 AF12:AH12 C13 E13 H13 J13 L13:V13 Y13 AB13:AE13 AG13:AH13 C14:E14 G14:K14 N14:Q14 S14 U14:X14 Z14:AA14 AD14 AF14:AH14 D15:O15 Q15:T15 V15:AA15 AC15:AH15 C16:G16 I16 K16:N16 P16:AA16 AC16:AD16 AF16:AH16 C17:J17 L17:M17 O17:Q17 S17:AH17 C18:I18 K18 M18 O18:T18 V18:X18 Z18:AH18 C19:L19 N19:R19 T19 V19:Z19 AC19:AH19 C20:P20 R20 T20:AH20 C21:Q21 S21 U21:AH21 C22:H22 J22:S22 U22:Y22 AA22:AB22 AD22:AF22 C23:D23 F23 H23:I23 N23:O23 Q23:R23 T23 V23:AE23 AG23:AH23 C24:H24 J24:L24 O24:Q24 S24 U24:AA24 AC24:AH24 C25:D25 F25:H25 L25:AH25 C26:W26 Y26 AA26:AH26 E27:P27 R27:X27 Z27:AB27 AD27:AH27 J28:V28 X28 Z28:AA28 AC28:AH28 J29:M29 O29:V29 Y29:AD29 AF29 AH29 C30:O30 R30 T30:V30 X30:AA30 AD30:AE30 AG30:AH30 C31:F31 I31:J31 L31:N31 P31 R31:U31 W31:AH31 D32:F32 J32:L32 O32:Q32 S32:AE32 AG32:AH32 C33:N33 P33:Q33 T33:U33 X33:AD33 AF33 C34:D34 J34:L34 T34:V34 X34 AD34:AH34 C35:L35 S35:AH35 C7:C8 C27:C29 U6:U8 C9:D10 E28:H29 I6:K7 N34:P35 V10:AA11 AB8:AC9" showDropDown="1">
      <formula1>'Setting key Duty'!$B$7:$B$56</formula1>
    </dataValidation>
    <dataValidation type="list" allowBlank="1" sqref="C36:AH42" showDropDown="1">
      <formula1>'Setting key Duty'!$B$7:$B$23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BQ47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C5" sqref="C5"/>
    </sheetView>
  </sheetViews>
  <sheetFormatPr defaultColWidth="12.6285714285714" defaultRowHeight="15.75" customHeight="1"/>
  <cols>
    <col min="1" max="1" width="2.13333333333333" customWidth="1"/>
    <col min="2" max="2" width="29.752380952381" customWidth="1"/>
    <col min="3" max="11" width="9.24761904761905" customWidth="1"/>
    <col min="12" max="12" width="9.38095238095238" customWidth="1"/>
    <col min="13" max="13" width="10.6285714285714" customWidth="1"/>
    <col min="14" max="14" width="9.24761904761905" customWidth="1"/>
    <col min="15" max="15" width="10" customWidth="1"/>
    <col min="16" max="17" width="9.24761904761905" customWidth="1"/>
    <col min="18" max="18" width="9.62857142857143" customWidth="1"/>
    <col min="19" max="19" width="9.13333333333333" customWidth="1"/>
    <col min="20" max="26" width="9.24761904761905" customWidth="1"/>
    <col min="27" max="27" width="10.5047619047619" customWidth="1"/>
    <col min="28" max="30" width="9.24761904761905" customWidth="1"/>
    <col min="31" max="31" width="10.5047619047619" customWidth="1"/>
    <col min="32" max="32" width="9.38095238095238" customWidth="1"/>
    <col min="33" max="34" width="9.24761904761905" customWidth="1"/>
    <col min="35" max="41" width="9.38095238095238" hidden="1" customWidth="1" outlineLevel="1"/>
    <col min="42" max="42" width="6.75238095238095" customWidth="1" collapsed="1"/>
    <col min="43" max="43" width="8.87619047619048" customWidth="1" outlineLevel="1"/>
    <col min="44" max="44" width="7.87619047619048" customWidth="1" outlineLevel="1"/>
    <col min="45" max="45" width="9.13333333333333" customWidth="1" outlineLevel="1"/>
    <col min="46" max="46" width="8.24761904761905" customWidth="1" outlineLevel="1"/>
    <col min="47" max="47" width="5.5047619047619" customWidth="1" outlineLevel="1"/>
    <col min="48" max="50" width="9.38095238095238" customWidth="1"/>
    <col min="51" max="58" width="9.38095238095238" customWidth="1" outlineLevel="1"/>
    <col min="59" max="59" width="10" customWidth="1" outlineLevel="1"/>
    <col min="60" max="65" width="9.38095238095238" customWidth="1" outlineLevel="1"/>
    <col min="66" max="66" width="9.38095238095238" customWidth="1"/>
    <col min="67" max="67" width="9.5047619047619" customWidth="1"/>
    <col min="68" max="69" width="9.38095238095238" customWidth="1"/>
  </cols>
  <sheetData>
    <row r="1" ht="3" customHeight="1" spans="1:69">
      <c r="A1" s="284"/>
      <c r="B1" s="285" t="s">
        <v>0</v>
      </c>
      <c r="C1" s="286" t="str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>
  Enter DM for DM, CS1 for CS1, CS2 for CS2, and SB1 for SB1. Use the 'Setting key' tab to customise. Change Date on highlighted cell
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0"/>
      <c r="BE1" s="290"/>
      <c r="BF1" s="290"/>
      <c r="BG1" s="290"/>
      <c r="BH1" s="290"/>
      <c r="BI1" s="290"/>
      <c r="BJ1" s="290"/>
      <c r="BK1" s="290"/>
      <c r="BL1" s="290"/>
      <c r="BM1" s="290"/>
      <c r="BN1" s="290"/>
      <c r="BO1" s="290"/>
      <c r="BP1" s="290"/>
      <c r="BQ1" s="291"/>
    </row>
    <row r="2" ht="26.25" customHeight="1" spans="1:69">
      <c r="A2" s="292"/>
      <c r="B2" s="24" t="s">
        <v>1</v>
      </c>
      <c r="C2" s="167"/>
      <c r="D2" s="167" t="s">
        <v>344</v>
      </c>
      <c r="E2" s="167"/>
      <c r="F2" s="167" t="s">
        <v>273</v>
      </c>
      <c r="G2" s="167" t="s">
        <v>149</v>
      </c>
      <c r="H2" s="167" t="s">
        <v>149</v>
      </c>
      <c r="I2" s="167"/>
      <c r="J2" s="167" t="s">
        <v>345</v>
      </c>
      <c r="K2" s="167"/>
      <c r="L2" s="167"/>
      <c r="M2" s="167"/>
      <c r="N2" s="167" t="s">
        <v>346</v>
      </c>
      <c r="O2" s="167" t="s">
        <v>347</v>
      </c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294"/>
      <c r="AB2" s="167"/>
      <c r="AC2" s="167"/>
      <c r="AD2" s="167" t="s">
        <v>10</v>
      </c>
      <c r="AE2" s="167"/>
      <c r="AF2" s="167"/>
      <c r="AG2" s="167" t="s">
        <v>348</v>
      </c>
      <c r="AH2" s="258"/>
      <c r="AI2" s="218"/>
      <c r="AJ2" s="218"/>
      <c r="AK2" s="218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  <c r="AX2" s="295"/>
      <c r="AY2" s="295"/>
      <c r="AZ2" s="295"/>
      <c r="BA2" s="296" t="s">
        <v>16</v>
      </c>
      <c r="BB2" s="296"/>
      <c r="BC2" s="296" t="s">
        <v>17</v>
      </c>
      <c r="BD2" s="296"/>
      <c r="BE2" s="296" t="s">
        <v>18</v>
      </c>
      <c r="BF2" s="296"/>
      <c r="BG2" s="296"/>
      <c r="BH2" s="296" t="s">
        <v>19</v>
      </c>
      <c r="BI2" s="296"/>
      <c r="BJ2" s="296" t="s">
        <v>20</v>
      </c>
      <c r="BK2" s="296"/>
      <c r="BL2" s="296"/>
      <c r="BM2" s="296"/>
      <c r="BN2" s="295"/>
      <c r="BO2" s="295"/>
      <c r="BP2" s="295"/>
      <c r="BQ2" s="297"/>
    </row>
    <row r="3" ht="26.25" customHeight="1" spans="1:69">
      <c r="A3" s="292"/>
      <c r="B3" s="24" t="s">
        <v>21</v>
      </c>
      <c r="C3" s="380">
        <v>45717</v>
      </c>
      <c r="D3" s="299">
        <f t="shared" ref="D3:AH3" si="0">C3+1</f>
        <v>45718</v>
      </c>
      <c r="E3" s="299">
        <f t="shared" si="0"/>
        <v>45719</v>
      </c>
      <c r="F3" s="299">
        <f t="shared" si="0"/>
        <v>45720</v>
      </c>
      <c r="G3" s="299">
        <f t="shared" si="0"/>
        <v>45721</v>
      </c>
      <c r="H3" s="299">
        <f t="shared" si="0"/>
        <v>45722</v>
      </c>
      <c r="I3" s="299">
        <f t="shared" si="0"/>
        <v>45723</v>
      </c>
      <c r="J3" s="299">
        <f t="shared" si="0"/>
        <v>45724</v>
      </c>
      <c r="K3" s="299">
        <f t="shared" si="0"/>
        <v>45725</v>
      </c>
      <c r="L3" s="299">
        <f t="shared" si="0"/>
        <v>45726</v>
      </c>
      <c r="M3" s="299">
        <f t="shared" si="0"/>
        <v>45727</v>
      </c>
      <c r="N3" s="299">
        <f t="shared" si="0"/>
        <v>45728</v>
      </c>
      <c r="O3" s="299">
        <f t="shared" si="0"/>
        <v>45729</v>
      </c>
      <c r="P3" s="299">
        <f t="shared" si="0"/>
        <v>45730</v>
      </c>
      <c r="Q3" s="299">
        <f t="shared" si="0"/>
        <v>45731</v>
      </c>
      <c r="R3" s="299">
        <f t="shared" si="0"/>
        <v>45732</v>
      </c>
      <c r="S3" s="299">
        <f t="shared" si="0"/>
        <v>45733</v>
      </c>
      <c r="T3" s="299">
        <f t="shared" si="0"/>
        <v>45734</v>
      </c>
      <c r="U3" s="299">
        <f t="shared" si="0"/>
        <v>45735</v>
      </c>
      <c r="V3" s="299">
        <f t="shared" si="0"/>
        <v>45736</v>
      </c>
      <c r="W3" s="299">
        <f t="shared" si="0"/>
        <v>45737</v>
      </c>
      <c r="X3" s="299">
        <f t="shared" si="0"/>
        <v>45738</v>
      </c>
      <c r="Y3" s="299">
        <f t="shared" si="0"/>
        <v>45739</v>
      </c>
      <c r="Z3" s="299">
        <f t="shared" si="0"/>
        <v>45740</v>
      </c>
      <c r="AA3" s="299">
        <f t="shared" si="0"/>
        <v>45741</v>
      </c>
      <c r="AB3" s="299">
        <f t="shared" si="0"/>
        <v>45742</v>
      </c>
      <c r="AC3" s="299">
        <f t="shared" si="0"/>
        <v>45743</v>
      </c>
      <c r="AD3" s="299">
        <f t="shared" si="0"/>
        <v>45744</v>
      </c>
      <c r="AE3" s="299">
        <f t="shared" si="0"/>
        <v>45745</v>
      </c>
      <c r="AF3" s="299">
        <f t="shared" si="0"/>
        <v>45746</v>
      </c>
      <c r="AG3" s="300">
        <f t="shared" si="0"/>
        <v>45747</v>
      </c>
      <c r="AH3" s="299">
        <f t="shared" si="0"/>
        <v>45748</v>
      </c>
      <c r="AI3" s="221" t="str">
        <f>'Setting key Duty'!$C7</f>
        <v>DM</v>
      </c>
      <c r="AJ3" s="222" t="str">
        <f>'Setting key Duty'!$C8</f>
        <v>CS1</v>
      </c>
      <c r="AK3" s="223" t="str">
        <f>'Setting key Duty'!$C9</f>
        <v>CS2</v>
      </c>
      <c r="AL3" s="302" t="str">
        <f>'Setting key Duty'!$C11</f>
        <v>SB1</v>
      </c>
      <c r="AM3" s="302" t="str">
        <f>'Setting key Duty'!$C12</f>
        <v>SB2</v>
      </c>
      <c r="AN3" s="302" t="str">
        <f>'Setting key Duty'!$C13</f>
        <v>AE</v>
      </c>
      <c r="AO3" s="302" t="str">
        <f>'Setting key Duty'!C14</f>
        <v>EM</v>
      </c>
      <c r="AP3" s="223"/>
      <c r="AQ3" s="223" t="s">
        <v>22</v>
      </c>
      <c r="AR3" s="223" t="s">
        <v>23</v>
      </c>
      <c r="AS3" s="223" t="s">
        <v>24</v>
      </c>
      <c r="AT3" s="223" t="s">
        <v>25</v>
      </c>
      <c r="AU3" s="223" t="s">
        <v>26</v>
      </c>
      <c r="AV3" s="223" t="s">
        <v>27</v>
      </c>
      <c r="AW3" s="223" t="s">
        <v>28</v>
      </c>
      <c r="AX3" s="223" t="s">
        <v>29</v>
      </c>
      <c r="AY3" s="223" t="s">
        <v>30</v>
      </c>
      <c r="AZ3" s="223" t="s">
        <v>31</v>
      </c>
      <c r="BA3" s="302" t="s">
        <v>32</v>
      </c>
      <c r="BB3" s="302" t="s">
        <v>33</v>
      </c>
      <c r="BC3" s="302" t="s">
        <v>34</v>
      </c>
      <c r="BD3" s="302" t="s">
        <v>35</v>
      </c>
      <c r="BE3" s="302" t="s">
        <v>36</v>
      </c>
      <c r="BF3" s="302" t="s">
        <v>37</v>
      </c>
      <c r="BG3" s="302" t="s">
        <v>38</v>
      </c>
      <c r="BH3" s="302" t="s">
        <v>39</v>
      </c>
      <c r="BI3" s="302" t="s">
        <v>40</v>
      </c>
      <c r="BJ3" s="302" t="s">
        <v>41</v>
      </c>
      <c r="BK3" s="302" t="s">
        <v>42</v>
      </c>
      <c r="BL3" s="302" t="str">
        <f>'Setting key Duty'!C52</f>
        <v>Field Camp</v>
      </c>
      <c r="BM3" s="302" t="s">
        <v>43</v>
      </c>
      <c r="BN3" s="302" t="str">
        <f>'Setting key Duty'!$C15</f>
        <v>Block</v>
      </c>
      <c r="BO3" s="302" t="str">
        <f>'Setting key Duty'!C17</f>
        <v>Reserve</v>
      </c>
      <c r="BP3" s="302" t="str">
        <f>'Setting key Duty'!$C22</f>
        <v>AL</v>
      </c>
      <c r="BQ3" s="297"/>
    </row>
    <row r="4" ht="18" customHeight="1" spans="1:69">
      <c r="A4" s="303"/>
      <c r="B4" s="260" t="s">
        <v>156</v>
      </c>
      <c r="C4" s="305" t="str">
        <f t="shared" ref="C4:AH4" si="1">TEXT(C3,"ddd")</f>
        <v>Sat</v>
      </c>
      <c r="D4" s="305" t="str">
        <f t="shared" si="1"/>
        <v>Sun</v>
      </c>
      <c r="E4" s="305" t="str">
        <f t="shared" si="1"/>
        <v>Mon</v>
      </c>
      <c r="F4" s="305" t="str">
        <f t="shared" si="1"/>
        <v>Tue</v>
      </c>
      <c r="G4" s="305" t="str">
        <f t="shared" si="1"/>
        <v>Wed</v>
      </c>
      <c r="H4" s="305" t="str">
        <f t="shared" si="1"/>
        <v>Thu</v>
      </c>
      <c r="I4" s="305" t="str">
        <f t="shared" si="1"/>
        <v>Fri</v>
      </c>
      <c r="J4" s="305" t="str">
        <f t="shared" si="1"/>
        <v>Sat</v>
      </c>
      <c r="K4" s="305" t="str">
        <f t="shared" si="1"/>
        <v>Sun</v>
      </c>
      <c r="L4" s="305" t="str">
        <f t="shared" si="1"/>
        <v>Mon</v>
      </c>
      <c r="M4" s="305" t="str">
        <f t="shared" si="1"/>
        <v>Tue</v>
      </c>
      <c r="N4" s="305" t="str">
        <f t="shared" si="1"/>
        <v>Wed</v>
      </c>
      <c r="O4" s="305" t="str">
        <f t="shared" si="1"/>
        <v>Thu</v>
      </c>
      <c r="P4" s="305" t="str">
        <f t="shared" si="1"/>
        <v>Fri</v>
      </c>
      <c r="Q4" s="305" t="str">
        <f t="shared" si="1"/>
        <v>Sat</v>
      </c>
      <c r="R4" s="305" t="str">
        <f t="shared" si="1"/>
        <v>Sun</v>
      </c>
      <c r="S4" s="305" t="str">
        <f t="shared" si="1"/>
        <v>Mon</v>
      </c>
      <c r="T4" s="305" t="str">
        <f t="shared" si="1"/>
        <v>Tue</v>
      </c>
      <c r="U4" s="305" t="str">
        <f t="shared" si="1"/>
        <v>Wed</v>
      </c>
      <c r="V4" s="305" t="str">
        <f t="shared" si="1"/>
        <v>Thu</v>
      </c>
      <c r="W4" s="305" t="str">
        <f t="shared" si="1"/>
        <v>Fri</v>
      </c>
      <c r="X4" s="305" t="str">
        <f t="shared" si="1"/>
        <v>Sat</v>
      </c>
      <c r="Y4" s="305" t="str">
        <f t="shared" si="1"/>
        <v>Sun</v>
      </c>
      <c r="Z4" s="305" t="str">
        <f t="shared" si="1"/>
        <v>Mon</v>
      </c>
      <c r="AA4" s="305" t="str">
        <f t="shared" si="1"/>
        <v>Tue</v>
      </c>
      <c r="AB4" s="305" t="str">
        <f t="shared" si="1"/>
        <v>Wed</v>
      </c>
      <c r="AC4" s="305" t="str">
        <f t="shared" si="1"/>
        <v>Thu</v>
      </c>
      <c r="AD4" s="305" t="str">
        <f t="shared" si="1"/>
        <v>Fri</v>
      </c>
      <c r="AE4" s="305" t="str">
        <f t="shared" si="1"/>
        <v>Sat</v>
      </c>
      <c r="AF4" s="305" t="str">
        <f t="shared" si="1"/>
        <v>Sun</v>
      </c>
      <c r="AG4" s="304" t="str">
        <f t="shared" si="1"/>
        <v>Mon</v>
      </c>
      <c r="AH4" s="305" t="str">
        <f t="shared" si="1"/>
        <v>Tue</v>
      </c>
      <c r="AI4" s="227" t="str">
        <f>'Setting key Duty'!$B7</f>
        <v>DM</v>
      </c>
      <c r="AJ4" s="228" t="str">
        <f>'Setting key Duty'!$B8</f>
        <v>CS1</v>
      </c>
      <c r="AK4" s="229" t="str">
        <f>'Setting key Duty'!$B9</f>
        <v>CS2</v>
      </c>
      <c r="AL4" s="307" t="str">
        <f>'Setting key Duty'!$B11</f>
        <v>SB1</v>
      </c>
      <c r="AM4" s="307" t="str">
        <f>'Setting key Duty'!$B12</f>
        <v>SB2</v>
      </c>
      <c r="AN4" s="307" t="str">
        <f>'Setting key Duty'!$B13</f>
        <v>AE</v>
      </c>
      <c r="AO4" s="307" t="str">
        <f>'Setting key Duty'!B14</f>
        <v>EM</v>
      </c>
      <c r="AP4" s="307"/>
      <c r="AQ4" s="307"/>
      <c r="AR4" s="307"/>
      <c r="AS4" s="307"/>
      <c r="AT4" s="307"/>
      <c r="AU4" s="307"/>
      <c r="AV4" s="307"/>
      <c r="AW4" s="307"/>
      <c r="AX4" s="307"/>
      <c r="AY4" s="307"/>
      <c r="AZ4" s="307" t="s">
        <v>45</v>
      </c>
      <c r="BA4" s="307" t="s">
        <v>46</v>
      </c>
      <c r="BB4" s="307"/>
      <c r="BC4" s="307" t="s">
        <v>47</v>
      </c>
      <c r="BD4" s="307"/>
      <c r="BE4" s="307" t="s">
        <v>48</v>
      </c>
      <c r="BF4" s="307"/>
      <c r="BG4" s="307" t="s">
        <v>49</v>
      </c>
      <c r="BH4" s="307" t="s">
        <v>50</v>
      </c>
      <c r="BI4" s="307"/>
      <c r="BJ4" s="307" t="s">
        <v>51</v>
      </c>
      <c r="BK4" s="307"/>
      <c r="BL4" s="307" t="str">
        <f>'Setting key Duty'!B52</f>
        <v>$FC</v>
      </c>
      <c r="BM4" s="307"/>
      <c r="BN4" s="307">
        <f>'Setting key Duty'!$B15</f>
        <v>0</v>
      </c>
      <c r="BO4" s="307" t="str">
        <f>'Setting key Duty'!B17</f>
        <v>RESERVE</v>
      </c>
      <c r="BP4" s="307" t="str">
        <f>'Setting key Duty'!$B22</f>
        <v>AL</v>
      </c>
      <c r="BQ4" s="308"/>
    </row>
    <row r="5" ht="19.5" customHeight="1" spans="1:69">
      <c r="A5" s="309"/>
      <c r="B5" s="373" t="s">
        <v>119</v>
      </c>
      <c r="D5" s="197"/>
      <c r="E5" s="197"/>
      <c r="F5" s="197"/>
      <c r="G5" s="324" t="s">
        <v>65</v>
      </c>
      <c r="I5" s="197" t="s">
        <v>69</v>
      </c>
      <c r="J5" s="385"/>
      <c r="K5" s="317" t="s">
        <v>59</v>
      </c>
      <c r="L5" s="386"/>
      <c r="M5" s="317"/>
      <c r="P5" s="197"/>
      <c r="Q5" s="197"/>
      <c r="R5" s="197"/>
      <c r="T5" s="197" t="s">
        <v>59</v>
      </c>
      <c r="W5" s="197" t="s">
        <v>349</v>
      </c>
      <c r="X5" s="197"/>
      <c r="Y5" s="197"/>
      <c r="Z5" s="197"/>
      <c r="AA5" s="382" t="s">
        <v>350</v>
      </c>
      <c r="AB5" s="197"/>
      <c r="AC5" s="106"/>
      <c r="AD5" s="197" t="s">
        <v>56</v>
      </c>
      <c r="AF5" s="106"/>
      <c r="AG5" s="196"/>
      <c r="AH5" s="196"/>
      <c r="AI5" s="311"/>
      <c r="AJ5" s="312"/>
      <c r="AK5" s="311"/>
      <c r="AL5" s="313"/>
      <c r="AM5" s="313"/>
      <c r="AN5" s="313"/>
      <c r="AO5" s="313"/>
      <c r="AP5" s="238"/>
      <c r="AQ5" s="313">
        <f t="shared" ref="AQ5:AQ31" si="2">SUMPRODUCT(--WEEKDAY(C$3:AG$3,2)&lt;6,--((C5:AG5="DM"))+(C5:AG5="CS1")+((C5:AG5="CS2"))+(C5:AG5="SB1")+(C5:AG5="AE")+(C5:AG5="EM"))</f>
        <v>0</v>
      </c>
      <c r="AR5" s="238"/>
      <c r="AS5" s="238">
        <f t="shared" ref="AS5:AS31" si="3">SUMPRODUCT(--WEEKDAY(C$3:AG$3,2)&gt;5,--((C5:AG5="DM"))+(C5:AG5="CS1")+((C5:AG5="CS2"))+(C5:AG5="SB1")+(C5:AG5="AE")+(C5:AG5="EM"))</f>
        <v>0</v>
      </c>
      <c r="AT5" s="238"/>
      <c r="AU5" s="238">
        <f>(AQ5-AR5)/2+(AS5-AT5)</f>
        <v>0</v>
      </c>
      <c r="AV5" s="238">
        <f>AI5+AJ5+AK5+AL5+AN5+AO5</f>
        <v>0</v>
      </c>
      <c r="AW5" s="238">
        <f>BG5+BH5+BJ5+BE5+BC5+BA5+BL5</f>
        <v>0</v>
      </c>
      <c r="AX5" s="238" t="e">
        <f>AU5+$AY$10</f>
        <v>#VALUE!</v>
      </c>
      <c r="AY5" s="313" t="e">
        <f>(BJ5*('Setting key Duty'!$I$8+'Setting key Duty'!$I$12))+(BH5*'Setting key Duty'!$I$9)+(BC5*('Setting key Duty'!$I$13+'Setting key Duty'!$I$9))+(BA5*('Setting key Duty'!$I$13+'Setting key Duty'!$I$12+'Setting key Duty'!$I$11))+(BE5*('Setting key Duty'!$I$8+'Setting key Duty'!$I$9+'Setting key Duty'!$I$12))</f>
        <v>#VALUE!</v>
      </c>
      <c r="AZ5" s="313">
        <f>COUNTIF(D5:AA5,"*BRT*")</f>
        <v>0</v>
      </c>
      <c r="BA5" s="313">
        <f>COUNTIF(A5:AI5,"*$BTP*")</f>
        <v>0</v>
      </c>
      <c r="BB5" s="313" t="e">
        <f>BA5*('Setting key Duty'!$I$13+'Setting key Duty'!$I$12+'Setting key Duty'!$I$11)</f>
        <v>#VALUE!</v>
      </c>
      <c r="BC5" s="313">
        <f>COUNTIF(A5:AI5,"*$L*")</f>
        <v>0</v>
      </c>
      <c r="BD5" s="313" t="e">
        <f>BC5*('Setting key Duty'!$I$13+'Setting key Duty'!$I$9)</f>
        <v>#VALUE!</v>
      </c>
      <c r="BE5" s="313">
        <f>COUNTIF(A5:AI5,"*$M*")</f>
        <v>0</v>
      </c>
      <c r="BF5" s="313">
        <f>BE5*('Setting key Duty'!$I$8+'Setting key Duty'!$I$9+'Setting key Duty'!$I$12)</f>
        <v>0</v>
      </c>
      <c r="BG5" s="313">
        <f>COUNTIF(AI5,"*$N*")</f>
        <v>0</v>
      </c>
      <c r="BH5" s="313">
        <f>COUNTIF(AI5,"*$PM*")</f>
        <v>0</v>
      </c>
      <c r="BI5" s="313">
        <f>BH5*('Setting key Duty'!$I$9)</f>
        <v>0</v>
      </c>
      <c r="BJ5" s="313">
        <f>COUNTIF(A5:AI5,"*$AM*")</f>
        <v>0</v>
      </c>
      <c r="BK5" s="313">
        <f>BJ5*('Setting key Duty'!$I$12+'Setting key Duty'!$I$8)</f>
        <v>0</v>
      </c>
      <c r="BL5" s="313">
        <f>COUNTIF(D5:AI5,"*$FC*")</f>
        <v>0</v>
      </c>
      <c r="BM5" s="313">
        <f>BL5*('Setting key Duty'!$J$11+'Setting key Duty'!$I$8)</f>
        <v>0</v>
      </c>
      <c r="BN5" s="313">
        <f>COUNTIF($D5:$AA5,BN$4)</f>
        <v>0</v>
      </c>
      <c r="BO5" s="313">
        <f>COUNTIF($D5:$AA5,BO$4)</f>
        <v>1</v>
      </c>
      <c r="BP5" s="313">
        <f>COUNTIF($D5:$AA5,BP$4)</f>
        <v>0</v>
      </c>
      <c r="BQ5" s="314"/>
    </row>
    <row r="6" ht="36" customHeight="1" spans="1:69">
      <c r="A6" s="309"/>
      <c r="B6" s="374" t="s">
        <v>60</v>
      </c>
      <c r="C6" s="197"/>
      <c r="D6" s="197" t="s">
        <v>58</v>
      </c>
      <c r="F6" s="197" t="s">
        <v>157</v>
      </c>
      <c r="H6" s="197" t="s">
        <v>58</v>
      </c>
      <c r="I6" s="197"/>
      <c r="J6" s="197" t="s">
        <v>59</v>
      </c>
      <c r="K6" s="321" t="s">
        <v>158</v>
      </c>
      <c r="L6" s="106"/>
      <c r="M6" s="382" t="s">
        <v>350</v>
      </c>
      <c r="N6" s="197"/>
      <c r="O6" s="317"/>
      <c r="P6" s="106"/>
      <c r="Q6" s="197" t="s">
        <v>59</v>
      </c>
      <c r="R6" s="197"/>
      <c r="S6" s="197"/>
      <c r="T6" s="197" t="s">
        <v>56</v>
      </c>
      <c r="V6" s="317" t="s">
        <v>158</v>
      </c>
      <c r="W6" s="197" t="s">
        <v>71</v>
      </c>
      <c r="X6" s="197" t="s">
        <v>158</v>
      </c>
      <c r="Y6" s="197" t="s">
        <v>158</v>
      </c>
      <c r="Z6" s="382" t="s">
        <v>350</v>
      </c>
      <c r="AA6" s="197"/>
      <c r="AB6" s="197" t="s">
        <v>57</v>
      </c>
      <c r="AD6" s="197" t="s">
        <v>158</v>
      </c>
      <c r="AF6" s="106"/>
      <c r="AG6" s="196"/>
      <c r="AH6" s="106"/>
      <c r="AI6" s="311">
        <f t="shared" ref="AI6:AO6" si="4">COUNTIF($D6:$AE6,AI$4)</f>
        <v>1</v>
      </c>
      <c r="AJ6" s="312">
        <f t="shared" si="4"/>
        <v>1</v>
      </c>
      <c r="AK6" s="311">
        <f t="shared" si="4"/>
        <v>2</v>
      </c>
      <c r="AL6" s="313">
        <f t="shared" si="4"/>
        <v>2</v>
      </c>
      <c r="AM6" s="313">
        <f t="shared" si="4"/>
        <v>0</v>
      </c>
      <c r="AN6" s="313">
        <f t="shared" si="4"/>
        <v>0</v>
      </c>
      <c r="AO6" s="313">
        <f t="shared" si="4"/>
        <v>0</v>
      </c>
      <c r="AP6" s="238"/>
      <c r="AQ6" s="313">
        <f t="shared" si="2"/>
        <v>0</v>
      </c>
      <c r="AR6" s="238"/>
      <c r="AS6" s="238">
        <f t="shared" si="3"/>
        <v>0</v>
      </c>
      <c r="AT6" s="238"/>
      <c r="AU6" s="238">
        <f>(AQ6-AR6)/2+(AS6-AT6)</f>
        <v>0</v>
      </c>
      <c r="AV6" s="238">
        <f>AI6+AJ6+AK6+AL6+AN6+AO6</f>
        <v>6</v>
      </c>
      <c r="AW6" s="238" t="e">
        <f>AU6+AY6</f>
        <v>#VALUE!</v>
      </c>
      <c r="AX6" s="238" t="e">
        <f>AU6+AY6</f>
        <v>#VALUE!</v>
      </c>
      <c r="AY6" s="313" t="e">
        <f>(BJ6*('Setting key Duty'!$I$8+'Setting key Duty'!$I$12))+(BH6*'Setting key Duty'!$I$9)+(BC6*('Setting key Duty'!$I$13+'Setting key Duty'!$I$9))+(BA6*('Setting key Duty'!$I$13+'Setting key Duty'!$I$12+'Setting key Duty'!$I$11))+(BE6*('Setting key Duty'!$I$8+'Setting key Duty'!$I$9+'Setting key Duty'!$I$12))</f>
        <v>#VALUE!</v>
      </c>
      <c r="AZ6" s="313">
        <f>COUNTIF(D6:AE6,"*BRT*")</f>
        <v>0</v>
      </c>
      <c r="BA6" s="313">
        <f>COUNTIF(A6:AI6,"*$BTP*")</f>
        <v>0</v>
      </c>
      <c r="BB6" s="313" t="e">
        <f>BA6*('Setting key Duty'!$I$13+'Setting key Duty'!$I$12+'Setting key Duty'!$I$11)</f>
        <v>#VALUE!</v>
      </c>
      <c r="BC6" s="313">
        <f>COUNTIF(A6:AI6,"*$L*")</f>
        <v>0</v>
      </c>
      <c r="BD6" s="313" t="e">
        <f>BC6*('Setting key Duty'!$I$13+'Setting key Duty'!$I$9)</f>
        <v>#VALUE!</v>
      </c>
      <c r="BE6" s="313">
        <f>COUNTIF(A6:AI6,"*$M*")</f>
        <v>0</v>
      </c>
      <c r="BF6" s="313">
        <f>BE6*('Setting key Duty'!$I$8+'Setting key Duty'!$I$9+'Setting key Duty'!$I$12)</f>
        <v>0</v>
      </c>
      <c r="BG6" s="313">
        <f>COUNTIF(AE6:AI6,"*$N*")</f>
        <v>0</v>
      </c>
      <c r="BH6" s="313">
        <f>COUNTIF(AE6:AI6,"*$PM*")</f>
        <v>0</v>
      </c>
      <c r="BI6" s="313">
        <f>BH6*('Setting key Duty'!$I$9)</f>
        <v>0</v>
      </c>
      <c r="BJ6" s="313">
        <f>COUNTIF(A6:AI6,"*$AM*")</f>
        <v>0</v>
      </c>
      <c r="BK6" s="313">
        <f>BJ6*('Setting key Duty'!$I$12+'Setting key Duty'!$I$8)</f>
        <v>0</v>
      </c>
      <c r="BL6" s="313">
        <f>COUNTIF(D6:AI6,"*$FC*")</f>
        <v>0</v>
      </c>
      <c r="BM6" s="313">
        <f>BL6*('Setting key Duty'!$J$11+'Setting key Duty'!$I$8)</f>
        <v>0</v>
      </c>
      <c r="BN6" s="313">
        <f>COUNTIF($D6:$AE6,BN$4)</f>
        <v>0</v>
      </c>
      <c r="BO6" s="313">
        <f>COUNTIF($D6:$AE6,BO$4)</f>
        <v>2</v>
      </c>
      <c r="BP6" s="313">
        <f>COUNTIF($D6:$AE6,BP$4)</f>
        <v>0</v>
      </c>
      <c r="BQ6" s="314"/>
    </row>
    <row r="7" ht="19.5" customHeight="1" spans="1:69">
      <c r="A7" s="309"/>
      <c r="B7" s="322" t="s">
        <v>211</v>
      </c>
      <c r="D7" s="197" t="s">
        <v>57</v>
      </c>
      <c r="E7" s="197"/>
      <c r="F7" s="197" t="s">
        <v>157</v>
      </c>
      <c r="G7" s="317" t="s">
        <v>58</v>
      </c>
      <c r="H7" s="317"/>
      <c r="J7" s="197"/>
      <c r="K7" s="197" t="s">
        <v>57</v>
      </c>
      <c r="L7" s="106"/>
      <c r="M7" s="197"/>
      <c r="N7" s="197"/>
      <c r="O7" s="382" t="s">
        <v>350</v>
      </c>
      <c r="P7" s="197"/>
      <c r="Q7" s="197" t="s">
        <v>57</v>
      </c>
      <c r="S7" s="197"/>
      <c r="T7" s="382" t="s">
        <v>350</v>
      </c>
      <c r="U7" s="197"/>
      <c r="V7" s="197" t="s">
        <v>349</v>
      </c>
      <c r="W7" s="197"/>
      <c r="X7" s="197" t="s">
        <v>57</v>
      </c>
      <c r="Z7" s="197"/>
      <c r="AA7" s="197" t="s">
        <v>57</v>
      </c>
      <c r="AB7" s="197" t="s">
        <v>71</v>
      </c>
      <c r="AC7" s="197" t="s">
        <v>71</v>
      </c>
      <c r="AD7" s="197"/>
      <c r="AE7" s="197" t="s">
        <v>54</v>
      </c>
      <c r="AF7" s="197" t="s">
        <v>54</v>
      </c>
      <c r="AG7" s="197" t="s">
        <v>54</v>
      </c>
      <c r="AH7" s="197" t="s">
        <v>351</v>
      </c>
      <c r="AI7" s="311" t="e">
        <f>COUNTIF(#REF!,AI$4)</f>
        <v>#REF!</v>
      </c>
      <c r="AJ7" s="312" t="e">
        <f>COUNTIF(#REF!,AJ$4)</f>
        <v>#REF!</v>
      </c>
      <c r="AK7" s="311" t="e">
        <f>COUNTIF(#REF!,AK$4)</f>
        <v>#REF!</v>
      </c>
      <c r="AL7" s="313" t="e">
        <f>COUNTIF(#REF!,AL$4)</f>
        <v>#REF!</v>
      </c>
      <c r="AM7" s="313" t="e">
        <f>COUNTIF(#REF!,AM$4)</f>
        <v>#REF!</v>
      </c>
      <c r="AN7" s="313" t="e">
        <f>COUNTIF(#REF!,AN$4)</f>
        <v>#REF!</v>
      </c>
      <c r="AO7" s="313" t="e">
        <f>COUNTIF(#REF!,AO$4)</f>
        <v>#REF!</v>
      </c>
      <c r="AP7" s="238"/>
      <c r="AQ7" s="313">
        <f t="shared" si="2"/>
        <v>0</v>
      </c>
      <c r="AR7" s="238"/>
      <c r="AS7" s="238">
        <f t="shared" si="3"/>
        <v>0</v>
      </c>
      <c r="AT7" s="238"/>
      <c r="AU7" s="238">
        <f>(AQ7-AR7)/2+(AS7-AT7)</f>
        <v>0</v>
      </c>
      <c r="AV7" s="238" t="e">
        <f>AI7+AJ7+AK7+AL7+AN7+AO7</f>
        <v>#REF!</v>
      </c>
      <c r="AW7" s="238">
        <f>BG7+BH7+BJ7+BE7+BC7+BA7+BL7</f>
        <v>0</v>
      </c>
      <c r="AX7" s="238" t="e">
        <f>AU7+AY7</f>
        <v>#VALUE!</v>
      </c>
      <c r="AY7" s="313" t="e">
        <f>(BJ7*('Setting key Duty'!$I$8+'Setting key Duty'!$I$12))+(BH7*'Setting key Duty'!$I$9)+(BC7*('Setting key Duty'!$I$13+'Setting key Duty'!$I$9))+(BA7*('Setting key Duty'!$I$13+'Setting key Duty'!$I$12+'Setting key Duty'!$I$11))+(BE7*('Setting key Duty'!$I$8+'Setting key Duty'!$I$9+'Setting key Duty'!$I$12))</f>
        <v>#VALUE!</v>
      </c>
      <c r="AZ7" s="313" t="e">
        <f>COUNTIF(#REF!,"*BRT*")</f>
        <v>#REF!</v>
      </c>
      <c r="BA7" s="313">
        <f>COUNTIF(A7:AI7,"*$BTP*")</f>
        <v>0</v>
      </c>
      <c r="BB7" s="313" t="e">
        <f>BA7*('Setting key Duty'!$I$13+'Setting key Duty'!$I$12+'Setting key Duty'!$I$11)</f>
        <v>#VALUE!</v>
      </c>
      <c r="BC7" s="313">
        <f>COUNTIF(A7:AI7,"*$L*")</f>
        <v>0</v>
      </c>
      <c r="BD7" s="313" t="e">
        <f>BC7*('Setting key Duty'!$I$13+'Setting key Duty'!$I$9)</f>
        <v>#VALUE!</v>
      </c>
      <c r="BE7" s="313">
        <f>COUNTIF(A7:AI7,"*$M*")</f>
        <v>0</v>
      </c>
      <c r="BF7" s="313">
        <f>BE7*('Setting key Duty'!$I$8+'Setting key Duty'!$I$9+'Setting key Duty'!$I$12)</f>
        <v>0</v>
      </c>
      <c r="BG7" s="313">
        <f>COUNTIF(A7:AI7,"*$N*")</f>
        <v>0</v>
      </c>
      <c r="BH7" s="313">
        <f>COUNTIF(AG7:AI7,"*$PM*")</f>
        <v>0</v>
      </c>
      <c r="BI7" s="313">
        <f>BH7*('Setting key Duty'!$I$9)</f>
        <v>0</v>
      </c>
      <c r="BJ7" s="313">
        <f>COUNTIF(A7:AI7,"*$AM*")</f>
        <v>0</v>
      </c>
      <c r="BK7" s="313">
        <f>BJ7*('Setting key Duty'!$I$12+'Setting key Duty'!$I$8)</f>
        <v>0</v>
      </c>
      <c r="BL7" s="313">
        <f>COUNTIF(D7:AI7,"*$FC*")</f>
        <v>0</v>
      </c>
      <c r="BM7" s="313">
        <f>BL7*('Setting key Duty'!$J$11+'Setting key Duty'!$I$8)</f>
        <v>0</v>
      </c>
      <c r="BN7" s="313" t="e">
        <f>COUNTIF(#REF!,BN$4)</f>
        <v>#REF!</v>
      </c>
      <c r="BO7" s="313" t="e">
        <f>COUNTIF(#REF!,BO$4)</f>
        <v>#REF!</v>
      </c>
      <c r="BP7" s="313" t="e">
        <f>COUNTIF(#REF!,BP$4)</f>
        <v>#REF!</v>
      </c>
      <c r="BQ7" s="314"/>
    </row>
    <row r="8" ht="19.5" customHeight="1" spans="1:69">
      <c r="A8" s="309"/>
      <c r="B8" s="334" t="s">
        <v>63</v>
      </c>
      <c r="C8" s="197" t="s">
        <v>57</v>
      </c>
      <c r="E8" s="197"/>
      <c r="F8" s="197"/>
      <c r="G8" s="197" t="s">
        <v>59</v>
      </c>
      <c r="H8" s="197"/>
      <c r="I8" s="197"/>
      <c r="J8" s="197" t="s">
        <v>150</v>
      </c>
      <c r="K8" s="321" t="s">
        <v>150</v>
      </c>
      <c r="L8" s="197"/>
      <c r="M8" s="382" t="s">
        <v>350</v>
      </c>
      <c r="O8" s="317"/>
      <c r="P8" s="197"/>
      <c r="Q8" s="197"/>
      <c r="R8" s="197" t="s">
        <v>59</v>
      </c>
      <c r="S8" s="106"/>
      <c r="T8" s="106"/>
      <c r="U8" s="317"/>
      <c r="W8" s="197"/>
      <c r="X8" s="197" t="s">
        <v>59</v>
      </c>
      <c r="AB8" s="197" t="s">
        <v>56</v>
      </c>
      <c r="AC8" s="197"/>
      <c r="AD8" s="197"/>
      <c r="AE8" s="197"/>
      <c r="AF8" s="197"/>
      <c r="AG8" s="196"/>
      <c r="AH8" s="197"/>
      <c r="AI8" s="311"/>
      <c r="AJ8" s="312"/>
      <c r="AK8" s="311"/>
      <c r="AL8" s="313"/>
      <c r="AM8" s="313"/>
      <c r="AN8" s="313"/>
      <c r="AO8" s="313"/>
      <c r="AP8" s="238"/>
      <c r="AQ8" s="313">
        <f t="shared" si="2"/>
        <v>0</v>
      </c>
      <c r="AR8" s="238"/>
      <c r="AS8" s="238">
        <f t="shared" si="3"/>
        <v>0</v>
      </c>
      <c r="AT8" s="238"/>
      <c r="AU8" s="238"/>
      <c r="AV8" s="238"/>
      <c r="AW8" s="238"/>
      <c r="AX8" s="238"/>
      <c r="AY8" s="313"/>
      <c r="AZ8" s="313"/>
      <c r="BA8" s="313"/>
      <c r="BB8" s="313"/>
      <c r="BC8" s="313"/>
      <c r="BD8" s="313"/>
      <c r="BE8" s="313"/>
      <c r="BF8" s="313"/>
      <c r="BG8" s="313"/>
      <c r="BH8" s="313"/>
      <c r="BI8" s="313"/>
      <c r="BJ8" s="313"/>
      <c r="BK8" s="313"/>
      <c r="BL8" s="313"/>
      <c r="BM8" s="313"/>
      <c r="BN8" s="313"/>
      <c r="BO8" s="313"/>
      <c r="BP8" s="313"/>
      <c r="BQ8" s="314"/>
    </row>
    <row r="9" ht="19.5" customHeight="1" spans="1:69">
      <c r="A9" s="309"/>
      <c r="B9" s="327" t="s">
        <v>215</v>
      </c>
      <c r="C9" s="197"/>
      <c r="D9" s="197"/>
      <c r="E9" s="197" t="s">
        <v>157</v>
      </c>
      <c r="F9" s="317"/>
      <c r="G9" s="317" t="s">
        <v>56</v>
      </c>
      <c r="I9" s="197"/>
      <c r="J9" s="324"/>
      <c r="K9" s="383" t="s">
        <v>56</v>
      </c>
      <c r="L9" s="4"/>
      <c r="M9" s="197"/>
      <c r="N9" s="197" t="s">
        <v>59</v>
      </c>
      <c r="O9" s="4"/>
      <c r="P9" s="197" t="s">
        <v>352</v>
      </c>
      <c r="Q9" s="197"/>
      <c r="R9" s="106"/>
      <c r="S9" s="197" t="s">
        <v>57</v>
      </c>
      <c r="U9" s="382" t="s">
        <v>350</v>
      </c>
      <c r="V9" s="197" t="s">
        <v>56</v>
      </c>
      <c r="W9" s="197"/>
      <c r="X9" s="382" t="s">
        <v>350</v>
      </c>
      <c r="Y9" s="197"/>
      <c r="Z9" s="4"/>
      <c r="AA9" s="197"/>
      <c r="AB9" s="4"/>
      <c r="AC9" s="197"/>
      <c r="AD9" s="197" t="s">
        <v>216</v>
      </c>
      <c r="AE9" s="197"/>
      <c r="AF9" s="197"/>
      <c r="AG9" s="196"/>
      <c r="AH9" s="197"/>
      <c r="AI9" s="311"/>
      <c r="AJ9" s="312"/>
      <c r="AK9" s="311"/>
      <c r="AL9" s="313"/>
      <c r="AM9" s="313"/>
      <c r="AN9" s="313"/>
      <c r="AO9" s="313"/>
      <c r="AP9" s="238"/>
      <c r="AQ9" s="313">
        <f t="shared" si="2"/>
        <v>0</v>
      </c>
      <c r="AR9" s="238"/>
      <c r="AS9" s="238">
        <f t="shared" si="3"/>
        <v>0</v>
      </c>
      <c r="AT9" s="238"/>
      <c r="AU9" s="238">
        <f t="shared" ref="AU9:AU31" si="5">(AQ9-AR9)/2+(AS9-AT9)</f>
        <v>0</v>
      </c>
      <c r="AV9" s="238">
        <f t="shared" ref="AV9:AV31" si="6">AI9+AJ9+AK9+AL9+AN9+AO9</f>
        <v>0</v>
      </c>
      <c r="AW9" s="238">
        <f t="shared" ref="AW9:AW31" si="7">BG9+BH9+BJ9+BE9+BC9+BA9+BL9</f>
        <v>0</v>
      </c>
      <c r="AX9" s="238" t="e">
        <f>AU9+AY9</f>
        <v>#VALUE!</v>
      </c>
      <c r="AY9" s="313" t="e">
        <f>(BJ9*('Setting key Duty'!$I$8+'Setting key Duty'!$I$12))+(BH9*'Setting key Duty'!$I$9)+(BC9*('Setting key Duty'!$I$13+'Setting key Duty'!$I$9))+(BA9*('Setting key Duty'!$I$13+'Setting key Duty'!$I$12+'Setting key Duty'!$I$11))+(BE9*('Setting key Duty'!$I$8+'Setting key Duty'!$I$9+'Setting key Duty'!$I$12))</f>
        <v>#VALUE!</v>
      </c>
      <c r="AZ9" s="313">
        <f>COUNTIF(D9:Z9,"*BRT*")</f>
        <v>0</v>
      </c>
      <c r="BA9" s="313">
        <f t="shared" ref="BA9:BA23" si="8">COUNTIF(A9:AI9,"*$BTP*")</f>
        <v>0</v>
      </c>
      <c r="BB9" s="313" t="e">
        <f>BA9*('Setting key Duty'!$I$13+'Setting key Duty'!$I$12+'Setting key Duty'!$I$11)</f>
        <v>#VALUE!</v>
      </c>
      <c r="BC9" s="313">
        <f>COUNTIF(A9:AI9,"*$L*")</f>
        <v>0</v>
      </c>
      <c r="BD9" s="313" t="e">
        <f>BC9*('Setting key Duty'!$I$13+'Setting key Duty'!$I$9)</f>
        <v>#VALUE!</v>
      </c>
      <c r="BE9" s="313">
        <f>COUNTIF(A9:AI9,"*$M*")</f>
        <v>0</v>
      </c>
      <c r="BF9" s="313">
        <f>BE9*('Setting key Duty'!$I$8+'Setting key Duty'!$I$9+'Setting key Duty'!$I$12)</f>
        <v>0</v>
      </c>
      <c r="BG9" s="313">
        <f>COUNTIF(AI9,"*$N*")</f>
        <v>0</v>
      </c>
      <c r="BH9" s="313">
        <f>COUNTIF(AI9,"*$PM*")</f>
        <v>0</v>
      </c>
      <c r="BI9" s="313">
        <f>BH9*('Setting key Duty'!$I$9)</f>
        <v>0</v>
      </c>
      <c r="BJ9" s="313">
        <f>COUNTIF(A9:AI9,"*$AM*")</f>
        <v>0</v>
      </c>
      <c r="BK9" s="313">
        <f>BJ9*('Setting key Duty'!$I$12+'Setting key Duty'!$I$8)</f>
        <v>0</v>
      </c>
      <c r="BL9" s="313">
        <f>COUNTIF(D9:AI9,"*$FC*")</f>
        <v>0</v>
      </c>
      <c r="BM9" s="313">
        <f>BL9*('Setting key Duty'!$J$11+'Setting key Duty'!$I$8)</f>
        <v>0</v>
      </c>
      <c r="BN9" s="313">
        <f>COUNTIF($D9:$Z9,BN$4)</f>
        <v>0</v>
      </c>
      <c r="BO9" s="313">
        <f>COUNTIF($D9:$Z9,BO$4)</f>
        <v>2</v>
      </c>
      <c r="BP9" s="313">
        <f>COUNTIF($D9:$Z9,BP$4)</f>
        <v>0</v>
      </c>
      <c r="BQ9" s="314"/>
    </row>
    <row r="10" ht="19.5" customHeight="1" spans="1:69">
      <c r="A10" s="309"/>
      <c r="B10" s="328" t="s">
        <v>99</v>
      </c>
      <c r="C10" s="197"/>
      <c r="D10" s="197"/>
      <c r="E10" s="197" t="s">
        <v>56</v>
      </c>
      <c r="F10" s="317"/>
      <c r="G10" s="324" t="s">
        <v>57</v>
      </c>
      <c r="I10" s="197" t="s">
        <v>56</v>
      </c>
      <c r="J10" s="197"/>
      <c r="K10" s="321"/>
      <c r="L10" s="106"/>
      <c r="M10" s="383" t="s">
        <v>56</v>
      </c>
      <c r="N10" s="197"/>
      <c r="O10" s="382" t="s">
        <v>350</v>
      </c>
      <c r="R10" s="382" t="s">
        <v>350</v>
      </c>
      <c r="S10" s="197" t="s">
        <v>59</v>
      </c>
      <c r="U10" s="197"/>
      <c r="V10" s="197"/>
      <c r="W10" s="197"/>
      <c r="X10" s="197"/>
      <c r="Y10" s="197"/>
      <c r="Z10" s="197" t="s">
        <v>59</v>
      </c>
      <c r="AA10" s="197"/>
      <c r="AC10" s="197" t="s">
        <v>54</v>
      </c>
      <c r="AD10" s="197" t="s">
        <v>54</v>
      </c>
      <c r="AE10" s="197" t="s">
        <v>54</v>
      </c>
      <c r="AF10" s="197" t="s">
        <v>54</v>
      </c>
      <c r="AG10" s="197" t="s">
        <v>54</v>
      </c>
      <c r="AH10" s="197" t="s">
        <v>54</v>
      </c>
      <c r="AI10" s="311"/>
      <c r="AJ10" s="312"/>
      <c r="AK10" s="311"/>
      <c r="AL10" s="313"/>
      <c r="AM10" s="313"/>
      <c r="AN10" s="313"/>
      <c r="AO10" s="313"/>
      <c r="AP10" s="238"/>
      <c r="AQ10" s="313">
        <f t="shared" si="2"/>
        <v>0</v>
      </c>
      <c r="AR10" s="238"/>
      <c r="AS10" s="238">
        <f t="shared" si="3"/>
        <v>0</v>
      </c>
      <c r="AT10" s="238"/>
      <c r="AU10" s="238">
        <f t="shared" si="5"/>
        <v>0</v>
      </c>
      <c r="AV10" s="238">
        <f t="shared" si="6"/>
        <v>0</v>
      </c>
      <c r="AW10" s="238">
        <f t="shared" si="7"/>
        <v>0</v>
      </c>
      <c r="AX10" s="238" t="e">
        <f>AU10+$AY$10</f>
        <v>#VALUE!</v>
      </c>
      <c r="AY10" s="313" t="e">
        <f>(BJ10*('Setting key Duty'!$I$8+'Setting key Duty'!$I$12))+(BH10*'Setting key Duty'!$I$9)+(BC10*('Setting key Duty'!$I$13+'Setting key Duty'!$I$9))+(BA10*('Setting key Duty'!$I$13+'Setting key Duty'!$I$12+'Setting key Duty'!$I$11))+(BE10*('Setting key Duty'!$I$8+'Setting key Duty'!$I$9+'Setting key Duty'!$I$12))</f>
        <v>#VALUE!</v>
      </c>
      <c r="AZ10" s="313">
        <f>COUNTIF(C10:AC10,"*BRT*")</f>
        <v>0</v>
      </c>
      <c r="BA10" s="313">
        <f t="shared" si="8"/>
        <v>0</v>
      </c>
      <c r="BB10" s="313" t="e">
        <f>BA10*('Setting key Duty'!$I$13+'Setting key Duty'!$I$12+'Setting key Duty'!$I$11)</f>
        <v>#VALUE!</v>
      </c>
      <c r="BC10" s="313">
        <f>COUNTIF(D10:AI10,"*$L*")</f>
        <v>0</v>
      </c>
      <c r="BD10" s="313" t="e">
        <f>BC10*('Setting key Duty'!$I$13+'Setting key Duty'!$I$9)</f>
        <v>#VALUE!</v>
      </c>
      <c r="BE10" s="313">
        <f>COUNTIF(D10:AI10,"*$M*")</f>
        <v>0</v>
      </c>
      <c r="BF10" s="313">
        <f>BE10*('Setting key Duty'!$I$8+'Setting key Duty'!$I$9+'Setting key Duty'!$I$12)</f>
        <v>0</v>
      </c>
      <c r="BG10" s="313">
        <f>COUNTIF(D10:AI10,"*$N*")</f>
        <v>0</v>
      </c>
      <c r="BH10" s="313">
        <f>COUNTIF(D10:AI10,"*$PM*")</f>
        <v>0</v>
      </c>
      <c r="BI10" s="313">
        <f>BH10*('Setting key Duty'!$I$9)</f>
        <v>0</v>
      </c>
      <c r="BJ10" s="313">
        <f>COUNTIF(D10:AI10,"*$AM*")</f>
        <v>0</v>
      </c>
      <c r="BK10" s="313">
        <f>BJ10*('Setting key Duty'!$I$12+'Setting key Duty'!$I$8)</f>
        <v>0</v>
      </c>
      <c r="BL10" s="313">
        <f>COUNTIF(C10:AI10,"*$FC*")</f>
        <v>0</v>
      </c>
      <c r="BM10" s="313">
        <f>BL10*('Setting key Duty'!$J$11+'Setting key Duty'!$I$8)</f>
        <v>0</v>
      </c>
      <c r="BN10" s="313">
        <f>COUNTIF($C10:$AG10,BN$4)</f>
        <v>0</v>
      </c>
      <c r="BO10" s="313">
        <f>COUNTIF($C10:$AG10,BO$4)</f>
        <v>2</v>
      </c>
      <c r="BP10" s="313">
        <f>COUNTIF($D10:$AE10,BP$4)</f>
        <v>0</v>
      </c>
      <c r="BQ10" s="314"/>
    </row>
    <row r="11" ht="19.5" customHeight="1" spans="1:69">
      <c r="A11" s="309"/>
      <c r="B11" s="315" t="s">
        <v>70</v>
      </c>
      <c r="D11" s="197"/>
      <c r="E11" s="197" t="s">
        <v>157</v>
      </c>
      <c r="F11" s="197" t="s">
        <v>59</v>
      </c>
      <c r="G11" s="197"/>
      <c r="H11" s="317"/>
      <c r="J11" s="382" t="s">
        <v>350</v>
      </c>
      <c r="K11" s="197"/>
      <c r="L11" s="197" t="s">
        <v>57</v>
      </c>
      <c r="M11" s="282"/>
      <c r="N11" s="106"/>
      <c r="P11" s="197"/>
      <c r="Q11" s="382" t="s">
        <v>350</v>
      </c>
      <c r="R11" s="197"/>
      <c r="T11" s="197"/>
      <c r="U11" s="106"/>
      <c r="V11" s="197" t="s">
        <v>57</v>
      </c>
      <c r="W11" s="197"/>
      <c r="X11" s="197" t="s">
        <v>56</v>
      </c>
      <c r="Y11" s="197"/>
      <c r="Z11" s="197"/>
      <c r="AA11" s="197"/>
      <c r="AB11" s="382" t="s">
        <v>350</v>
      </c>
      <c r="AC11" s="197"/>
      <c r="AD11" s="197"/>
      <c r="AE11" s="197"/>
      <c r="AG11" s="196"/>
      <c r="AH11" s="197"/>
      <c r="AI11" s="311"/>
      <c r="AJ11" s="312"/>
      <c r="AK11" s="311"/>
      <c r="AL11" s="313"/>
      <c r="AM11" s="313"/>
      <c r="AN11" s="313"/>
      <c r="AO11" s="313"/>
      <c r="AP11" s="238"/>
      <c r="AQ11" s="313">
        <f t="shared" si="2"/>
        <v>0</v>
      </c>
      <c r="AR11" s="238"/>
      <c r="AS11" s="238">
        <f t="shared" si="3"/>
        <v>0</v>
      </c>
      <c r="AT11" s="238"/>
      <c r="AU11" s="238">
        <f t="shared" si="5"/>
        <v>0</v>
      </c>
      <c r="AV11" s="238">
        <f t="shared" si="6"/>
        <v>0</v>
      </c>
      <c r="AW11" s="238">
        <f t="shared" si="7"/>
        <v>0</v>
      </c>
      <c r="AX11" s="238" t="e">
        <f t="shared" ref="AX11:AX16" si="9">AU11+AY11</f>
        <v>#VALUE!</v>
      </c>
      <c r="AY11" s="313" t="e">
        <f>(BJ11*('Setting key Duty'!$I$8+'Setting key Duty'!$I$12))+(BH11*'Setting key Duty'!$I$9)+(BC11*('Setting key Duty'!$I$13+'Setting key Duty'!$I$9))+(BA11*('Setting key Duty'!$I$13+'Setting key Duty'!$I$12+'Setting key Duty'!$I$11))+(BE11*('Setting key Duty'!$I$8+'Setting key Duty'!$I$9+'Setting key Duty'!$I$12))</f>
        <v>#VALUE!</v>
      </c>
      <c r="AZ11" s="313">
        <f>COUNTIF(D11:AC11,"*BRT*")</f>
        <v>0</v>
      </c>
      <c r="BA11" s="313">
        <f t="shared" si="8"/>
        <v>0</v>
      </c>
      <c r="BB11" s="313" t="e">
        <f>BA11*('Setting key Duty'!$I$13+'Setting key Duty'!$I$12+'Setting key Duty'!$I$11)</f>
        <v>#VALUE!</v>
      </c>
      <c r="BC11" s="313">
        <f>COUNTIF(A11:AI11,"*$L*")</f>
        <v>0</v>
      </c>
      <c r="BD11" s="313" t="e">
        <f>BC11*('Setting key Duty'!$I$13+'Setting key Duty'!$I$9)</f>
        <v>#VALUE!</v>
      </c>
      <c r="BE11" s="313">
        <f>COUNTIF(A11:AI11,"*$M*")</f>
        <v>0</v>
      </c>
      <c r="BF11" s="313">
        <f>BE11*('Setting key Duty'!$I$8+'Setting key Duty'!$I$9+'Setting key Duty'!$I$12)</f>
        <v>0</v>
      </c>
      <c r="BG11" s="313">
        <f>COUNTIF(AF11:AI11,"*$N*")</f>
        <v>0</v>
      </c>
      <c r="BH11" s="313">
        <f>COUNTIF(AF11:AI11,"*$PM*")</f>
        <v>0</v>
      </c>
      <c r="BI11" s="313">
        <f>BH11*('Setting key Duty'!$I$9)</f>
        <v>0</v>
      </c>
      <c r="BJ11" s="313">
        <f>COUNTIF(A11:AI11,"*$AM*")</f>
        <v>0</v>
      </c>
      <c r="BK11" s="313">
        <f>BJ11*('Setting key Duty'!$I$12+'Setting key Duty'!$I$8)</f>
        <v>0</v>
      </c>
      <c r="BL11" s="313">
        <f>COUNTIF(D11:AI11,"*$FC*")</f>
        <v>0</v>
      </c>
      <c r="BM11" s="313">
        <f>BL11*('Setting key Duty'!$J$11+'Setting key Duty'!$I$8)</f>
        <v>0</v>
      </c>
      <c r="BN11" s="313">
        <f>COUNTIF($D11:$AE11,BN$4)</f>
        <v>0</v>
      </c>
      <c r="BO11" s="313">
        <f>COUNTIF($D11:$AE11,BO$4)</f>
        <v>3</v>
      </c>
      <c r="BP11" s="313">
        <f>COUNTIF($D11:$AE11,BP$4)</f>
        <v>0</v>
      </c>
      <c r="BQ11" s="314"/>
    </row>
    <row r="12" ht="19.5" customHeight="1" spans="1:69">
      <c r="A12" s="309"/>
      <c r="B12" s="329" t="s">
        <v>72</v>
      </c>
      <c r="C12" s="197"/>
      <c r="D12" s="197" t="s">
        <v>59</v>
      </c>
      <c r="E12" s="197"/>
      <c r="F12" s="197" t="s">
        <v>157</v>
      </c>
      <c r="G12" s="382" t="s">
        <v>350</v>
      </c>
      <c r="H12" s="197"/>
      <c r="I12" s="197" t="s">
        <v>59</v>
      </c>
      <c r="J12" s="197"/>
      <c r="K12" s="382" t="s">
        <v>350</v>
      </c>
      <c r="L12" s="197"/>
      <c r="M12" s="197"/>
      <c r="N12" s="382" t="s">
        <v>350</v>
      </c>
      <c r="O12" s="197"/>
      <c r="P12" s="197" t="s">
        <v>59</v>
      </c>
      <c r="Q12" s="197"/>
      <c r="R12" s="197"/>
      <c r="S12" s="382" t="s">
        <v>350</v>
      </c>
      <c r="T12" s="197"/>
      <c r="U12" s="197"/>
      <c r="V12" s="382" t="s">
        <v>350</v>
      </c>
      <c r="W12" s="197"/>
      <c r="X12" s="197"/>
      <c r="Y12" s="197" t="s">
        <v>56</v>
      </c>
      <c r="Z12" s="197"/>
      <c r="AB12" s="198"/>
      <c r="AC12" s="197" t="s">
        <v>56</v>
      </c>
      <c r="AD12" s="197"/>
      <c r="AE12" s="197"/>
      <c r="AF12" s="197"/>
      <c r="AG12" s="196"/>
      <c r="AH12" s="197"/>
      <c r="AI12" s="311"/>
      <c r="AJ12" s="312"/>
      <c r="AK12" s="311"/>
      <c r="AL12" s="313"/>
      <c r="AM12" s="313"/>
      <c r="AN12" s="313"/>
      <c r="AO12" s="313"/>
      <c r="AP12" s="238"/>
      <c r="AQ12" s="313">
        <f t="shared" si="2"/>
        <v>0</v>
      </c>
      <c r="AR12" s="238"/>
      <c r="AS12" s="238">
        <f t="shared" si="3"/>
        <v>0</v>
      </c>
      <c r="AT12" s="238"/>
      <c r="AU12" s="238">
        <f t="shared" si="5"/>
        <v>0</v>
      </c>
      <c r="AV12" s="238">
        <f t="shared" si="6"/>
        <v>0</v>
      </c>
      <c r="AW12" s="238">
        <f t="shared" si="7"/>
        <v>0</v>
      </c>
      <c r="AX12" s="238" t="e">
        <f t="shared" si="9"/>
        <v>#VALUE!</v>
      </c>
      <c r="AY12" s="313" t="e">
        <f>(BJ12*('Setting key Duty'!$I$8+'Setting key Duty'!$I$12))+(BH12*'Setting key Duty'!$I$9)+(BC12*('Setting key Duty'!$I$13+'Setting key Duty'!$I$9))+(BA12*('Setting key Duty'!$I$13+'Setting key Duty'!$I$12+'Setting key Duty'!$I$11))+(BE12*('Setting key Duty'!$I$8+'Setting key Duty'!$I$9+'Setting key Duty'!$I$12))</f>
        <v>#VALUE!</v>
      </c>
      <c r="AZ12" s="313">
        <f>COUNTIF(D12:Y12,"*BRT*")</f>
        <v>0</v>
      </c>
      <c r="BA12" s="313">
        <f t="shared" si="8"/>
        <v>0</v>
      </c>
      <c r="BB12" s="313" t="e">
        <f>BA12*('Setting key Duty'!$I$13+'Setting key Duty'!$I$12+'Setting key Duty'!$I$11)</f>
        <v>#VALUE!</v>
      </c>
      <c r="BC12" s="313">
        <f>COUNTIF(A12:AI12,"*$L*")</f>
        <v>0</v>
      </c>
      <c r="BD12" s="313" t="e">
        <f>BC12*('Setting key Duty'!$I$13+'Setting key Duty'!$I$9)</f>
        <v>#VALUE!</v>
      </c>
      <c r="BE12" s="313">
        <f>COUNTIF(A12:AI12,"*$M*")</f>
        <v>0</v>
      </c>
      <c r="BF12" s="313">
        <f>BE12*('Setting key Duty'!$I$8+'Setting key Duty'!$I$9+'Setting key Duty'!$I$12)</f>
        <v>0</v>
      </c>
      <c r="BG12" s="313">
        <f>COUNTIF(AI12,"*$N*")</f>
        <v>0</v>
      </c>
      <c r="BH12" s="313">
        <f>COUNTIF(AI12,"*$PM*")</f>
        <v>0</v>
      </c>
      <c r="BI12" s="313">
        <f>BH12*('Setting key Duty'!$I$9)</f>
        <v>0</v>
      </c>
      <c r="BJ12" s="313">
        <f>COUNTIF(A12:AI12,"*$AM*")</f>
        <v>0</v>
      </c>
      <c r="BK12" s="313">
        <f>BJ12*('Setting key Duty'!$I$12+'Setting key Duty'!$I$8)</f>
        <v>0</v>
      </c>
      <c r="BL12" s="313">
        <f>COUNTIF(D12:AI12,"*$FC*")</f>
        <v>0</v>
      </c>
      <c r="BM12" s="313">
        <f>BL12*('Setting key Duty'!$J$11+'Setting key Duty'!$I$8)</f>
        <v>0</v>
      </c>
      <c r="BN12" s="313">
        <f>COUNTIF($D12:$Y12,BN$4)</f>
        <v>0</v>
      </c>
      <c r="BO12" s="313">
        <f>COUNTIF($D12:$Y12,BO$4)</f>
        <v>5</v>
      </c>
      <c r="BP12" s="313">
        <f>COUNTIF($D12:$Y12,BP$4)</f>
        <v>0</v>
      </c>
      <c r="BQ12" s="314"/>
    </row>
    <row r="13" ht="24" customHeight="1" spans="1:69">
      <c r="A13" s="309"/>
      <c r="B13" s="335" t="s">
        <v>353</v>
      </c>
      <c r="C13" s="197"/>
      <c r="D13" s="197"/>
      <c r="E13" s="197" t="s">
        <v>157</v>
      </c>
      <c r="F13" s="197" t="s">
        <v>57</v>
      </c>
      <c r="H13" s="197"/>
      <c r="I13" s="324" t="s">
        <v>57</v>
      </c>
      <c r="J13" s="317"/>
      <c r="K13" s="197" t="s">
        <v>229</v>
      </c>
      <c r="L13" s="197" t="s">
        <v>229</v>
      </c>
      <c r="M13" s="197"/>
      <c r="N13" s="197"/>
      <c r="O13" s="197"/>
      <c r="P13" s="197" t="s">
        <v>57</v>
      </c>
      <c r="R13" s="197"/>
      <c r="S13" s="197"/>
      <c r="T13" s="197" t="s">
        <v>57</v>
      </c>
      <c r="U13" s="197"/>
      <c r="V13" s="197"/>
      <c r="W13" s="382" t="s">
        <v>350</v>
      </c>
      <c r="X13" s="197"/>
      <c r="Z13" s="53"/>
      <c r="AA13" s="197" t="s">
        <v>59</v>
      </c>
      <c r="AB13" s="197"/>
      <c r="AC13" s="382" t="s">
        <v>350</v>
      </c>
      <c r="AD13" s="197"/>
      <c r="AE13" s="197"/>
      <c r="AF13" s="106"/>
      <c r="AG13" s="196"/>
      <c r="AH13" s="197"/>
      <c r="AI13" s="311">
        <f t="shared" ref="AI13:AO13" si="10">COUNTIF($C13:$AB13,AI$4)</f>
        <v>4</v>
      </c>
      <c r="AJ13" s="312">
        <f t="shared" si="10"/>
        <v>0</v>
      </c>
      <c r="AK13" s="311">
        <f t="shared" si="10"/>
        <v>1</v>
      </c>
      <c r="AL13" s="313">
        <f t="shared" si="10"/>
        <v>0</v>
      </c>
      <c r="AM13" s="313">
        <f t="shared" si="10"/>
        <v>0</v>
      </c>
      <c r="AN13" s="313">
        <f t="shared" si="10"/>
        <v>0</v>
      </c>
      <c r="AO13" s="313">
        <f t="shared" si="10"/>
        <v>0</v>
      </c>
      <c r="AP13" s="238"/>
      <c r="AQ13" s="313">
        <f t="shared" si="2"/>
        <v>0</v>
      </c>
      <c r="AR13" s="238"/>
      <c r="AS13" s="238">
        <f t="shared" si="3"/>
        <v>0</v>
      </c>
      <c r="AT13" s="238"/>
      <c r="AU13" s="238">
        <f t="shared" si="5"/>
        <v>0</v>
      </c>
      <c r="AV13" s="238">
        <f t="shared" si="6"/>
        <v>5</v>
      </c>
      <c r="AW13" s="238">
        <f t="shared" si="7"/>
        <v>0</v>
      </c>
      <c r="AX13" s="238" t="e">
        <f t="shared" si="9"/>
        <v>#VALUE!</v>
      </c>
      <c r="AY13" s="313" t="e">
        <f>(BJ13*('Setting key Duty'!$I$8+'Setting key Duty'!$I$12))+(BH13*'Setting key Duty'!$I$9)+(BC13*('Setting key Duty'!$I$13+'Setting key Duty'!$I$9))+(BA13*('Setting key Duty'!$I$13+'Setting key Duty'!$I$12+'Setting key Duty'!$I$11))+(BE13*('Setting key Duty'!$I$8+'Setting key Duty'!$I$9+'Setting key Duty'!$I$12))</f>
        <v>#VALUE!</v>
      </c>
      <c r="AZ13" s="313">
        <f>COUNTIF(C13:AB13,"*BRT*")</f>
        <v>0</v>
      </c>
      <c r="BA13" s="313">
        <f t="shared" si="8"/>
        <v>0</v>
      </c>
      <c r="BB13" s="313" t="e">
        <f>BA13*('Setting key Duty'!$I$13+'Setting key Duty'!$I$12+'Setting key Duty'!$I$11)</f>
        <v>#VALUE!</v>
      </c>
      <c r="BC13" s="313">
        <f>COUNTIF(A13:AI13,"*$L*")</f>
        <v>0</v>
      </c>
      <c r="BD13" s="313" t="e">
        <f>BC13*('Setting key Duty'!$I$13+'Setting key Duty'!$I$9)</f>
        <v>#VALUE!</v>
      </c>
      <c r="BE13" s="313">
        <f>COUNTIF(A13:AI13,"*$M*")</f>
        <v>0</v>
      </c>
      <c r="BF13" s="313">
        <f>BE13*('Setting key Duty'!$I$8+'Setting key Duty'!$I$9+'Setting key Duty'!$I$12)</f>
        <v>0</v>
      </c>
      <c r="BG13" s="313">
        <f>COUNTIF(A13:AI13,"*$N*")</f>
        <v>0</v>
      </c>
      <c r="BH13" s="313">
        <f>COUNTIF(AI13,"*$PM*")</f>
        <v>0</v>
      </c>
      <c r="BI13" s="313">
        <f>BH13*('Setting key Duty'!$I$9)</f>
        <v>0</v>
      </c>
      <c r="BJ13" s="313">
        <f>COUNTIF(A13:AI13,"*$AM*")</f>
        <v>0</v>
      </c>
      <c r="BK13" s="313">
        <f>BJ13*('Setting key Duty'!$I$12+'Setting key Duty'!$I$8)</f>
        <v>0</v>
      </c>
      <c r="BL13" s="313">
        <f>COUNTIF(C13:AI13,"*$FC*")</f>
        <v>0</v>
      </c>
      <c r="BM13" s="313">
        <f>BL13*('Setting key Duty'!$J$11+'Setting key Duty'!$I$8)</f>
        <v>0</v>
      </c>
      <c r="BN13" s="313">
        <f>COUNTIF($C13:$AB13,BN$4)</f>
        <v>0</v>
      </c>
      <c r="BO13" s="313">
        <f>COUNTIF($C13:$AB13,BO$4)</f>
        <v>1</v>
      </c>
      <c r="BP13" s="313">
        <f>COUNTIF($C13:$AB13,BP$4)</f>
        <v>0</v>
      </c>
      <c r="BQ13" s="314"/>
    </row>
    <row r="14" ht="37.5" customHeight="1" spans="1:69">
      <c r="A14" s="309"/>
      <c r="B14" s="329" t="s">
        <v>224</v>
      </c>
      <c r="C14" s="197"/>
      <c r="D14" s="197"/>
      <c r="E14" s="197"/>
      <c r="F14" s="197" t="s">
        <v>157</v>
      </c>
      <c r="H14" s="382" t="s">
        <v>350</v>
      </c>
      <c r="I14" s="324"/>
      <c r="J14" s="197" t="s">
        <v>150</v>
      </c>
      <c r="K14" s="197" t="s">
        <v>150</v>
      </c>
      <c r="L14" s="4"/>
      <c r="M14" s="197" t="s">
        <v>57</v>
      </c>
      <c r="N14" s="197"/>
      <c r="Q14" s="197"/>
      <c r="R14" s="106"/>
      <c r="S14" s="382" t="s">
        <v>350</v>
      </c>
      <c r="V14" s="197" t="s">
        <v>349</v>
      </c>
      <c r="W14" s="197" t="s">
        <v>71</v>
      </c>
      <c r="X14" s="197" t="s">
        <v>71</v>
      </c>
      <c r="Y14" s="197" t="s">
        <v>71</v>
      </c>
      <c r="Z14" s="197" t="s">
        <v>71</v>
      </c>
      <c r="AA14" s="197" t="s">
        <v>71</v>
      </c>
      <c r="AB14" s="197" t="s">
        <v>71</v>
      </c>
      <c r="AC14" s="197" t="s">
        <v>71</v>
      </c>
      <c r="AD14" s="197" t="s">
        <v>55</v>
      </c>
      <c r="AE14" s="197" t="s">
        <v>55</v>
      </c>
      <c r="AF14" s="197" t="s">
        <v>55</v>
      </c>
      <c r="AG14" s="197" t="s">
        <v>55</v>
      </c>
      <c r="AH14" s="197"/>
      <c r="AI14" s="311">
        <f t="shared" ref="AI14:AO14" si="11">COUNTIF($D14:$AC14,AI$4)</f>
        <v>1</v>
      </c>
      <c r="AJ14" s="312">
        <f t="shared" si="11"/>
        <v>0</v>
      </c>
      <c r="AK14" s="311">
        <f t="shared" si="11"/>
        <v>0</v>
      </c>
      <c r="AL14" s="313">
        <f t="shared" si="11"/>
        <v>0</v>
      </c>
      <c r="AM14" s="313">
        <f t="shared" si="11"/>
        <v>0</v>
      </c>
      <c r="AN14" s="313">
        <f t="shared" si="11"/>
        <v>0</v>
      </c>
      <c r="AO14" s="313">
        <f t="shared" si="11"/>
        <v>0</v>
      </c>
      <c r="AP14" s="238"/>
      <c r="AQ14" s="313">
        <f t="shared" si="2"/>
        <v>0</v>
      </c>
      <c r="AR14" s="238"/>
      <c r="AS14" s="238">
        <f t="shared" si="3"/>
        <v>0</v>
      </c>
      <c r="AT14" s="238"/>
      <c r="AU14" s="238">
        <f t="shared" si="5"/>
        <v>0</v>
      </c>
      <c r="AV14" s="238">
        <f t="shared" si="6"/>
        <v>1</v>
      </c>
      <c r="AW14" s="238">
        <f t="shared" si="7"/>
        <v>0</v>
      </c>
      <c r="AX14" s="238" t="e">
        <f t="shared" si="9"/>
        <v>#VALUE!</v>
      </c>
      <c r="AY14" s="313" t="e">
        <f>(BJ14*('Setting key Duty'!$I$8+'Setting key Duty'!$I$12))+(BH14*'Setting key Duty'!$I$9)+(BC14*('Setting key Duty'!$I$13+'Setting key Duty'!$I$9))+(BA14*('Setting key Duty'!$I$13+'Setting key Duty'!$I$12+'Setting key Duty'!$I$11))+(BE14*('Setting key Duty'!$I$8+'Setting key Duty'!$I$9+'Setting key Duty'!$I$12))</f>
        <v>#VALUE!</v>
      </c>
      <c r="AZ14" s="313">
        <f>COUNTIF(C14:AC14,"*BRT*")</f>
        <v>0</v>
      </c>
      <c r="BA14" s="313">
        <f t="shared" si="8"/>
        <v>0</v>
      </c>
      <c r="BB14" s="313" t="e">
        <f>BA14*('Setting key Duty'!$I$13+'Setting key Duty'!$I$12+'Setting key Duty'!$I$11)</f>
        <v>#VALUE!</v>
      </c>
      <c r="BC14" s="313">
        <f>COUNTIF(A14:AI14,"*$L*")</f>
        <v>0</v>
      </c>
      <c r="BD14" s="313" t="e">
        <f>BC14*('Setting key Duty'!$I$13+'Setting key Duty'!$I$9)</f>
        <v>#VALUE!</v>
      </c>
      <c r="BE14" s="313">
        <f>COUNTIF(A14:AI14,"*$M*")</f>
        <v>0</v>
      </c>
      <c r="BF14" s="313">
        <f>BE14*('Setting key Duty'!$I$8+'Setting key Duty'!$I$9+'Setting key Duty'!$I$12)</f>
        <v>0</v>
      </c>
      <c r="BG14" s="313">
        <f>COUNTIF(AI14,"*$N*")</f>
        <v>0</v>
      </c>
      <c r="BH14" s="313">
        <f>COUNTIF(AI14,"*$PM*")</f>
        <v>0</v>
      </c>
      <c r="BI14" s="313">
        <f>BH14*('Setting key Duty'!$I$9)</f>
        <v>0</v>
      </c>
      <c r="BJ14" s="313">
        <f>COUNTIF(A14:AI14,"*$AM*")</f>
        <v>0</v>
      </c>
      <c r="BK14" s="313">
        <f>BJ14*('Setting key Duty'!$I$12+'Setting key Duty'!$I$8)</f>
        <v>0</v>
      </c>
      <c r="BL14" s="313">
        <f>COUNTIF(C14:AI14,"*$FC*")</f>
        <v>0</v>
      </c>
      <c r="BM14" s="313">
        <f>BL14*('Setting key Duty'!$J$11+'Setting key Duty'!$I$8)</f>
        <v>0</v>
      </c>
      <c r="BN14" s="313">
        <f>COUNTIF($C14:$AC14,BN$4)</f>
        <v>0</v>
      </c>
      <c r="BO14" s="313">
        <f>COUNTIF($C14:$AC14,BO$4)</f>
        <v>2</v>
      </c>
      <c r="BP14" s="313">
        <f>COUNTIF($C14:$AC14,BP$4)</f>
        <v>0</v>
      </c>
      <c r="BQ14" s="314"/>
    </row>
    <row r="15" ht="19.5" customHeight="1" spans="1:69">
      <c r="A15" s="309"/>
      <c r="B15" s="315" t="s">
        <v>226</v>
      </c>
      <c r="D15" s="197"/>
      <c r="E15" s="197" t="s">
        <v>157</v>
      </c>
      <c r="F15" s="197" t="s">
        <v>58</v>
      </c>
      <c r="G15" s="197"/>
      <c r="I15" s="197"/>
      <c r="J15" s="197" t="s">
        <v>150</v>
      </c>
      <c r="K15" s="197" t="s">
        <v>150</v>
      </c>
      <c r="L15" s="382" t="s">
        <v>350</v>
      </c>
      <c r="M15" s="106"/>
      <c r="N15" s="197"/>
      <c r="O15" s="317"/>
      <c r="R15" s="197" t="s">
        <v>57</v>
      </c>
      <c r="S15" s="197"/>
      <c r="U15" s="106"/>
      <c r="V15" s="317" t="s">
        <v>158</v>
      </c>
      <c r="W15" s="197" t="s">
        <v>71</v>
      </c>
      <c r="X15" s="197"/>
      <c r="Y15" s="197" t="s">
        <v>57</v>
      </c>
      <c r="Z15" s="198"/>
      <c r="AA15" s="197" t="s">
        <v>80</v>
      </c>
      <c r="AC15" s="197"/>
      <c r="AD15" s="197" t="s">
        <v>57</v>
      </c>
      <c r="AE15" s="197"/>
      <c r="AF15" s="196"/>
      <c r="AG15" s="196"/>
      <c r="AH15" s="197"/>
      <c r="AI15" s="311">
        <f t="shared" ref="AI15:AO15" si="12">COUNTIF($D15:$AA15,AI$4)</f>
        <v>2</v>
      </c>
      <c r="AJ15" s="312">
        <f t="shared" si="12"/>
        <v>0</v>
      </c>
      <c r="AK15" s="311">
        <f t="shared" si="12"/>
        <v>0</v>
      </c>
      <c r="AL15" s="313">
        <f t="shared" si="12"/>
        <v>1</v>
      </c>
      <c r="AM15" s="313">
        <f t="shared" si="12"/>
        <v>0</v>
      </c>
      <c r="AN15" s="313">
        <f t="shared" si="12"/>
        <v>0</v>
      </c>
      <c r="AO15" s="313">
        <f t="shared" si="12"/>
        <v>0</v>
      </c>
      <c r="AP15" s="238"/>
      <c r="AQ15" s="313">
        <f t="shared" si="2"/>
        <v>0</v>
      </c>
      <c r="AR15" s="238"/>
      <c r="AS15" s="238">
        <f t="shared" si="3"/>
        <v>0</v>
      </c>
      <c r="AT15" s="238"/>
      <c r="AU15" s="238">
        <f t="shared" si="5"/>
        <v>0</v>
      </c>
      <c r="AV15" s="238">
        <f t="shared" si="6"/>
        <v>3</v>
      </c>
      <c r="AW15" s="238">
        <f t="shared" si="7"/>
        <v>0</v>
      </c>
      <c r="AX15" s="238" t="e">
        <f t="shared" si="9"/>
        <v>#VALUE!</v>
      </c>
      <c r="AY15" s="313" t="e">
        <f>(BJ15*('Setting key Duty'!$I$8+'Setting key Duty'!$I$12))+(BH15*'Setting key Duty'!$I$9)+(BC15*('Setting key Duty'!$I$13+'Setting key Duty'!$I$9))+(BA15*('Setting key Duty'!$I$13+'Setting key Duty'!$I$12+'Setting key Duty'!$I$11))+(BE15*('Setting key Duty'!$I$8+'Setting key Duty'!$I$9+'Setting key Duty'!$I$12))</f>
        <v>#VALUE!</v>
      </c>
      <c r="AZ15" s="313">
        <f>COUNTIF(D15:AA15,"*BRT*")</f>
        <v>0</v>
      </c>
      <c r="BA15" s="313">
        <f t="shared" si="8"/>
        <v>0</v>
      </c>
      <c r="BB15" s="313" t="e">
        <f>BA15*('Setting key Duty'!$I$13+'Setting key Duty'!$I$12+'Setting key Duty'!$I$11)</f>
        <v>#VALUE!</v>
      </c>
      <c r="BC15" s="313">
        <f>COUNTIF(A15:AI15,"*$L*")</f>
        <v>0</v>
      </c>
      <c r="BD15" s="313" t="e">
        <f>BC15*('Setting key Duty'!$I$13+'Setting key Duty'!$I$9)</f>
        <v>#VALUE!</v>
      </c>
      <c r="BE15" s="313">
        <f>COUNTIF(A15:AI15,"*$M*")</f>
        <v>0</v>
      </c>
      <c r="BF15" s="313">
        <f>BE15*('Setting key Duty'!$I$8+'Setting key Duty'!$I$9+'Setting key Duty'!$I$12)</f>
        <v>0</v>
      </c>
      <c r="BG15" s="313">
        <f>COUNTIF(A15:AI15,"*$N*")</f>
        <v>0</v>
      </c>
      <c r="BH15" s="313">
        <f>COUNTIF(AI15,"*$PM*")</f>
        <v>0</v>
      </c>
      <c r="BI15" s="313">
        <f>BH15*('Setting key Duty'!$I$9)</f>
        <v>0</v>
      </c>
      <c r="BJ15" s="313">
        <f>COUNTIF(A15:AI15,"*$AM*")</f>
        <v>0</v>
      </c>
      <c r="BK15" s="313">
        <f>BJ15*('Setting key Duty'!$I$12+'Setting key Duty'!$I$8)</f>
        <v>0</v>
      </c>
      <c r="BL15" s="313">
        <f>COUNTIF(D15:AI15,"*$FC*")</f>
        <v>0</v>
      </c>
      <c r="BM15" s="313">
        <f>BL15*('Setting key Duty'!$J$11+'Setting key Duty'!$I$8)</f>
        <v>0</v>
      </c>
      <c r="BN15" s="313">
        <f>COUNTIF($D15:$AA15,BN$4)</f>
        <v>0</v>
      </c>
      <c r="BO15" s="313">
        <f>COUNTIF($D15:$AA15,BO$4)</f>
        <v>1</v>
      </c>
      <c r="BP15" s="313">
        <f>COUNTIF($D15:$AA15,BP$4)</f>
        <v>0</v>
      </c>
      <c r="BQ15" s="314"/>
    </row>
    <row r="16" ht="19.5" customHeight="1" spans="1:69">
      <c r="A16" s="309"/>
      <c r="B16" s="334" t="s">
        <v>286</v>
      </c>
      <c r="C16" s="197"/>
      <c r="D16" s="197"/>
      <c r="E16" s="197" t="s">
        <v>57</v>
      </c>
      <c r="F16" s="324"/>
      <c r="G16" s="382" t="s">
        <v>350</v>
      </c>
      <c r="I16" s="197"/>
      <c r="J16" s="197" t="s">
        <v>56</v>
      </c>
      <c r="L16" s="317"/>
      <c r="M16" s="106"/>
      <c r="N16" s="197"/>
      <c r="O16" s="197" t="s">
        <v>56</v>
      </c>
      <c r="P16" s="197"/>
      <c r="Q16" s="197"/>
      <c r="R16" s="197"/>
      <c r="S16" s="197" t="s">
        <v>55</v>
      </c>
      <c r="T16" s="197"/>
      <c r="U16" s="197" t="s">
        <v>55</v>
      </c>
      <c r="V16" s="197"/>
      <c r="W16" s="197" t="s">
        <v>349</v>
      </c>
      <c r="Y16" s="197" t="s">
        <v>59</v>
      </c>
      <c r="Z16" s="197"/>
      <c r="AA16" s="197"/>
      <c r="AB16" s="106"/>
      <c r="AC16" s="197" t="s">
        <v>55</v>
      </c>
      <c r="AD16" s="197"/>
      <c r="AE16" s="197" t="s">
        <v>57</v>
      </c>
      <c r="AG16" s="196"/>
      <c r="AH16" s="197"/>
      <c r="AI16" s="311">
        <f t="shared" ref="AI16:AO16" si="13">COUNTIF($C16:$AF16,AI$4)</f>
        <v>2</v>
      </c>
      <c r="AJ16" s="312">
        <f t="shared" si="13"/>
        <v>2</v>
      </c>
      <c r="AK16" s="311">
        <f t="shared" si="13"/>
        <v>1</v>
      </c>
      <c r="AL16" s="313">
        <f t="shared" si="13"/>
        <v>0</v>
      </c>
      <c r="AM16" s="313">
        <f t="shared" si="13"/>
        <v>0</v>
      </c>
      <c r="AN16" s="313">
        <f t="shared" si="13"/>
        <v>0</v>
      </c>
      <c r="AO16" s="313">
        <f t="shared" si="13"/>
        <v>0</v>
      </c>
      <c r="AP16" s="238"/>
      <c r="AQ16" s="313">
        <f t="shared" si="2"/>
        <v>0</v>
      </c>
      <c r="AR16" s="238"/>
      <c r="AS16" s="238">
        <f t="shared" si="3"/>
        <v>0</v>
      </c>
      <c r="AT16" s="238"/>
      <c r="AU16" s="238">
        <f t="shared" si="5"/>
        <v>0</v>
      </c>
      <c r="AV16" s="238">
        <f t="shared" si="6"/>
        <v>5</v>
      </c>
      <c r="AW16" s="238">
        <f t="shared" si="7"/>
        <v>0</v>
      </c>
      <c r="AX16" s="238" t="e">
        <f t="shared" si="9"/>
        <v>#VALUE!</v>
      </c>
      <c r="AY16" s="313" t="e">
        <f>(BJ16*('Setting key Duty'!$I$8+'Setting key Duty'!$I$12))+(BH16*'Setting key Duty'!$I$9)+(BC16*('Setting key Duty'!$I$13+'Setting key Duty'!$I$9))+(BA16*('Setting key Duty'!$I$13+'Setting key Duty'!$I$12+'Setting key Duty'!$I$11))+(BE16*('Setting key Duty'!$I$8+'Setting key Duty'!$I$9+'Setting key Duty'!$I$12))</f>
        <v>#VALUE!</v>
      </c>
      <c r="AZ16" s="313">
        <f>COUNTIF(C16:AC16,"*BRT*")</f>
        <v>0</v>
      </c>
      <c r="BA16" s="313">
        <f t="shared" si="8"/>
        <v>0</v>
      </c>
      <c r="BB16" s="313" t="e">
        <f>BA16*('Setting key Duty'!$I$13+'Setting key Duty'!$I$12+'Setting key Duty'!$I$11)</f>
        <v>#VALUE!</v>
      </c>
      <c r="BC16" s="313">
        <f>COUNTIF(I16:AI16,"*$L*")</f>
        <v>0</v>
      </c>
      <c r="BD16" s="313" t="e">
        <f>BC16*('Setting key Duty'!$I$13+'Setting key Duty'!$I$9)</f>
        <v>#VALUE!</v>
      </c>
      <c r="BE16" s="313">
        <f>COUNTIF(I16:AI16,"*$M*")</f>
        <v>0</v>
      </c>
      <c r="BF16" s="313">
        <f>BE16*('Setting key Duty'!$I$8+'Setting key Duty'!$I$9+'Setting key Duty'!$I$12)</f>
        <v>0</v>
      </c>
      <c r="BG16" s="313">
        <f>COUNTIF(I16:AI16,"*$N*")</f>
        <v>0</v>
      </c>
      <c r="BH16" s="313">
        <f>COUNTIF(I16:AI16,"*$PM*")</f>
        <v>0</v>
      </c>
      <c r="BI16" s="313">
        <f>BH16*('Setting key Duty'!$I$9)</f>
        <v>0</v>
      </c>
      <c r="BJ16" s="313">
        <f>COUNTIF(I16:AI16,"*$AM*")</f>
        <v>0</v>
      </c>
      <c r="BK16" s="313">
        <f>BJ16*('Setting key Duty'!$I$12+'Setting key Duty'!$I$8)</f>
        <v>0</v>
      </c>
      <c r="BL16" s="313">
        <f>COUNTIF(C16:AI16,"*$FC*")</f>
        <v>0</v>
      </c>
      <c r="BM16" s="313">
        <f>BL16*('Setting key Duty'!$J$11+'Setting key Duty'!$I$8)</f>
        <v>0</v>
      </c>
      <c r="BN16" s="313">
        <f>COUNTIF($C16:$AF16,BN$4)</f>
        <v>0</v>
      </c>
      <c r="BO16" s="313">
        <f>COUNTIF($C16:$AF16,BO$4)</f>
        <v>1</v>
      </c>
      <c r="BP16" s="313">
        <f>COUNTIF($I16:$AE16,BP$4)</f>
        <v>3</v>
      </c>
      <c r="BQ16" s="314"/>
    </row>
    <row r="17" ht="19.5" customHeight="1" spans="1:69">
      <c r="A17" s="309"/>
      <c r="B17" s="329" t="s">
        <v>289</v>
      </c>
      <c r="C17" s="197"/>
      <c r="D17" s="197"/>
      <c r="E17" s="197" t="s">
        <v>58</v>
      </c>
      <c r="F17" s="197"/>
      <c r="G17" s="197"/>
      <c r="H17" s="197" t="s">
        <v>65</v>
      </c>
      <c r="I17" s="197"/>
      <c r="J17" s="382" t="s">
        <v>350</v>
      </c>
      <c r="M17" s="106"/>
      <c r="N17" s="317" t="s">
        <v>65</v>
      </c>
      <c r="O17" s="106"/>
      <c r="P17" s="382" t="s">
        <v>350</v>
      </c>
      <c r="Q17" s="317"/>
      <c r="T17" s="197"/>
      <c r="U17" s="317" t="s">
        <v>65</v>
      </c>
      <c r="V17" s="197" t="s">
        <v>349</v>
      </c>
      <c r="W17" s="197"/>
      <c r="X17" s="382" t="s">
        <v>350</v>
      </c>
      <c r="Y17" s="197"/>
      <c r="Z17" s="197"/>
      <c r="AA17" s="197" t="s">
        <v>56</v>
      </c>
      <c r="AB17" s="197"/>
      <c r="AC17" s="197" t="s">
        <v>65</v>
      </c>
      <c r="AD17" s="197"/>
      <c r="AE17" s="197"/>
      <c r="AF17" s="197"/>
      <c r="AG17" s="350"/>
      <c r="AH17" s="317"/>
      <c r="AI17" s="311"/>
      <c r="AJ17" s="312"/>
      <c r="AK17" s="311"/>
      <c r="AL17" s="313"/>
      <c r="AM17" s="313"/>
      <c r="AN17" s="313"/>
      <c r="AO17" s="313"/>
      <c r="AP17" s="238"/>
      <c r="AQ17" s="313">
        <f t="shared" si="2"/>
        <v>0</v>
      </c>
      <c r="AR17" s="238"/>
      <c r="AS17" s="238">
        <f t="shared" si="3"/>
        <v>0</v>
      </c>
      <c r="AT17" s="238"/>
      <c r="AU17" s="238">
        <f t="shared" si="5"/>
        <v>0</v>
      </c>
      <c r="AV17" s="238">
        <f t="shared" si="6"/>
        <v>0</v>
      </c>
      <c r="AW17" s="238">
        <f t="shared" si="7"/>
        <v>0</v>
      </c>
      <c r="AX17" s="238" t="e">
        <f>AU17+$AY$10</f>
        <v>#VALUE!</v>
      </c>
      <c r="AY17" s="313" t="e">
        <f>(BJ17*('Setting key Duty'!$I$8+'Setting key Duty'!$I$12))+(BH17*'Setting key Duty'!$I$9)+(BC17*('Setting key Duty'!$I$13+'Setting key Duty'!$I$9))+(BA17*('Setting key Duty'!$I$13+'Setting key Duty'!$I$12+'Setting key Duty'!$I$11))+(BE17*('Setting key Duty'!$I$8+'Setting key Duty'!$I$9+'Setting key Duty'!$I$12))</f>
        <v>#VALUE!</v>
      </c>
      <c r="AZ17" s="313">
        <f>COUNTIF(D17:AA17,"*BRT*")</f>
        <v>0</v>
      </c>
      <c r="BA17" s="313">
        <f t="shared" si="8"/>
        <v>0</v>
      </c>
      <c r="BB17" s="313" t="e">
        <f>BA17*('Setting key Duty'!$I$13+'Setting key Duty'!$I$12+'Setting key Duty'!$I$11)</f>
        <v>#VALUE!</v>
      </c>
      <c r="BC17" s="313">
        <f t="shared" ref="BC17:BC23" si="14">COUNTIF(A17:AI17,"*$L*")</f>
        <v>0</v>
      </c>
      <c r="BD17" s="313" t="e">
        <f>BC17*('Setting key Duty'!$I$13+'Setting key Duty'!$I$9)</f>
        <v>#VALUE!</v>
      </c>
      <c r="BE17" s="313">
        <f t="shared" ref="BE17:BE23" si="15">COUNTIF(A17:AI17,"*$M*")</f>
        <v>0</v>
      </c>
      <c r="BF17" s="313">
        <f>BE17*('Setting key Duty'!$I$8+'Setting key Duty'!$I$9+'Setting key Duty'!$I$12)</f>
        <v>0</v>
      </c>
      <c r="BG17" s="313">
        <f>COUNTIF(AI17,"*$N*")</f>
        <v>0</v>
      </c>
      <c r="BH17" s="313">
        <f>COUNTIF(AI17,"*$PM*")</f>
        <v>0</v>
      </c>
      <c r="BI17" s="313">
        <f>BH17*('Setting key Duty'!$I$9)</f>
        <v>0</v>
      </c>
      <c r="BJ17" s="313">
        <f t="shared" ref="BJ17:BJ23" si="16">COUNTIF(A17:AI17,"*$AM*")</f>
        <v>0</v>
      </c>
      <c r="BK17" s="313">
        <f>BJ17*('Setting key Duty'!$I$12+'Setting key Duty'!$I$8)</f>
        <v>0</v>
      </c>
      <c r="BL17" s="313">
        <f>COUNTIF(D17:AI17,"*$FC*")</f>
        <v>0</v>
      </c>
      <c r="BM17" s="313">
        <f>BL17*('Setting key Duty'!$J$11+'Setting key Duty'!$I$8)</f>
        <v>0</v>
      </c>
      <c r="BN17" s="313">
        <f>COUNTIF($D17:$AA17,BN$4)</f>
        <v>0</v>
      </c>
      <c r="BO17" s="313">
        <f>COUNTIF($D17:$AA17,BO$4)</f>
        <v>3</v>
      </c>
      <c r="BP17" s="313">
        <f>COUNTIF($D17:$AA17,BP$4)</f>
        <v>0</v>
      </c>
      <c r="BQ17" s="314"/>
    </row>
    <row r="18" ht="19.5" customHeight="1" spans="1:69">
      <c r="A18" s="309"/>
      <c r="B18" s="373" t="s">
        <v>121</v>
      </c>
      <c r="C18" s="197"/>
      <c r="D18" s="197"/>
      <c r="E18" s="197" t="s">
        <v>294</v>
      </c>
      <c r="G18" s="377" t="s">
        <v>173</v>
      </c>
      <c r="H18" s="377" t="s">
        <v>173</v>
      </c>
      <c r="I18" s="197" t="s">
        <v>58</v>
      </c>
      <c r="K18" s="317"/>
      <c r="L18" s="197" t="s">
        <v>56</v>
      </c>
      <c r="M18" s="106"/>
      <c r="N18" s="197" t="s">
        <v>56</v>
      </c>
      <c r="O18" s="106"/>
      <c r="P18" s="197" t="s">
        <v>56</v>
      </c>
      <c r="Q18" s="197"/>
      <c r="S18" s="197" t="s">
        <v>56</v>
      </c>
      <c r="T18" s="197"/>
      <c r="U18" s="197" t="s">
        <v>176</v>
      </c>
      <c r="V18" s="197" t="s">
        <v>349</v>
      </c>
      <c r="W18" s="197"/>
      <c r="X18" s="197"/>
      <c r="Y18" s="382" t="s">
        <v>350</v>
      </c>
      <c r="Z18" s="197" t="s">
        <v>55</v>
      </c>
      <c r="AA18" s="197" t="s">
        <v>55</v>
      </c>
      <c r="AB18" s="197" t="s">
        <v>55</v>
      </c>
      <c r="AC18" s="197" t="s">
        <v>55</v>
      </c>
      <c r="AD18" s="197" t="s">
        <v>55</v>
      </c>
      <c r="AE18" s="197"/>
      <c r="AF18" s="197"/>
      <c r="AG18" s="197"/>
      <c r="AH18" s="197"/>
      <c r="AI18" s="311"/>
      <c r="AJ18" s="312"/>
      <c r="AK18" s="311"/>
      <c r="AL18" s="313"/>
      <c r="AM18" s="313"/>
      <c r="AN18" s="313"/>
      <c r="AO18" s="313"/>
      <c r="AP18" s="238"/>
      <c r="AQ18" s="313">
        <f t="shared" si="2"/>
        <v>0</v>
      </c>
      <c r="AR18" s="238"/>
      <c r="AS18" s="238">
        <f t="shared" si="3"/>
        <v>0</v>
      </c>
      <c r="AT18" s="238"/>
      <c r="AU18" s="238">
        <f t="shared" si="5"/>
        <v>0</v>
      </c>
      <c r="AV18" s="238">
        <f t="shared" si="6"/>
        <v>0</v>
      </c>
      <c r="AW18" s="238">
        <f t="shared" si="7"/>
        <v>1</v>
      </c>
      <c r="AX18" s="238" t="e">
        <f>AU18+$AY$10</f>
        <v>#VALUE!</v>
      </c>
      <c r="AY18" s="313" t="e">
        <f>(BJ18*('Setting key Duty'!$I$8+'Setting key Duty'!$I$12))+(BH18*'Setting key Duty'!$I$9)+(BC18*('Setting key Duty'!$I$13+'Setting key Duty'!$I$9))+(BA18*('Setting key Duty'!$I$13+'Setting key Duty'!$I$12+'Setting key Duty'!$I$11))+(BE18*('Setting key Duty'!$I$8+'Setting key Duty'!$I$9+'Setting key Duty'!$I$12))</f>
        <v>#VALUE!</v>
      </c>
      <c r="AZ18" s="313">
        <f>COUNTIF(D18:Y18,"*BRT*")</f>
        <v>0</v>
      </c>
      <c r="BA18" s="313">
        <f t="shared" si="8"/>
        <v>0</v>
      </c>
      <c r="BB18" s="313" t="e">
        <f>BA18*('Setting key Duty'!$I$13+'Setting key Duty'!$I$12+'Setting key Duty'!$I$11)</f>
        <v>#VALUE!</v>
      </c>
      <c r="BC18" s="313">
        <f t="shared" si="14"/>
        <v>0</v>
      </c>
      <c r="BD18" s="313" t="e">
        <f>BC18*('Setting key Duty'!$I$13+'Setting key Duty'!$I$9)</f>
        <v>#VALUE!</v>
      </c>
      <c r="BE18" s="313">
        <f t="shared" si="15"/>
        <v>1</v>
      </c>
      <c r="BF18" s="313">
        <f>BE18*('Setting key Duty'!$I$8+'Setting key Duty'!$I$9+'Setting key Duty'!$I$12)</f>
        <v>0.5625</v>
      </c>
      <c r="BG18" s="313">
        <f>COUNTIF(AI18,"*$N*")</f>
        <v>0</v>
      </c>
      <c r="BH18" s="313">
        <f>COUNTIF(AI18,"*$PM*")</f>
        <v>0</v>
      </c>
      <c r="BI18" s="313">
        <f>BH18*('Setting key Duty'!$I$9)</f>
        <v>0</v>
      </c>
      <c r="BJ18" s="313">
        <f t="shared" si="16"/>
        <v>0</v>
      </c>
      <c r="BK18" s="313">
        <f>BJ18*('Setting key Duty'!$I$12+'Setting key Duty'!$I$8)</f>
        <v>0</v>
      </c>
      <c r="BL18" s="313">
        <f>COUNTIF(D18:AI18,"*$FC*")</f>
        <v>0</v>
      </c>
      <c r="BM18" s="313">
        <f>BL18*('Setting key Duty'!$J$11+'Setting key Duty'!$I$8)</f>
        <v>0</v>
      </c>
      <c r="BN18" s="313">
        <f>COUNTIF($D18:$Y18,BN$4)</f>
        <v>0</v>
      </c>
      <c r="BO18" s="313">
        <f>COUNTIF($D18:$Y18,BO$4)</f>
        <v>1</v>
      </c>
      <c r="BP18" s="313">
        <f>COUNTIF($D18:$Y18,BP$4)</f>
        <v>0</v>
      </c>
      <c r="BQ18" s="314"/>
    </row>
    <row r="19" ht="26.25" customHeight="1" spans="1:69">
      <c r="A19" s="309"/>
      <c r="B19" s="333" t="s">
        <v>300</v>
      </c>
      <c r="C19" s="197"/>
      <c r="D19" s="197"/>
      <c r="E19" s="197" t="s">
        <v>157</v>
      </c>
      <c r="F19" s="382" t="s">
        <v>350</v>
      </c>
      <c r="G19" s="197"/>
      <c r="H19" s="197" t="s">
        <v>56</v>
      </c>
      <c r="I19" s="197"/>
      <c r="J19" s="197" t="s">
        <v>57</v>
      </c>
      <c r="K19" s="198"/>
      <c r="M19" s="106"/>
      <c r="N19" s="382" t="s">
        <v>350</v>
      </c>
      <c r="O19" s="197"/>
      <c r="P19" s="197"/>
      <c r="Q19" s="197"/>
      <c r="R19" s="197" t="s">
        <v>56</v>
      </c>
      <c r="T19" s="197"/>
      <c r="U19" s="197" t="s">
        <v>59</v>
      </c>
      <c r="W19" s="197" t="s">
        <v>349</v>
      </c>
      <c r="X19" s="197"/>
      <c r="Y19" s="197"/>
      <c r="Z19" s="382" t="s">
        <v>350</v>
      </c>
      <c r="AB19" s="197" t="s">
        <v>59</v>
      </c>
      <c r="AC19" s="197"/>
      <c r="AD19" s="197"/>
      <c r="AE19" s="197"/>
      <c r="AF19" s="197"/>
      <c r="AG19" s="196" t="s">
        <v>57</v>
      </c>
      <c r="AH19" s="197"/>
      <c r="AI19" s="311"/>
      <c r="AJ19" s="312"/>
      <c r="AK19" s="311"/>
      <c r="AL19" s="313"/>
      <c r="AM19" s="313"/>
      <c r="AN19" s="313"/>
      <c r="AO19" s="313"/>
      <c r="AP19" s="238"/>
      <c r="AQ19" s="313">
        <f t="shared" si="2"/>
        <v>0</v>
      </c>
      <c r="AR19" s="238"/>
      <c r="AS19" s="238">
        <f t="shared" si="3"/>
        <v>0</v>
      </c>
      <c r="AT19" s="238"/>
      <c r="AU19" s="238">
        <f t="shared" si="5"/>
        <v>0</v>
      </c>
      <c r="AV19" s="238">
        <f t="shared" si="6"/>
        <v>0</v>
      </c>
      <c r="AW19" s="238">
        <f t="shared" si="7"/>
        <v>0</v>
      </c>
      <c r="AX19" s="238" t="e">
        <f>AU19+AY19</f>
        <v>#VALUE!</v>
      </c>
      <c r="AY19" s="313" t="e">
        <f>(BJ19*('Setting key Duty'!$I$8+'Setting key Duty'!$I$12))+(BH19*'Setting key Duty'!$I$9)+(BC19*('Setting key Duty'!$I$13+'Setting key Duty'!$I$9))+(BA19*('Setting key Duty'!$I$13+'Setting key Duty'!$I$12+'Setting key Duty'!$I$11))+(BE19*('Setting key Duty'!$I$8+'Setting key Duty'!$I$9+'Setting key Duty'!$I$12))</f>
        <v>#VALUE!</v>
      </c>
      <c r="AZ19" s="313">
        <f>COUNTIF(E19:AA19,"*BRT*")</f>
        <v>0</v>
      </c>
      <c r="BA19" s="313">
        <f t="shared" si="8"/>
        <v>0</v>
      </c>
      <c r="BB19" s="313" t="e">
        <f>BA19*('Setting key Duty'!$I$13+'Setting key Duty'!$I$12+'Setting key Duty'!$I$11)</f>
        <v>#VALUE!</v>
      </c>
      <c r="BC19" s="313">
        <f t="shared" si="14"/>
        <v>0</v>
      </c>
      <c r="BD19" s="313" t="e">
        <f>BC19*('Setting key Duty'!$I$13+'Setting key Duty'!$I$9)</f>
        <v>#VALUE!</v>
      </c>
      <c r="BE19" s="313">
        <f t="shared" si="15"/>
        <v>0</v>
      </c>
      <c r="BF19" s="313">
        <f>BE19*('Setting key Duty'!$I$8+'Setting key Duty'!$I$9+'Setting key Duty'!$I$12)</f>
        <v>0</v>
      </c>
      <c r="BG19" s="313">
        <f>COUNTIF(AG19:AI19,"*$N*")</f>
        <v>0</v>
      </c>
      <c r="BH19" s="313">
        <f>COUNTIF(AG19:AI19,"*$PM*")</f>
        <v>0</v>
      </c>
      <c r="BI19" s="313">
        <f>BH19*('Setting key Duty'!$I$9)</f>
        <v>0</v>
      </c>
      <c r="BJ19" s="313">
        <f t="shared" si="16"/>
        <v>0</v>
      </c>
      <c r="BK19" s="313">
        <f>BJ19*('Setting key Duty'!$I$12+'Setting key Duty'!$I$8)</f>
        <v>0</v>
      </c>
      <c r="BL19" s="313">
        <f>COUNTIF(E19:AI19,"*$FC*")</f>
        <v>0</v>
      </c>
      <c r="BM19" s="313">
        <f>BL19*('Setting key Duty'!$J$11+'Setting key Duty'!$I$8)</f>
        <v>0</v>
      </c>
      <c r="BN19" s="313">
        <f>COUNTIF($E19:$AA19,BN$4)</f>
        <v>0</v>
      </c>
      <c r="BO19" s="313">
        <f>COUNTIF($E19:$AA19,BO$4)</f>
        <v>3</v>
      </c>
      <c r="BP19" s="313">
        <f>COUNTIF($E19:$AA19,BP$4)</f>
        <v>0</v>
      </c>
      <c r="BQ19" s="314"/>
    </row>
    <row r="20" ht="19.5" customHeight="1" spans="1:69">
      <c r="A20" s="309"/>
      <c r="B20" s="329" t="s">
        <v>83</v>
      </c>
      <c r="C20" s="197"/>
      <c r="D20" s="197"/>
      <c r="E20" s="197" t="s">
        <v>157</v>
      </c>
      <c r="F20" s="197" t="s">
        <v>56</v>
      </c>
      <c r="G20" s="317"/>
      <c r="H20" s="198" t="s">
        <v>59</v>
      </c>
      <c r="I20" s="317"/>
      <c r="J20" s="197" t="s">
        <v>54</v>
      </c>
      <c r="K20" s="197" t="s">
        <v>54</v>
      </c>
      <c r="L20" s="197" t="s">
        <v>54</v>
      </c>
      <c r="M20" s="197" t="s">
        <v>54</v>
      </c>
      <c r="N20" s="197" t="s">
        <v>54</v>
      </c>
      <c r="O20" s="197" t="s">
        <v>54</v>
      </c>
      <c r="P20" s="197" t="s">
        <v>54</v>
      </c>
      <c r="Q20" s="197" t="s">
        <v>54</v>
      </c>
      <c r="R20" s="197" t="s">
        <v>54</v>
      </c>
      <c r="S20" s="197"/>
      <c r="T20" s="382" t="s">
        <v>350</v>
      </c>
      <c r="U20" s="197"/>
      <c r="V20" s="197" t="s">
        <v>349</v>
      </c>
      <c r="W20" s="197" t="s">
        <v>56</v>
      </c>
      <c r="X20" s="197"/>
      <c r="Y20" s="197"/>
      <c r="Z20" s="197"/>
      <c r="AB20" s="382" t="s">
        <v>350</v>
      </c>
      <c r="AC20" s="197"/>
      <c r="AD20" s="197" t="s">
        <v>59</v>
      </c>
      <c r="AE20" s="197"/>
      <c r="AF20" s="197" t="s">
        <v>56</v>
      </c>
      <c r="AG20" s="196"/>
      <c r="AH20" s="197"/>
      <c r="AI20" s="311"/>
      <c r="AJ20" s="312"/>
      <c r="AK20" s="311"/>
      <c r="AL20" s="313"/>
      <c r="AM20" s="313"/>
      <c r="AN20" s="313"/>
      <c r="AO20" s="313"/>
      <c r="AP20" s="238"/>
      <c r="AQ20" s="313">
        <f t="shared" si="2"/>
        <v>0</v>
      </c>
      <c r="AR20" s="238"/>
      <c r="AS20" s="238">
        <f t="shared" si="3"/>
        <v>0</v>
      </c>
      <c r="AT20" s="238"/>
      <c r="AU20" s="238">
        <f t="shared" si="5"/>
        <v>0</v>
      </c>
      <c r="AV20" s="238">
        <f t="shared" si="6"/>
        <v>0</v>
      </c>
      <c r="AW20" s="238">
        <f t="shared" si="7"/>
        <v>0</v>
      </c>
      <c r="AX20" s="238" t="e">
        <f>AU20+AY20</f>
        <v>#VALUE!</v>
      </c>
      <c r="AY20" s="313" t="e">
        <f>(BJ20*('Setting key Duty'!$I$8+'Setting key Duty'!$I$12))+(BH20*'Setting key Duty'!$I$9)+(BC20*('Setting key Duty'!$I$13+'Setting key Duty'!$I$9))+(BA20*('Setting key Duty'!$I$13+'Setting key Duty'!$I$12+'Setting key Duty'!$I$11))+(BE20*('Setting key Duty'!$I$8+'Setting key Duty'!$I$9+'Setting key Duty'!$I$12))</f>
        <v>#VALUE!</v>
      </c>
      <c r="AZ20" s="313">
        <f>COUNTIF(D20:AC20,"*BRT*")</f>
        <v>0</v>
      </c>
      <c r="BA20" s="313">
        <f t="shared" si="8"/>
        <v>0</v>
      </c>
      <c r="BB20" s="313" t="e">
        <f>BA20*('Setting key Duty'!$I$13+'Setting key Duty'!$I$12+'Setting key Duty'!$I$11)</f>
        <v>#VALUE!</v>
      </c>
      <c r="BC20" s="313">
        <f t="shared" si="14"/>
        <v>0</v>
      </c>
      <c r="BD20" s="313" t="e">
        <f>BC20*('Setting key Duty'!$I$13+'Setting key Duty'!$I$9)</f>
        <v>#VALUE!</v>
      </c>
      <c r="BE20" s="313">
        <f t="shared" si="15"/>
        <v>0</v>
      </c>
      <c r="BF20" s="313">
        <f>BE20*('Setting key Duty'!$I$8+'Setting key Duty'!$I$9+'Setting key Duty'!$I$12)</f>
        <v>0</v>
      </c>
      <c r="BG20" s="313">
        <f>COUNTIF(AF20:AI20,"*$N*")</f>
        <v>0</v>
      </c>
      <c r="BH20" s="313">
        <f>COUNTIF(AF20:AI20,"*$PM*")</f>
        <v>0</v>
      </c>
      <c r="BI20" s="313">
        <f>BH20*('Setting key Duty'!$I$9)</f>
        <v>0</v>
      </c>
      <c r="BJ20" s="313">
        <f t="shared" si="16"/>
        <v>0</v>
      </c>
      <c r="BK20" s="313">
        <f>BJ20*('Setting key Duty'!$I$12+'Setting key Duty'!$I$8)</f>
        <v>0</v>
      </c>
      <c r="BL20" s="313">
        <f>COUNTIF(D20:AI20,"*$FC*")</f>
        <v>0</v>
      </c>
      <c r="BM20" s="313">
        <f>BL20*('Setting key Duty'!$J$11+'Setting key Duty'!$I$8)</f>
        <v>0</v>
      </c>
      <c r="BN20" s="313">
        <f>COUNTIF($D20:$AE20,BN$4)</f>
        <v>0</v>
      </c>
      <c r="BO20" s="313">
        <f>COUNTIF($D20:$AE20,BO$4)</f>
        <v>2</v>
      </c>
      <c r="BP20" s="313">
        <f>COUNTIF($D20:$AE20,BP$4)</f>
        <v>0</v>
      </c>
      <c r="BQ20" s="314"/>
    </row>
    <row r="21" ht="30.75" customHeight="1" spans="1:69">
      <c r="A21" s="309"/>
      <c r="B21" s="315" t="s">
        <v>302</v>
      </c>
      <c r="C21" s="197"/>
      <c r="D21" s="317"/>
      <c r="E21" s="382" t="s">
        <v>350</v>
      </c>
      <c r="G21" s="377" t="s">
        <v>173</v>
      </c>
      <c r="H21" s="377" t="s">
        <v>173</v>
      </c>
      <c r="I21" s="197"/>
      <c r="J21" s="197"/>
      <c r="K21" s="197"/>
      <c r="L21" s="382" t="s">
        <v>350</v>
      </c>
      <c r="O21" s="197" t="s">
        <v>59</v>
      </c>
      <c r="P21" s="197"/>
      <c r="Q21" s="382" t="s">
        <v>350</v>
      </c>
      <c r="R21" s="197"/>
      <c r="S21" s="197"/>
      <c r="U21" s="197" t="s">
        <v>56</v>
      </c>
      <c r="V21" s="197" t="s">
        <v>349</v>
      </c>
      <c r="W21" s="197" t="s">
        <v>59</v>
      </c>
      <c r="X21" s="197"/>
      <c r="Y21" s="197"/>
      <c r="Z21" s="331" t="s">
        <v>354</v>
      </c>
      <c r="AA21" s="382" t="s">
        <v>350</v>
      </c>
      <c r="AB21" s="197"/>
      <c r="AC21" s="197"/>
      <c r="AD21" s="197"/>
      <c r="AE21" s="197" t="s">
        <v>56</v>
      </c>
      <c r="AF21" s="197"/>
      <c r="AG21" s="197" t="s">
        <v>59</v>
      </c>
      <c r="AH21" s="106"/>
      <c r="AI21" s="311"/>
      <c r="AJ21" s="312"/>
      <c r="AK21" s="311"/>
      <c r="AL21" s="313"/>
      <c r="AM21" s="313"/>
      <c r="AN21" s="313"/>
      <c r="AO21" s="313"/>
      <c r="AP21" s="238"/>
      <c r="AQ21" s="313">
        <f t="shared" si="2"/>
        <v>0</v>
      </c>
      <c r="AR21" s="238"/>
      <c r="AS21" s="238">
        <f t="shared" si="3"/>
        <v>0</v>
      </c>
      <c r="AT21" s="238"/>
      <c r="AU21" s="238">
        <f t="shared" si="5"/>
        <v>0</v>
      </c>
      <c r="AV21" s="238">
        <f t="shared" si="6"/>
        <v>0</v>
      </c>
      <c r="AW21" s="238">
        <f t="shared" si="7"/>
        <v>1</v>
      </c>
      <c r="AX21" s="238" t="e">
        <f>AU21+$AY$10</f>
        <v>#VALUE!</v>
      </c>
      <c r="AY21" s="313" t="e">
        <f>(BJ21*('Setting key Duty'!$I$8+'Setting key Duty'!$I$12))+(BH21*'Setting key Duty'!$I$9)+(BC21*('Setting key Duty'!$I$13+'Setting key Duty'!$I$9))+(BA21*('Setting key Duty'!$I$13+'Setting key Duty'!$I$12+'Setting key Duty'!$I$11))+(BE21*('Setting key Duty'!$I$8+'Setting key Duty'!$I$9+'Setting key Duty'!$I$12))</f>
        <v>#VALUE!</v>
      </c>
      <c r="AZ21" s="313">
        <f>COUNTIF(D21:AA21,"*BRT*")</f>
        <v>0</v>
      </c>
      <c r="BA21" s="313">
        <f t="shared" si="8"/>
        <v>0</v>
      </c>
      <c r="BB21" s="313" t="e">
        <f>BA21*('Setting key Duty'!$I$13+'Setting key Duty'!$I$12+'Setting key Duty'!$I$11)</f>
        <v>#VALUE!</v>
      </c>
      <c r="BC21" s="313">
        <f t="shared" si="14"/>
        <v>0</v>
      </c>
      <c r="BD21" s="313" t="e">
        <f>BC21*('Setting key Duty'!$I$13+'Setting key Duty'!$I$9)</f>
        <v>#VALUE!</v>
      </c>
      <c r="BE21" s="313">
        <f t="shared" si="15"/>
        <v>0</v>
      </c>
      <c r="BF21" s="313">
        <f>BE21*('Setting key Duty'!$I$8+'Setting key Duty'!$I$9+'Setting key Duty'!$I$12)</f>
        <v>0</v>
      </c>
      <c r="BG21" s="313">
        <f>COUNTIF(AI21,"*$N*")</f>
        <v>0</v>
      </c>
      <c r="BH21" s="313">
        <f>COUNTIF(AI21,"*$PM*")</f>
        <v>0</v>
      </c>
      <c r="BI21" s="313">
        <f>BH21*('Setting key Duty'!$I$9)</f>
        <v>0</v>
      </c>
      <c r="BJ21" s="313">
        <f t="shared" si="16"/>
        <v>1</v>
      </c>
      <c r="BK21" s="313">
        <f>BJ21*('Setting key Duty'!$I$12+'Setting key Duty'!$I$8)</f>
        <v>0.4375</v>
      </c>
      <c r="BL21" s="313">
        <f>COUNTIF(D21:AI21,"*$FC*")</f>
        <v>0</v>
      </c>
      <c r="BM21" s="313">
        <f>BL21*('Setting key Duty'!$J$11+'Setting key Duty'!$I$8)</f>
        <v>0</v>
      </c>
      <c r="BN21" s="313">
        <f>COUNTIF($D21:$AA21,BN$4)</f>
        <v>0</v>
      </c>
      <c r="BO21" s="313">
        <f>COUNTIF($D21:$AA21,BO$4)</f>
        <v>4</v>
      </c>
      <c r="BP21" s="313">
        <f>COUNTIF($D21:$AA21,BP$4)</f>
        <v>0</v>
      </c>
      <c r="BQ21" s="314"/>
    </row>
    <row r="22" ht="27.75" customHeight="1" spans="1:69">
      <c r="A22" s="309"/>
      <c r="B22" s="315" t="s">
        <v>306</v>
      </c>
      <c r="C22" s="197" t="s">
        <v>59</v>
      </c>
      <c r="D22" s="197"/>
      <c r="E22" s="197" t="s">
        <v>59</v>
      </c>
      <c r="F22" s="198"/>
      <c r="G22" s="377" t="s">
        <v>173</v>
      </c>
      <c r="H22" s="377" t="s">
        <v>173</v>
      </c>
      <c r="I22" s="382" t="s">
        <v>350</v>
      </c>
      <c r="J22" s="106"/>
      <c r="K22" s="106"/>
      <c r="L22" s="197" t="s">
        <v>59</v>
      </c>
      <c r="M22" s="106"/>
      <c r="P22" s="382" t="s">
        <v>350</v>
      </c>
      <c r="Q22" s="197"/>
      <c r="S22" s="197" t="s">
        <v>55</v>
      </c>
      <c r="T22" s="197"/>
      <c r="U22" s="382" t="s">
        <v>350</v>
      </c>
      <c r="W22" s="197" t="s">
        <v>349</v>
      </c>
      <c r="X22" s="197"/>
      <c r="Y22" s="197"/>
      <c r="AA22" s="197" t="s">
        <v>65</v>
      </c>
      <c r="AC22" s="382" t="s">
        <v>350</v>
      </c>
      <c r="AF22" s="197" t="s">
        <v>59</v>
      </c>
      <c r="AG22" s="350"/>
      <c r="AH22" s="317"/>
      <c r="AI22" s="311"/>
      <c r="AJ22" s="312"/>
      <c r="AK22" s="311"/>
      <c r="AL22" s="313"/>
      <c r="AM22" s="313"/>
      <c r="AN22" s="313"/>
      <c r="AO22" s="313"/>
      <c r="AP22" s="238"/>
      <c r="AQ22" s="313">
        <f t="shared" si="2"/>
        <v>0</v>
      </c>
      <c r="AR22" s="238"/>
      <c r="AS22" s="238">
        <f t="shared" si="3"/>
        <v>0</v>
      </c>
      <c r="AT22" s="238"/>
      <c r="AU22" s="238">
        <f t="shared" si="5"/>
        <v>0</v>
      </c>
      <c r="AV22" s="238">
        <f t="shared" si="6"/>
        <v>0</v>
      </c>
      <c r="AW22" s="238">
        <f t="shared" si="7"/>
        <v>0</v>
      </c>
      <c r="AX22" s="238" t="e">
        <f>AU22+$AY$10</f>
        <v>#VALUE!</v>
      </c>
      <c r="AY22" s="313" t="e">
        <f>(BJ22*('Setting key Duty'!$I$8+'Setting key Duty'!$I$12))+(BH22*'Setting key Duty'!$I$9)+(BC22*('Setting key Duty'!$I$13+'Setting key Duty'!$I$9))+(BA22*('Setting key Duty'!$I$13+'Setting key Duty'!$I$12+'Setting key Duty'!$I$11))+(BE22*('Setting key Duty'!$I$8+'Setting key Duty'!$I$9+'Setting key Duty'!$I$12))</f>
        <v>#VALUE!</v>
      </c>
      <c r="AZ22" s="313">
        <f>COUNTIF(C22:AA22,"*BRT*")</f>
        <v>0</v>
      </c>
      <c r="BA22" s="313">
        <f t="shared" si="8"/>
        <v>0</v>
      </c>
      <c r="BB22" s="313" t="e">
        <f>BA22*('Setting key Duty'!$I$13+'Setting key Duty'!$I$12+'Setting key Duty'!$I$11)</f>
        <v>#VALUE!</v>
      </c>
      <c r="BC22" s="313">
        <f t="shared" si="14"/>
        <v>0</v>
      </c>
      <c r="BD22" s="313" t="e">
        <f>BC22*('Setting key Duty'!$I$13+'Setting key Duty'!$I$9)</f>
        <v>#VALUE!</v>
      </c>
      <c r="BE22" s="313">
        <f t="shared" si="15"/>
        <v>0</v>
      </c>
      <c r="BF22" s="313">
        <f>BE22*('Setting key Duty'!$I$8+'Setting key Duty'!$I$9+'Setting key Duty'!$I$12)</f>
        <v>0</v>
      </c>
      <c r="BG22" s="313">
        <f>COUNTIF(AI22,"*$N*")</f>
        <v>0</v>
      </c>
      <c r="BH22" s="313">
        <f>COUNTIF(AI22,"*$PM*")</f>
        <v>0</v>
      </c>
      <c r="BI22" s="313">
        <f>BH22*('Setting key Duty'!$I$9)</f>
        <v>0</v>
      </c>
      <c r="BJ22" s="313">
        <f t="shared" si="16"/>
        <v>0</v>
      </c>
      <c r="BK22" s="313">
        <f>BJ22*('Setting key Duty'!$I$12+'Setting key Duty'!$I$8)</f>
        <v>0</v>
      </c>
      <c r="BL22" s="313">
        <f>COUNTIF(C22:AI22,"*$FC*")</f>
        <v>0</v>
      </c>
      <c r="BM22" s="313">
        <f>BL22*('Setting key Duty'!$J$11+'Setting key Duty'!$I$8)</f>
        <v>0</v>
      </c>
      <c r="BN22" s="313">
        <f>COUNTIF($C22:$AA22,BN$4)</f>
        <v>0</v>
      </c>
      <c r="BO22" s="313">
        <f>COUNTIF($C22:$AA22,BO$4)</f>
        <v>3</v>
      </c>
      <c r="BP22" s="313">
        <f>COUNTIF($C22:$AA22,BP$4)</f>
        <v>1</v>
      </c>
      <c r="BQ22" s="314"/>
    </row>
    <row r="23" ht="19.5" customHeight="1" spans="1:69">
      <c r="A23" s="309"/>
      <c r="B23" s="375" t="s">
        <v>355</v>
      </c>
      <c r="C23" s="197"/>
      <c r="D23" s="197"/>
      <c r="E23" s="198"/>
      <c r="F23" s="197" t="s">
        <v>157</v>
      </c>
      <c r="G23" s="197"/>
      <c r="H23" s="197" t="s">
        <v>57</v>
      </c>
      <c r="I23" s="106"/>
      <c r="J23" s="197" t="s">
        <v>150</v>
      </c>
      <c r="K23" s="197" t="s">
        <v>150</v>
      </c>
      <c r="L23" s="317"/>
      <c r="M23" s="106"/>
      <c r="N23" s="106"/>
      <c r="O23" s="197" t="s">
        <v>57</v>
      </c>
      <c r="P23" s="197"/>
      <c r="Q23" s="197"/>
      <c r="R23" s="382" t="s">
        <v>350</v>
      </c>
      <c r="S23" s="197"/>
      <c r="U23" s="197" t="s">
        <v>57</v>
      </c>
      <c r="V23" s="197" t="s">
        <v>349</v>
      </c>
      <c r="W23" s="197" t="s">
        <v>57</v>
      </c>
      <c r="X23" s="197"/>
      <c r="Y23" s="197"/>
      <c r="Z23" s="197" t="s">
        <v>56</v>
      </c>
      <c r="AA23" s="197"/>
      <c r="AB23" s="317"/>
      <c r="AC23" s="317" t="s">
        <v>57</v>
      </c>
      <c r="AF23" s="197" t="s">
        <v>57</v>
      </c>
      <c r="AG23" s="196"/>
      <c r="AH23" s="197"/>
      <c r="AI23" s="311"/>
      <c r="AJ23" s="312"/>
      <c r="AK23" s="311"/>
      <c r="AL23" s="313"/>
      <c r="AM23" s="313"/>
      <c r="AN23" s="313"/>
      <c r="AO23" s="313"/>
      <c r="AP23" s="238"/>
      <c r="AQ23" s="313">
        <f t="shared" si="2"/>
        <v>0</v>
      </c>
      <c r="AR23" s="238"/>
      <c r="AS23" s="238">
        <f t="shared" si="3"/>
        <v>0</v>
      </c>
      <c r="AT23" s="238"/>
      <c r="AU23" s="238">
        <f t="shared" si="5"/>
        <v>0</v>
      </c>
      <c r="AV23" s="238">
        <f t="shared" si="6"/>
        <v>0</v>
      </c>
      <c r="AW23" s="238">
        <f t="shared" si="7"/>
        <v>0</v>
      </c>
      <c r="AX23" s="238" t="e">
        <f>AU23+AY23</f>
        <v>#VALUE!</v>
      </c>
      <c r="AY23" s="313" t="e">
        <f>(BJ23*('Setting key Duty'!$I$8+'Setting key Duty'!$I$12))+(BH23*'Setting key Duty'!$I$9)+(BC23*('Setting key Duty'!$I$13+'Setting key Duty'!$I$9))+(BA23*('Setting key Duty'!$I$13+'Setting key Duty'!$I$12+'Setting key Duty'!$I$11))+(BE23*('Setting key Duty'!$I$8+'Setting key Duty'!$I$9+'Setting key Duty'!$I$12))</f>
        <v>#VALUE!</v>
      </c>
      <c r="AZ23" s="313">
        <f>COUNTIF(D23:AB23,"*BRT*")</f>
        <v>0</v>
      </c>
      <c r="BA23" s="313">
        <f t="shared" si="8"/>
        <v>0</v>
      </c>
      <c r="BB23" s="313" t="e">
        <f>BA23*('Setting key Duty'!$I$13+'Setting key Duty'!$I$12+'Setting key Duty'!$I$11)</f>
        <v>#VALUE!</v>
      </c>
      <c r="BC23" s="313">
        <f t="shared" si="14"/>
        <v>0</v>
      </c>
      <c r="BD23" s="313" t="e">
        <f>BC23*('Setting key Duty'!$I$13+'Setting key Duty'!$I$9)</f>
        <v>#VALUE!</v>
      </c>
      <c r="BE23" s="313">
        <f t="shared" si="15"/>
        <v>0</v>
      </c>
      <c r="BF23" s="313">
        <f>BE23*('Setting key Duty'!$I$8+'Setting key Duty'!$I$9+'Setting key Duty'!$I$12)</f>
        <v>0</v>
      </c>
      <c r="BG23" s="313">
        <f>COUNTIF(AF23:AI23,"*$N*")</f>
        <v>0</v>
      </c>
      <c r="BH23" s="313">
        <f>COUNTIF(AF23:AI23,"*$PM*")</f>
        <v>0</v>
      </c>
      <c r="BI23" s="313">
        <f>BH23*('Setting key Duty'!$I$9)</f>
        <v>0</v>
      </c>
      <c r="BJ23" s="313">
        <f t="shared" si="16"/>
        <v>0</v>
      </c>
      <c r="BK23" s="313">
        <f>BJ23*('Setting key Duty'!$I$12+'Setting key Duty'!$I$8)</f>
        <v>0</v>
      </c>
      <c r="BL23" s="313">
        <f>COUNTIF(D23:AI23,"*$FC*")</f>
        <v>0</v>
      </c>
      <c r="BM23" s="313">
        <f>BL23*('Setting key Duty'!$J$11+'Setting key Duty'!$I$8)</f>
        <v>0</v>
      </c>
      <c r="BN23" s="313">
        <f>COUNTIF($D23:$AE23,BN$4)</f>
        <v>0</v>
      </c>
      <c r="BO23" s="313">
        <f>COUNTIF($D23:$AE23,BO$4)</f>
        <v>1</v>
      </c>
      <c r="BP23" s="313">
        <f>COUNTIF($D23:$AE23,BP$4)</f>
        <v>0</v>
      </c>
      <c r="BQ23" s="314"/>
    </row>
    <row r="24" ht="19.5" customHeight="1" spans="1:69">
      <c r="A24" s="309"/>
      <c r="B24" s="328" t="s">
        <v>312</v>
      </c>
      <c r="D24" s="197" t="s">
        <v>56</v>
      </c>
      <c r="E24" s="197"/>
      <c r="F24" s="197"/>
      <c r="G24" s="377" t="s">
        <v>173</v>
      </c>
      <c r="H24" s="377" t="s">
        <v>173</v>
      </c>
      <c r="I24" s="106"/>
      <c r="K24" s="197"/>
      <c r="L24" s="197"/>
      <c r="M24" s="349" t="s">
        <v>59</v>
      </c>
      <c r="N24" s="197"/>
      <c r="O24" s="197"/>
      <c r="P24" s="197"/>
      <c r="Q24" s="197"/>
      <c r="R24" s="197"/>
      <c r="S24" s="197" t="s">
        <v>54</v>
      </c>
      <c r="T24" s="197" t="s">
        <v>54</v>
      </c>
      <c r="U24" s="197" t="s">
        <v>54</v>
      </c>
      <c r="V24" s="197" t="s">
        <v>54</v>
      </c>
      <c r="W24" s="197" t="s">
        <v>54</v>
      </c>
      <c r="X24" s="197" t="s">
        <v>54</v>
      </c>
      <c r="Y24" s="197" t="s">
        <v>54</v>
      </c>
      <c r="Z24" s="197"/>
      <c r="AB24" s="197" t="s">
        <v>356</v>
      </c>
      <c r="AC24" s="198"/>
      <c r="AE24" s="197" t="s">
        <v>59</v>
      </c>
      <c r="AF24" s="197"/>
      <c r="AG24" s="350" t="s">
        <v>56</v>
      </c>
      <c r="AH24" s="197"/>
      <c r="AI24" s="311"/>
      <c r="AJ24" s="312"/>
      <c r="AK24" s="311"/>
      <c r="AL24" s="313"/>
      <c r="AM24" s="313"/>
      <c r="AN24" s="313"/>
      <c r="AO24" s="313"/>
      <c r="AP24" s="238"/>
      <c r="AQ24" s="313">
        <f t="shared" si="2"/>
        <v>0</v>
      </c>
      <c r="AR24" s="238"/>
      <c r="AS24" s="238">
        <f t="shared" si="3"/>
        <v>0</v>
      </c>
      <c r="AT24" s="238"/>
      <c r="AU24" s="238">
        <f t="shared" si="5"/>
        <v>0</v>
      </c>
      <c r="AV24" s="238">
        <f t="shared" si="6"/>
        <v>0</v>
      </c>
      <c r="AW24" s="238">
        <f t="shared" si="7"/>
        <v>0</v>
      </c>
      <c r="AX24" s="238" t="e">
        <f>AU24+$AY$10</f>
        <v>#VALUE!</v>
      </c>
      <c r="AY24" s="313" t="e">
        <f>(BJ24*('Setting key Duty'!$I$8+'Setting key Duty'!$I$12))+(BH24*'Setting key Duty'!$I$9)+(BC24*('Setting key Duty'!$I$13+'Setting key Duty'!$I$9))+(BA24*('Setting key Duty'!$I$13+'Setting key Duty'!$I$12+'Setting key Duty'!$I$11))+(BE24*('Setting key Duty'!$I$8+'Setting key Duty'!$I$9+'Setting key Duty'!$I$12))</f>
        <v>#VALUE!</v>
      </c>
      <c r="AZ24" s="313"/>
      <c r="BA24" s="313"/>
      <c r="BB24" s="313"/>
      <c r="BC24" s="313"/>
      <c r="BD24" s="313"/>
      <c r="BE24" s="313"/>
      <c r="BF24" s="313"/>
      <c r="BG24" s="313"/>
      <c r="BH24" s="313"/>
      <c r="BI24" s="313"/>
      <c r="BJ24" s="313"/>
      <c r="BK24" s="313"/>
      <c r="BL24" s="313"/>
      <c r="BM24" s="313"/>
      <c r="BN24" s="313"/>
      <c r="BO24" s="313"/>
      <c r="BP24" s="313"/>
      <c r="BQ24" s="314"/>
    </row>
    <row r="25" ht="19.5" customHeight="1" spans="1:69">
      <c r="A25" s="309"/>
      <c r="B25" s="328" t="s">
        <v>233</v>
      </c>
      <c r="C25" s="197" t="s">
        <v>56</v>
      </c>
      <c r="E25" s="197"/>
      <c r="F25" s="197" t="s">
        <v>157</v>
      </c>
      <c r="H25" s="324"/>
      <c r="I25" s="197" t="s">
        <v>357</v>
      </c>
      <c r="J25" s="197"/>
      <c r="K25" s="197"/>
      <c r="L25" s="197"/>
      <c r="M25" s="197"/>
      <c r="N25" s="383" t="s">
        <v>57</v>
      </c>
      <c r="O25" s="197"/>
      <c r="P25" s="197" t="s">
        <v>55</v>
      </c>
      <c r="Q25" s="197" t="s">
        <v>56</v>
      </c>
      <c r="R25" s="197"/>
      <c r="S25" s="197"/>
      <c r="T25" s="197"/>
      <c r="U25" s="317" t="s">
        <v>358</v>
      </c>
      <c r="V25" s="317" t="s">
        <v>59</v>
      </c>
      <c r="W25" s="197" t="s">
        <v>55</v>
      </c>
      <c r="X25" s="198"/>
      <c r="Y25" s="382" t="s">
        <v>350</v>
      </c>
      <c r="Z25" s="197" t="s">
        <v>57</v>
      </c>
      <c r="AA25" s="197"/>
      <c r="AB25" s="197"/>
      <c r="AC25" s="197" t="s">
        <v>59</v>
      </c>
      <c r="AD25" s="197"/>
      <c r="AE25" s="197"/>
      <c r="AF25" s="197"/>
      <c r="AG25" s="196"/>
      <c r="AH25" s="197"/>
      <c r="AI25" s="311"/>
      <c r="AJ25" s="312"/>
      <c r="AK25" s="311"/>
      <c r="AL25" s="313"/>
      <c r="AM25" s="313"/>
      <c r="AN25" s="313"/>
      <c r="AO25" s="313"/>
      <c r="AP25" s="238"/>
      <c r="AQ25" s="313">
        <f t="shared" si="2"/>
        <v>0</v>
      </c>
      <c r="AR25" s="238"/>
      <c r="AS25" s="238">
        <f t="shared" si="3"/>
        <v>0</v>
      </c>
      <c r="AT25" s="238"/>
      <c r="AU25" s="238">
        <f t="shared" si="5"/>
        <v>0</v>
      </c>
      <c r="AV25" s="238">
        <f t="shared" si="6"/>
        <v>0</v>
      </c>
      <c r="AW25" s="238">
        <f t="shared" si="7"/>
        <v>1</v>
      </c>
      <c r="AX25" s="238" t="e">
        <f>AU25+AY25</f>
        <v>#VALUE!</v>
      </c>
      <c r="AY25" s="313" t="e">
        <f>(BJ25*('Setting key Duty'!$I$8+'Setting key Duty'!$I$12))+(BH25*'Setting key Duty'!$I$9)+(BC25*('Setting key Duty'!$I$13+'Setting key Duty'!$I$9))+(BA25*('Setting key Duty'!$I$13+'Setting key Duty'!$I$12+'Setting key Duty'!$I$11))+(BE25*('Setting key Duty'!$I$8+'Setting key Duty'!$I$9+'Setting key Duty'!$I$12))</f>
        <v>#VALUE!</v>
      </c>
      <c r="AZ25" s="313">
        <f>COUNTIF(D25:AA25,"*BRT*")</f>
        <v>0</v>
      </c>
      <c r="BA25" s="313">
        <f t="shared" ref="BA25:BA31" si="17">COUNTIF(A25:AI25,"*$BTP*")</f>
        <v>0</v>
      </c>
      <c r="BB25" s="313" t="e">
        <f>BA25*('Setting key Duty'!$I$13+'Setting key Duty'!$I$12+'Setting key Duty'!$I$11)</f>
        <v>#VALUE!</v>
      </c>
      <c r="BC25" s="313">
        <f>COUNTIF(A25:AI25,"*$L*")</f>
        <v>0</v>
      </c>
      <c r="BD25" s="313" t="e">
        <f>BC25*('Setting key Duty'!$I$13+'Setting key Duty'!$I$9)</f>
        <v>#VALUE!</v>
      </c>
      <c r="BE25" s="313">
        <f>COUNTIF(A25:AI25,"*$M*")</f>
        <v>0</v>
      </c>
      <c r="BF25" s="313">
        <f>BE25*('Setting key Duty'!$I$8+'Setting key Duty'!$I$9+'Setting key Duty'!$I$12)</f>
        <v>0</v>
      </c>
      <c r="BG25" s="313">
        <f>COUNTIF(AI25,"*$N*")</f>
        <v>0</v>
      </c>
      <c r="BH25" s="313">
        <f>COUNTIF(AI25,"*$PM*")</f>
        <v>0</v>
      </c>
      <c r="BI25" s="313">
        <f>BH25*('Setting key Duty'!$I$9)</f>
        <v>0</v>
      </c>
      <c r="BJ25" s="313">
        <f>COUNTIF(A25:AI25,"*$AM*")</f>
        <v>1</v>
      </c>
      <c r="BK25" s="313">
        <f>BJ25*('Setting key Duty'!$I$12+'Setting key Duty'!$I$8)</f>
        <v>0.4375</v>
      </c>
      <c r="BL25" s="313">
        <f>COUNTIF(D25:AI25,"*$FC*")</f>
        <v>0</v>
      </c>
      <c r="BM25" s="313">
        <f>BL25*('Setting key Duty'!$J$11+'Setting key Duty'!$I$8)</f>
        <v>0</v>
      </c>
      <c r="BN25" s="313">
        <f>COUNTIF($D25:$AA25,BN$4)</f>
        <v>0</v>
      </c>
      <c r="BO25" s="313">
        <f>COUNTIF($D25:$AA25,BO$4)</f>
        <v>1</v>
      </c>
      <c r="BP25" s="313">
        <f>COUNTIF($D25:$AA25,BP$4)</f>
        <v>2</v>
      </c>
      <c r="BQ25" s="314"/>
    </row>
    <row r="26" ht="19.5" customHeight="1" spans="1:69">
      <c r="A26" s="309"/>
      <c r="B26" s="376" t="s">
        <v>189</v>
      </c>
      <c r="C26" s="324"/>
      <c r="D26" s="197" t="s">
        <v>65</v>
      </c>
      <c r="E26" s="324"/>
      <c r="F26" s="324" t="s">
        <v>65</v>
      </c>
      <c r="G26" s="324"/>
      <c r="H26" s="317"/>
      <c r="I26" s="197" t="s">
        <v>69</v>
      </c>
      <c r="J26" s="317"/>
      <c r="K26" s="197" t="s">
        <v>65</v>
      </c>
      <c r="L26" s="324"/>
      <c r="M26" s="317" t="s">
        <v>65</v>
      </c>
      <c r="O26" s="317" t="s">
        <v>65</v>
      </c>
      <c r="Q26" s="197"/>
      <c r="R26" s="317"/>
      <c r="S26" s="197" t="s">
        <v>55</v>
      </c>
      <c r="T26" s="197" t="s">
        <v>55</v>
      </c>
      <c r="U26" s="197" t="s">
        <v>55</v>
      </c>
      <c r="V26" s="197" t="s">
        <v>55</v>
      </c>
      <c r="W26" s="197" t="s">
        <v>349</v>
      </c>
      <c r="X26" s="197"/>
      <c r="Y26" s="197"/>
      <c r="Z26" s="197" t="s">
        <v>65</v>
      </c>
      <c r="AA26" s="317"/>
      <c r="AB26" s="197" t="s">
        <v>65</v>
      </c>
      <c r="AC26" s="317"/>
      <c r="AD26" s="317" t="s">
        <v>65</v>
      </c>
      <c r="AE26" s="197"/>
      <c r="AG26" s="317" t="s">
        <v>65</v>
      </c>
      <c r="AH26" s="317"/>
      <c r="AI26" s="311"/>
      <c r="AJ26" s="312"/>
      <c r="AK26" s="311"/>
      <c r="AL26" s="313"/>
      <c r="AM26" s="313"/>
      <c r="AN26" s="313"/>
      <c r="AO26" s="313"/>
      <c r="AP26" s="238"/>
      <c r="AQ26" s="313">
        <f t="shared" si="2"/>
        <v>0</v>
      </c>
      <c r="AR26" s="238"/>
      <c r="AS26" s="238">
        <f t="shared" si="3"/>
        <v>0</v>
      </c>
      <c r="AT26" s="238"/>
      <c r="AU26" s="238">
        <f t="shared" si="5"/>
        <v>0</v>
      </c>
      <c r="AV26" s="238">
        <f t="shared" si="6"/>
        <v>0</v>
      </c>
      <c r="AW26" s="238">
        <f t="shared" si="7"/>
        <v>0</v>
      </c>
      <c r="AX26" s="238" t="e">
        <f>AU26+$AY$10</f>
        <v>#VALUE!</v>
      </c>
      <c r="AY26" s="313" t="e">
        <f>(BJ26*('Setting key Duty'!$I$8+'Setting key Duty'!$I$12))+(BH26*'Setting key Duty'!$I$9)+(BC26*('Setting key Duty'!$I$13+'Setting key Duty'!$I$9))+(BA26*('Setting key Duty'!$I$13+'Setting key Duty'!$I$12+'Setting key Duty'!$I$11))+(BE26*('Setting key Duty'!$I$8+'Setting key Duty'!$I$9+'Setting key Duty'!$I$12))</f>
        <v>#VALUE!</v>
      </c>
      <c r="AZ26" s="313">
        <f>COUNTIF(D26:AA26,"*BRT*")</f>
        <v>0</v>
      </c>
      <c r="BA26" s="313">
        <f t="shared" si="17"/>
        <v>0</v>
      </c>
      <c r="BB26" s="313" t="e">
        <f>BA26*('Setting key Duty'!$I$13+'Setting key Duty'!$I$12+'Setting key Duty'!$I$11)</f>
        <v>#VALUE!</v>
      </c>
      <c r="BC26" s="313">
        <f>COUNTIF(A26:AI26,"*$L*")</f>
        <v>0</v>
      </c>
      <c r="BD26" s="313" t="e">
        <f>BC26*('Setting key Duty'!$I$13+'Setting key Duty'!$I$9)</f>
        <v>#VALUE!</v>
      </c>
      <c r="BE26" s="313">
        <f>COUNTIF(A26:AI26,"*$M*")</f>
        <v>0</v>
      </c>
      <c r="BF26" s="313">
        <f>BE26*('Setting key Duty'!$I$8+'Setting key Duty'!$I$9+'Setting key Duty'!$I$12)</f>
        <v>0</v>
      </c>
      <c r="BG26" s="313">
        <f>COUNTIF(AI26,"*$N*")</f>
        <v>0</v>
      </c>
      <c r="BH26" s="313">
        <f>COUNTIF(AI26,"*$PM*")</f>
        <v>0</v>
      </c>
      <c r="BI26" s="313">
        <f>BH26*('Setting key Duty'!$I$9)</f>
        <v>0</v>
      </c>
      <c r="BJ26" s="313">
        <f>COUNTIF(A26:AI26,"*$AM*")</f>
        <v>0</v>
      </c>
      <c r="BK26" s="313">
        <f>BJ26*('Setting key Duty'!$I$12+'Setting key Duty'!$I$8)</f>
        <v>0</v>
      </c>
      <c r="BL26" s="313">
        <f>COUNTIF(D26:AI26,"*$FC*")</f>
        <v>0</v>
      </c>
      <c r="BM26" s="313">
        <f>BL26*('Setting key Duty'!$J$11+'Setting key Duty'!$I$8)</f>
        <v>0</v>
      </c>
      <c r="BN26" s="313">
        <f>COUNTIF($D26:$AA26,BN$4)</f>
        <v>0</v>
      </c>
      <c r="BO26" s="313">
        <f>COUNTIF($D26:$AA26,BO$4)</f>
        <v>0</v>
      </c>
      <c r="BP26" s="313">
        <f>COUNTIF($D26:$AA26,BP$4)</f>
        <v>4</v>
      </c>
      <c r="BQ26" s="314"/>
    </row>
    <row r="27" ht="19.5" customHeight="1" spans="1:69">
      <c r="A27" s="309"/>
      <c r="B27" s="332" t="s">
        <v>191</v>
      </c>
      <c r="C27" s="324"/>
      <c r="D27" s="106"/>
      <c r="E27" s="377" t="s">
        <v>93</v>
      </c>
      <c r="G27" s="377" t="s">
        <v>173</v>
      </c>
      <c r="H27" s="377" t="s">
        <v>173</v>
      </c>
      <c r="I27" s="382" t="s">
        <v>350</v>
      </c>
      <c r="J27" s="317" t="s">
        <v>65</v>
      </c>
      <c r="L27" s="197" t="s">
        <v>93</v>
      </c>
      <c r="M27" s="324"/>
      <c r="N27" s="197" t="s">
        <v>359</v>
      </c>
      <c r="O27" s="197" t="s">
        <v>55</v>
      </c>
      <c r="P27" s="197" t="s">
        <v>55</v>
      </c>
      <c r="Q27" s="317"/>
      <c r="S27" s="197" t="s">
        <v>93</v>
      </c>
      <c r="T27" s="197" t="s">
        <v>93</v>
      </c>
      <c r="V27" s="197" t="s">
        <v>349</v>
      </c>
      <c r="W27" s="197" t="s">
        <v>65</v>
      </c>
      <c r="Y27" s="384"/>
      <c r="Z27" s="197" t="s">
        <v>93</v>
      </c>
      <c r="AA27" s="331" t="s">
        <v>275</v>
      </c>
      <c r="AB27" s="331" t="s">
        <v>144</v>
      </c>
      <c r="AD27" s="317"/>
      <c r="AE27" s="382"/>
      <c r="AF27" s="382" t="s">
        <v>350</v>
      </c>
      <c r="AH27" s="197"/>
      <c r="AI27" s="311"/>
      <c r="AJ27" s="312"/>
      <c r="AK27" s="311"/>
      <c r="AL27" s="313"/>
      <c r="AM27" s="313"/>
      <c r="AN27" s="313"/>
      <c r="AO27" s="313"/>
      <c r="AP27" s="238"/>
      <c r="AQ27" s="313">
        <f t="shared" si="2"/>
        <v>0</v>
      </c>
      <c r="AR27" s="238"/>
      <c r="AS27" s="238">
        <f t="shared" si="3"/>
        <v>0</v>
      </c>
      <c r="AT27" s="238"/>
      <c r="AU27" s="238">
        <f t="shared" si="5"/>
        <v>0</v>
      </c>
      <c r="AV27" s="238">
        <f t="shared" si="6"/>
        <v>0</v>
      </c>
      <c r="AW27" s="238">
        <f t="shared" si="7"/>
        <v>3</v>
      </c>
      <c r="AX27" s="238" t="e">
        <f>AU27+AY27</f>
        <v>#VALUE!</v>
      </c>
      <c r="AY27" s="313" t="e">
        <f>(BJ27*('Setting key Duty'!$I$8+'Setting key Duty'!$I$12))+(BH27*'Setting key Duty'!$I$9)+(BC27*('Setting key Duty'!$I$13+'Setting key Duty'!$I$9))+(BA27*('Setting key Duty'!$I$13+'Setting key Duty'!$I$12+'Setting key Duty'!$I$11))+(BE27*('Setting key Duty'!$I$8+'Setting key Duty'!$I$9+'Setting key Duty'!$I$12))</f>
        <v>#VALUE!</v>
      </c>
      <c r="AZ27" s="313">
        <f>COUNTIF(C27:W27,"*BRT*")</f>
        <v>0</v>
      </c>
      <c r="BA27" s="313">
        <f t="shared" si="17"/>
        <v>0</v>
      </c>
      <c r="BB27" s="313" t="e">
        <f>BA27*('Setting key Duty'!$I$13+'Setting key Duty'!$I$12+'Setting key Duty'!$I$11)</f>
        <v>#VALUE!</v>
      </c>
      <c r="BC27" s="313">
        <f>COUNTIF(D27:AI27,"*$L*")</f>
        <v>0</v>
      </c>
      <c r="BD27" s="313" t="e">
        <f>BC27*('Setting key Duty'!$I$13+'Setting key Duty'!$I$9)</f>
        <v>#VALUE!</v>
      </c>
      <c r="BE27" s="313">
        <f>COUNTIF(D27:AI27,"*$M*")</f>
        <v>0</v>
      </c>
      <c r="BF27" s="313">
        <f>BE27*('Setting key Duty'!$I$8+'Setting key Duty'!$I$9+'Setting key Duty'!$I$12)</f>
        <v>0</v>
      </c>
      <c r="BG27" s="313">
        <f>COUNTIF(D27:AI27,"*$N*")</f>
        <v>0</v>
      </c>
      <c r="BH27" s="313">
        <f>COUNTIF(D27:AI27,"*$PM*")</f>
        <v>0</v>
      </c>
      <c r="BI27" s="313">
        <f>BH27*('Setting key Duty'!$I$9)</f>
        <v>0</v>
      </c>
      <c r="BJ27" s="313">
        <f>COUNTIF(D27:AI27,"*$AM*")</f>
        <v>3</v>
      </c>
      <c r="BK27" s="313">
        <f>BJ27*('Setting key Duty'!$I$12+'Setting key Duty'!$I$8)</f>
        <v>1.3125</v>
      </c>
      <c r="BL27" s="313">
        <f>COUNTIF(C27:AI27,"*$FC*")</f>
        <v>0</v>
      </c>
      <c r="BM27" s="313">
        <f>BL27*('Setting key Duty'!$J$11+'Setting key Duty'!$I$8)</f>
        <v>0</v>
      </c>
      <c r="BN27" s="313">
        <f>COUNTIF($C27:$AG27,BN$4)</f>
        <v>0</v>
      </c>
      <c r="BO27" s="313">
        <f>COUNTIF($C27:$AG27,BO$4)</f>
        <v>2</v>
      </c>
      <c r="BP27" s="313">
        <f>COUNTIF($D27:$AD27,BP$4)</f>
        <v>2</v>
      </c>
      <c r="BQ27" s="314"/>
    </row>
    <row r="28" ht="19.5" customHeight="1" spans="1:69">
      <c r="A28" s="309"/>
      <c r="B28" s="315" t="s">
        <v>192</v>
      </c>
      <c r="C28" s="317"/>
      <c r="D28" s="317"/>
      <c r="F28" s="197" t="s">
        <v>294</v>
      </c>
      <c r="G28" s="377" t="s">
        <v>173</v>
      </c>
      <c r="H28" s="377" t="s">
        <v>173</v>
      </c>
      <c r="I28" s="197" t="s">
        <v>93</v>
      </c>
      <c r="J28" s="317"/>
      <c r="L28" s="324"/>
      <c r="N28" s="331" t="s">
        <v>104</v>
      </c>
      <c r="O28" s="197"/>
      <c r="P28" s="197" t="s">
        <v>93</v>
      </c>
      <c r="R28" s="317"/>
      <c r="S28" s="197" t="s">
        <v>55</v>
      </c>
      <c r="T28" s="197" t="s">
        <v>55</v>
      </c>
      <c r="U28" s="197" t="s">
        <v>69</v>
      </c>
      <c r="V28" s="317"/>
      <c r="W28" s="317" t="s">
        <v>349</v>
      </c>
      <c r="X28" s="317"/>
      <c r="Y28" s="317"/>
      <c r="Z28" s="317"/>
      <c r="AB28" s="197" t="s">
        <v>360</v>
      </c>
      <c r="AC28" s="197" t="s">
        <v>55</v>
      </c>
      <c r="AD28" s="197" t="s">
        <v>361</v>
      </c>
      <c r="AF28" s="350" t="s">
        <v>65</v>
      </c>
      <c r="AH28" s="317"/>
      <c r="AI28" s="311"/>
      <c r="AJ28" s="312"/>
      <c r="AK28" s="311"/>
      <c r="AL28" s="344"/>
      <c r="AM28" s="344"/>
      <c r="AN28" s="344"/>
      <c r="AO28" s="344"/>
      <c r="AP28" s="246"/>
      <c r="AQ28" s="313">
        <f t="shared" si="2"/>
        <v>0</v>
      </c>
      <c r="AR28" s="238"/>
      <c r="AS28" s="238">
        <f t="shared" si="3"/>
        <v>0</v>
      </c>
      <c r="AT28" s="246"/>
      <c r="AU28" s="238">
        <f t="shared" si="5"/>
        <v>0</v>
      </c>
      <c r="AV28" s="238">
        <f t="shared" si="6"/>
        <v>0</v>
      </c>
      <c r="AW28" s="238">
        <f t="shared" si="7"/>
        <v>4</v>
      </c>
      <c r="AX28" s="238" t="e">
        <f>AU28+AY28</f>
        <v>#VALUE!</v>
      </c>
      <c r="AY28" s="313" t="e">
        <f>(BJ28*('Setting key Duty'!$I$8+'Setting key Duty'!$I$12))+(BH28*'Setting key Duty'!$I$9)+(BC28*('Setting key Duty'!$I$13+'Setting key Duty'!$I$9))+(BA28*('Setting key Duty'!$I$13+'Setting key Duty'!$I$12+'Setting key Duty'!$I$11))+(BE28*('Setting key Duty'!$I$8+'Setting key Duty'!$I$9+'Setting key Duty'!$I$12))</f>
        <v>#VALUE!</v>
      </c>
      <c r="AZ28" s="313">
        <f>COUNTIF(C28:T28,"*BRT*")</f>
        <v>0</v>
      </c>
      <c r="BA28" s="313">
        <f t="shared" si="17"/>
        <v>1</v>
      </c>
      <c r="BB28" s="313" t="e">
        <f>BA28*('Setting key Duty'!$I$13+'Setting key Duty'!$I$12+'Setting key Duty'!$I$11)</f>
        <v>#VALUE!</v>
      </c>
      <c r="BC28" s="313">
        <f>COUNTIF(D28:AI28,"*$L*")</f>
        <v>0</v>
      </c>
      <c r="BD28" s="313" t="e">
        <f>BC28*('Setting key Duty'!$I$13+'Setting key Duty'!$I$9)</f>
        <v>#VALUE!</v>
      </c>
      <c r="BE28" s="313">
        <f>COUNTIF(D28:AI28,"*$M*")</f>
        <v>1</v>
      </c>
      <c r="BF28" s="313">
        <f>BE28*('Setting key Duty'!$I$8+'Setting key Duty'!$I$9+'Setting key Duty'!$I$12)</f>
        <v>0.5625</v>
      </c>
      <c r="BG28" s="313">
        <f>COUNTIF(D28:AI28,"*$N*")</f>
        <v>0</v>
      </c>
      <c r="BH28" s="313">
        <f>COUNTIF(D28:AI28,"*$PM*")</f>
        <v>0</v>
      </c>
      <c r="BI28" s="313">
        <f>BH28*('Setting key Duty'!$I$9)</f>
        <v>0</v>
      </c>
      <c r="BJ28" s="313">
        <f>COUNTIF(D28:AI28,"*$AM*")</f>
        <v>2</v>
      </c>
      <c r="BK28" s="313">
        <f>BJ28*('Setting key Duty'!$I$12+'Setting key Duty'!$I$8)</f>
        <v>0.875</v>
      </c>
      <c r="BL28" s="313">
        <f>COUNTIF(C28:AI28,"*$FC*")</f>
        <v>0</v>
      </c>
      <c r="BM28" s="313">
        <f>BL28*('Setting key Duty'!$J$11+'Setting key Duty'!$I$8)</f>
        <v>0</v>
      </c>
      <c r="BN28" s="313">
        <f>COUNTIF($C28:$AF28,BN$4)</f>
        <v>0</v>
      </c>
      <c r="BO28" s="313">
        <f>COUNTIF($C28:$AF28,BO$4)</f>
        <v>0</v>
      </c>
      <c r="BP28" s="313">
        <f>COUNTIF($D28:$AE28,BP$4)</f>
        <v>3</v>
      </c>
      <c r="BQ28" s="345"/>
    </row>
    <row r="29" ht="19.5" customHeight="1" spans="1:69">
      <c r="A29" s="309"/>
      <c r="B29" s="315" t="s">
        <v>193</v>
      </c>
      <c r="C29" s="349"/>
      <c r="D29" s="324"/>
      <c r="E29" s="317"/>
      <c r="F29" s="331" t="s">
        <v>144</v>
      </c>
      <c r="H29" s="377" t="s">
        <v>93</v>
      </c>
      <c r="I29" s="317"/>
      <c r="J29" s="317"/>
      <c r="K29" s="382" t="s">
        <v>350</v>
      </c>
      <c r="L29" s="324"/>
      <c r="M29" s="197" t="s">
        <v>93</v>
      </c>
      <c r="N29" s="197"/>
      <c r="O29" s="197" t="s">
        <v>93</v>
      </c>
      <c r="P29" s="197" t="s">
        <v>54</v>
      </c>
      <c r="Q29" s="197" t="s">
        <v>54</v>
      </c>
      <c r="R29" s="197" t="s">
        <v>54</v>
      </c>
      <c r="S29" s="197" t="s">
        <v>54</v>
      </c>
      <c r="T29" s="197" t="s">
        <v>54</v>
      </c>
      <c r="V29" s="197" t="s">
        <v>93</v>
      </c>
      <c r="W29" s="197" t="s">
        <v>93</v>
      </c>
      <c r="X29" s="349"/>
      <c r="Y29" s="197" t="s">
        <v>65</v>
      </c>
      <c r="Z29" s="197"/>
      <c r="AA29" s="197" t="s">
        <v>93</v>
      </c>
      <c r="AB29" s="197" t="s">
        <v>93</v>
      </c>
      <c r="AC29" s="317"/>
      <c r="AD29" s="197" t="s">
        <v>93</v>
      </c>
      <c r="AE29" s="382" t="s">
        <v>350</v>
      </c>
      <c r="AF29" s="197"/>
      <c r="AG29" s="350"/>
      <c r="AH29" s="317"/>
      <c r="AI29" s="311"/>
      <c r="AJ29" s="312"/>
      <c r="AK29" s="311"/>
      <c r="AL29" s="344"/>
      <c r="AM29" s="344"/>
      <c r="AN29" s="344"/>
      <c r="AO29" s="344"/>
      <c r="AP29" s="246"/>
      <c r="AQ29" s="313">
        <f t="shared" si="2"/>
        <v>0</v>
      </c>
      <c r="AR29" s="238"/>
      <c r="AS29" s="238">
        <f t="shared" si="3"/>
        <v>0</v>
      </c>
      <c r="AT29" s="246"/>
      <c r="AU29" s="238">
        <f t="shared" si="5"/>
        <v>0</v>
      </c>
      <c r="AV29" s="238">
        <f t="shared" si="6"/>
        <v>0</v>
      </c>
      <c r="AW29" s="238">
        <f t="shared" si="7"/>
        <v>1</v>
      </c>
      <c r="AX29" s="238" t="e">
        <f>AU29+AY29</f>
        <v>#VALUE!</v>
      </c>
      <c r="AY29" s="313" t="e">
        <f>(BJ29*('Setting key Duty'!$I$8+'Setting key Duty'!$I$12))+(BH29*'Setting key Duty'!$I$9)+(BC29*('Setting key Duty'!$I$13+'Setting key Duty'!$I$9))+(BA29*('Setting key Duty'!$I$13+'Setting key Duty'!$I$12+'Setting key Duty'!$I$11))+(BE29*('Setting key Duty'!$I$8+'Setting key Duty'!$I$9+'Setting key Duty'!$I$12))</f>
        <v>#VALUE!</v>
      </c>
      <c r="AZ29" s="313">
        <f>COUNTIF(C29:Y29,"*BRT*")</f>
        <v>0</v>
      </c>
      <c r="BA29" s="313">
        <f t="shared" si="17"/>
        <v>0</v>
      </c>
      <c r="BB29" s="313" t="e">
        <f>BA29*('Setting key Duty'!$I$13+'Setting key Duty'!$I$12+'Setting key Duty'!$I$11)</f>
        <v>#VALUE!</v>
      </c>
      <c r="BC29" s="313">
        <f>COUNTIF(D29:AI29,"*$L*")</f>
        <v>0</v>
      </c>
      <c r="BD29" s="313" t="e">
        <f>BC29*('Setting key Duty'!$I$13+'Setting key Duty'!$I$9)</f>
        <v>#VALUE!</v>
      </c>
      <c r="BE29" s="313">
        <f>COUNTIF(D29:AI29,"*$M*")</f>
        <v>0</v>
      </c>
      <c r="BF29" s="313">
        <f>BE29*('Setting key Duty'!$I$8+'Setting key Duty'!$I$9+'Setting key Duty'!$I$12)</f>
        <v>0</v>
      </c>
      <c r="BG29" s="313">
        <f>COUNTIF(D29:AI29,"*$N*")</f>
        <v>0</v>
      </c>
      <c r="BH29" s="313">
        <f>COUNTIF(D29:AI29,"*$PM*")</f>
        <v>0</v>
      </c>
      <c r="BI29" s="313">
        <f>BH29*('Setting key Duty'!$I$9)</f>
        <v>0</v>
      </c>
      <c r="BJ29" s="313">
        <f>COUNTIF(D29:AI29,"*$AM*")</f>
        <v>1</v>
      </c>
      <c r="BK29" s="313">
        <f>BJ29*('Setting key Duty'!$I$12+'Setting key Duty'!$I$8)</f>
        <v>0.4375</v>
      </c>
      <c r="BL29" s="313">
        <f>COUNTIF(C29:AI29,"*$FC*")</f>
        <v>0</v>
      </c>
      <c r="BM29" s="313">
        <f>BL29*('Setting key Duty'!$J$11+'Setting key Duty'!$I$8)</f>
        <v>0</v>
      </c>
      <c r="BN29" s="313">
        <f>COUNTIF($C29:$AG29,BN$4)</f>
        <v>0</v>
      </c>
      <c r="BO29" s="313">
        <f>COUNTIF($C29:$AG29,BO$4)</f>
        <v>2</v>
      </c>
      <c r="BP29" s="313">
        <f>COUNTIF($D29:$AE29,BP$4)</f>
        <v>0</v>
      </c>
      <c r="BQ29" s="345"/>
    </row>
    <row r="30" ht="19.5" customHeight="1" spans="1:69">
      <c r="A30" s="309"/>
      <c r="B30" s="315" t="s">
        <v>262</v>
      </c>
      <c r="C30" s="197" t="s">
        <v>65</v>
      </c>
      <c r="D30" s="317"/>
      <c r="E30" s="317" t="s">
        <v>65</v>
      </c>
      <c r="F30" s="324" t="s">
        <v>93</v>
      </c>
      <c r="G30" s="377" t="s">
        <v>93</v>
      </c>
      <c r="H30" s="106"/>
      <c r="I30" s="317" t="s">
        <v>65</v>
      </c>
      <c r="J30" s="317"/>
      <c r="K30" s="324"/>
      <c r="L30" s="317" t="s">
        <v>65</v>
      </c>
      <c r="N30" s="197" t="s">
        <v>93</v>
      </c>
      <c r="P30" s="317" t="s">
        <v>65</v>
      </c>
      <c r="Q30" s="317"/>
      <c r="R30" s="197" t="s">
        <v>65</v>
      </c>
      <c r="S30" s="317"/>
      <c r="T30" s="317" t="s">
        <v>65</v>
      </c>
      <c r="V30" s="317" t="s">
        <v>65</v>
      </c>
      <c r="X30" s="317" t="s">
        <v>65</v>
      </c>
      <c r="Y30" s="317"/>
      <c r="Z30" s="197" t="s">
        <v>362</v>
      </c>
      <c r="AA30" s="197" t="s">
        <v>363</v>
      </c>
      <c r="AB30" s="317" t="s">
        <v>71</v>
      </c>
      <c r="AC30" s="317" t="s">
        <v>71</v>
      </c>
      <c r="AD30" s="317" t="s">
        <v>71</v>
      </c>
      <c r="AE30" s="317" t="s">
        <v>71</v>
      </c>
      <c r="AF30" s="317" t="s">
        <v>71</v>
      </c>
      <c r="AG30" s="317" t="s">
        <v>71</v>
      </c>
      <c r="AH30" s="317"/>
      <c r="AI30" s="311"/>
      <c r="AJ30" s="312"/>
      <c r="AK30" s="311"/>
      <c r="AL30" s="344"/>
      <c r="AM30" s="344"/>
      <c r="AN30" s="344"/>
      <c r="AO30" s="344"/>
      <c r="AP30" s="246"/>
      <c r="AQ30" s="313">
        <f t="shared" si="2"/>
        <v>0</v>
      </c>
      <c r="AR30" s="238"/>
      <c r="AS30" s="238">
        <f t="shared" si="3"/>
        <v>0</v>
      </c>
      <c r="AT30" s="246"/>
      <c r="AU30" s="238">
        <f t="shared" si="5"/>
        <v>0</v>
      </c>
      <c r="AV30" s="238">
        <f t="shared" si="6"/>
        <v>0</v>
      </c>
      <c r="AW30" s="238">
        <f t="shared" si="7"/>
        <v>0</v>
      </c>
      <c r="AX30" s="238" t="e">
        <f>AU30+AY30</f>
        <v>#VALUE!</v>
      </c>
      <c r="AY30" s="313" t="e">
        <f>(BJ30*('Setting key Duty'!$I$8+'Setting key Duty'!$I$12))+(BH30*'Setting key Duty'!$I$9)+(BC30*('Setting key Duty'!$I$13+'Setting key Duty'!$I$9))+(BA30*('Setting key Duty'!$I$13+'Setting key Duty'!$I$12+'Setting key Duty'!$I$11))+(BE30*('Setting key Duty'!$I$8+'Setting key Duty'!$I$9+'Setting key Duty'!$I$12))</f>
        <v>#VALUE!</v>
      </c>
      <c r="AZ30" s="313">
        <f>COUNTIF(C30:Y30,"*BRT*")</f>
        <v>0</v>
      </c>
      <c r="BA30" s="313">
        <f t="shared" si="17"/>
        <v>0</v>
      </c>
      <c r="BB30" s="313" t="e">
        <f>BA30*('Setting key Duty'!$I$13+'Setting key Duty'!$I$12+'Setting key Duty'!$I$11)</f>
        <v>#VALUE!</v>
      </c>
      <c r="BC30" s="313">
        <f>COUNTIF(D30:AI30,"*$L*")</f>
        <v>0</v>
      </c>
      <c r="BD30" s="313" t="e">
        <f>BC30*('Setting key Duty'!$I$13+'Setting key Duty'!$I$9)</f>
        <v>#VALUE!</v>
      </c>
      <c r="BE30" s="313">
        <f>COUNTIF(D30:AI30,"*$M*")</f>
        <v>0</v>
      </c>
      <c r="BF30" s="313">
        <f>BE30*('Setting key Duty'!$I$8+'Setting key Duty'!$I$9+'Setting key Duty'!$I$12)</f>
        <v>0</v>
      </c>
      <c r="BG30" s="313">
        <f>COUNTIF(D30:AI30,"*$N*")</f>
        <v>0</v>
      </c>
      <c r="BH30" s="313">
        <f>COUNTIF(D30:AI30,"*$PM*")</f>
        <v>0</v>
      </c>
      <c r="BI30" s="313">
        <f>BH30*('Setting key Duty'!$I$9)</f>
        <v>0</v>
      </c>
      <c r="BJ30" s="313">
        <f>COUNTIF(D30:AI30,"*$AM*")</f>
        <v>0</v>
      </c>
      <c r="BK30" s="313">
        <f>BJ30*('Setting key Duty'!$I$12+'Setting key Duty'!$I$8)</f>
        <v>0</v>
      </c>
      <c r="BL30" s="313">
        <f>COUNTIF(C30:AI30,"*$FC*")</f>
        <v>0</v>
      </c>
      <c r="BM30" s="313">
        <f>BL30*('Setting key Duty'!$J$11+'Setting key Duty'!$I$8)</f>
        <v>0</v>
      </c>
      <c r="BN30" s="313">
        <f>COUNTIF($C30:$AG30,BN$4)</f>
        <v>0</v>
      </c>
      <c r="BO30" s="313">
        <f>COUNTIF($C30:$AG30,BO$4)</f>
        <v>0</v>
      </c>
      <c r="BP30" s="313">
        <f>COUNTIF($D30:$AE30,BP$4)</f>
        <v>0</v>
      </c>
      <c r="BQ30" s="345"/>
    </row>
    <row r="31" ht="19.5" customHeight="1" spans="1:69">
      <c r="A31" s="309"/>
      <c r="B31" s="315" t="s">
        <v>195</v>
      </c>
      <c r="D31" s="317"/>
      <c r="G31" s="377" t="s">
        <v>173</v>
      </c>
      <c r="H31" s="377" t="s">
        <v>173</v>
      </c>
      <c r="I31" s="197"/>
      <c r="K31" s="317"/>
      <c r="L31" s="317"/>
      <c r="M31" s="331" t="s">
        <v>364</v>
      </c>
      <c r="N31" s="331" t="s">
        <v>364</v>
      </c>
      <c r="O31" s="106"/>
      <c r="P31" s="197"/>
      <c r="Q31" s="197" t="s">
        <v>65</v>
      </c>
      <c r="S31" s="197" t="s">
        <v>65</v>
      </c>
      <c r="U31" s="197" t="s">
        <v>93</v>
      </c>
      <c r="V31" s="197" t="s">
        <v>349</v>
      </c>
      <c r="W31" s="331" t="s">
        <v>354</v>
      </c>
      <c r="X31" s="321"/>
      <c r="Z31" s="197" t="s">
        <v>55</v>
      </c>
      <c r="AA31" s="197" t="s">
        <v>55</v>
      </c>
      <c r="AB31" s="197" t="s">
        <v>55</v>
      </c>
      <c r="AC31" s="197" t="s">
        <v>93</v>
      </c>
      <c r="AD31" s="197"/>
      <c r="AE31" s="317" t="s">
        <v>65</v>
      </c>
      <c r="AF31" s="197"/>
      <c r="AG31" s="378"/>
      <c r="AH31" s="106"/>
      <c r="AI31" s="311"/>
      <c r="AJ31" s="312"/>
      <c r="AK31" s="311"/>
      <c r="AL31" s="344"/>
      <c r="AM31" s="344"/>
      <c r="AN31" s="344"/>
      <c r="AO31" s="344"/>
      <c r="AP31" s="246"/>
      <c r="AQ31" s="313">
        <f t="shared" si="2"/>
        <v>0</v>
      </c>
      <c r="AR31" s="238"/>
      <c r="AS31" s="238">
        <f t="shared" si="3"/>
        <v>0</v>
      </c>
      <c r="AT31" s="246"/>
      <c r="AU31" s="238">
        <f t="shared" si="5"/>
        <v>0</v>
      </c>
      <c r="AV31" s="238">
        <f t="shared" si="6"/>
        <v>0</v>
      </c>
      <c r="AW31" s="238">
        <f t="shared" si="7"/>
        <v>3</v>
      </c>
      <c r="AX31" s="238" t="e">
        <f>AU31+AY31</f>
        <v>#VALUE!</v>
      </c>
      <c r="AY31" s="313" t="e">
        <f>(BJ31*('Setting key Duty'!$I$8+'Setting key Duty'!$I$12))+(BH31*'Setting key Duty'!$I$9)+(BC31*('Setting key Duty'!$I$13+'Setting key Duty'!$I$9))+(BA31*('Setting key Duty'!$I$13+'Setting key Duty'!$I$12+'Setting key Duty'!$I$11))+(BE31*('Setting key Duty'!$I$8+'Setting key Duty'!$I$9+'Setting key Duty'!$I$12))</f>
        <v>#VALUE!</v>
      </c>
      <c r="AZ31" s="313">
        <f>COUNTIF(C31:Y31,"*BRT*")</f>
        <v>0</v>
      </c>
      <c r="BA31" s="313">
        <f t="shared" si="17"/>
        <v>0</v>
      </c>
      <c r="BB31" s="313" t="e">
        <f>BA31*('Setting key Duty'!$I$13+'Setting key Duty'!$I$12+'Setting key Duty'!$I$11)</f>
        <v>#VALUE!</v>
      </c>
      <c r="BC31" s="313">
        <f>COUNTIF(D31:AI31,"*$L*")</f>
        <v>0</v>
      </c>
      <c r="BD31" s="313" t="e">
        <f>BC31*('Setting key Duty'!$I$13+'Setting key Duty'!$I$9)</f>
        <v>#VALUE!</v>
      </c>
      <c r="BE31" s="313">
        <f>COUNTIF(D31:AI31,"*$M*")</f>
        <v>0</v>
      </c>
      <c r="BF31" s="313">
        <f>BE31*('Setting key Duty'!$I$8+'Setting key Duty'!$I$9+'Setting key Duty'!$I$12)</f>
        <v>0</v>
      </c>
      <c r="BG31" s="313">
        <f>COUNTIF(D31:AI31,"*$N*")</f>
        <v>0</v>
      </c>
      <c r="BH31" s="313">
        <f>COUNTIF(D31:AI31,"*$PM*")</f>
        <v>0</v>
      </c>
      <c r="BI31" s="313">
        <f>BH31*('Setting key Duty'!$I$9)</f>
        <v>0</v>
      </c>
      <c r="BJ31" s="313">
        <f>COUNTIF(D31:AI31,"*$AM*")</f>
        <v>1</v>
      </c>
      <c r="BK31" s="313">
        <f>BJ31*('Setting key Duty'!$I$12+'Setting key Duty'!$I$8)</f>
        <v>0.4375</v>
      </c>
      <c r="BL31" s="313">
        <f>COUNTIF(C31:AI31,"*$FC*")</f>
        <v>2</v>
      </c>
      <c r="BM31" s="313">
        <f>BL31*('Setting key Duty'!$J$11+'Setting key Duty'!$I$8)</f>
        <v>0.25</v>
      </c>
      <c r="BN31" s="313">
        <f>COUNTIF($C31:$AG31,BN$4)</f>
        <v>0</v>
      </c>
      <c r="BO31" s="313">
        <f>COUNTIF($C31:$AG31,BO$4)</f>
        <v>0</v>
      </c>
      <c r="BP31" s="313">
        <f>COUNTIF($D31:$AE31,BP$4)</f>
        <v>3</v>
      </c>
      <c r="BQ31" s="345"/>
    </row>
    <row r="32" ht="19.5" customHeight="1" spans="1:69">
      <c r="A32" s="309"/>
      <c r="B32" s="315" t="s">
        <v>365</v>
      </c>
      <c r="C32" s="317"/>
      <c r="D32" s="317"/>
      <c r="E32" s="106"/>
      <c r="F32" s="106"/>
      <c r="G32" s="106"/>
      <c r="H32" s="106"/>
      <c r="I32" s="106"/>
      <c r="J32" s="317"/>
      <c r="K32" s="324"/>
      <c r="L32" s="324"/>
      <c r="M32" s="155"/>
      <c r="N32" s="324"/>
      <c r="O32" s="324"/>
      <c r="P32" s="317"/>
      <c r="Q32" s="106"/>
      <c r="R32" s="106"/>
      <c r="S32" s="197" t="s">
        <v>190</v>
      </c>
      <c r="T32" s="197" t="s">
        <v>190</v>
      </c>
      <c r="U32" s="197" t="s">
        <v>190</v>
      </c>
      <c r="V32" s="197" t="s">
        <v>190</v>
      </c>
      <c r="W32" s="197" t="s">
        <v>190</v>
      </c>
      <c r="X32" s="317"/>
      <c r="Y32" s="106"/>
      <c r="Z32" s="197">
        <v>1</v>
      </c>
      <c r="AA32" s="197"/>
      <c r="AB32" s="197">
        <v>2</v>
      </c>
      <c r="AC32" s="106"/>
      <c r="AD32" s="317">
        <v>3</v>
      </c>
      <c r="AE32" s="317"/>
      <c r="AF32" s="317"/>
      <c r="AG32" s="350"/>
      <c r="AH32" s="317"/>
      <c r="AI32" s="311"/>
      <c r="AJ32" s="312"/>
      <c r="AK32" s="311"/>
      <c r="AL32" s="344"/>
      <c r="AM32" s="344"/>
      <c r="AN32" s="344"/>
      <c r="AO32" s="344"/>
      <c r="AP32" s="246"/>
      <c r="AQ32" s="313"/>
      <c r="AR32" s="246"/>
      <c r="AS32" s="238"/>
      <c r="AT32" s="246"/>
      <c r="AU32" s="238"/>
      <c r="AV32" s="238"/>
      <c r="AW32" s="238"/>
      <c r="AX32" s="238"/>
      <c r="AY32" s="313"/>
      <c r="AZ32" s="313"/>
      <c r="BA32" s="313"/>
      <c r="BB32" s="313"/>
      <c r="BC32" s="313"/>
      <c r="BD32" s="313"/>
      <c r="BE32" s="313"/>
      <c r="BF32" s="313"/>
      <c r="BG32" s="313"/>
      <c r="BH32" s="313"/>
      <c r="BI32" s="313"/>
      <c r="BJ32" s="313"/>
      <c r="BK32" s="313"/>
      <c r="BL32" s="313"/>
      <c r="BM32" s="313"/>
      <c r="BN32" s="313"/>
      <c r="BO32" s="313"/>
      <c r="BP32" s="313"/>
      <c r="BQ32" s="345"/>
    </row>
    <row r="33" ht="19.5" customHeight="1" spans="1:69">
      <c r="A33" s="309"/>
      <c r="B33" s="347" t="s">
        <v>366</v>
      </c>
      <c r="C33" s="317"/>
      <c r="D33" s="317"/>
      <c r="E33" s="106"/>
      <c r="F33" s="106"/>
      <c r="G33" s="106"/>
      <c r="H33" s="106"/>
      <c r="I33" s="106"/>
      <c r="J33" s="317"/>
      <c r="K33" s="324"/>
      <c r="L33" s="324"/>
      <c r="M33" s="155"/>
      <c r="N33" s="324"/>
      <c r="O33" s="324"/>
      <c r="P33" s="317"/>
      <c r="Q33" s="106"/>
      <c r="R33" s="106"/>
      <c r="S33" s="197" t="s">
        <v>190</v>
      </c>
      <c r="T33" s="197" t="s">
        <v>190</v>
      </c>
      <c r="U33" s="197" t="s">
        <v>190</v>
      </c>
      <c r="V33" s="197" t="s">
        <v>190</v>
      </c>
      <c r="W33" s="197" t="s">
        <v>190</v>
      </c>
      <c r="X33" s="317"/>
      <c r="Y33" s="106"/>
      <c r="Z33" s="106"/>
      <c r="AA33" s="106"/>
      <c r="AB33" s="106"/>
      <c r="AC33" s="106"/>
      <c r="AD33" s="317"/>
      <c r="AE33" s="317"/>
      <c r="AF33" s="317"/>
      <c r="AG33" s="350"/>
      <c r="AH33" s="317"/>
      <c r="AI33" s="311"/>
      <c r="AJ33" s="312"/>
      <c r="AK33" s="311"/>
      <c r="AL33" s="344"/>
      <c r="AM33" s="344"/>
      <c r="AN33" s="344"/>
      <c r="AO33" s="344"/>
      <c r="AP33" s="246"/>
      <c r="AQ33" s="313"/>
      <c r="AR33" s="246"/>
      <c r="AS33" s="238"/>
      <c r="AT33" s="246"/>
      <c r="AU33" s="238"/>
      <c r="AV33" s="238"/>
      <c r="AW33" s="238"/>
      <c r="AX33" s="238"/>
      <c r="AY33" s="313"/>
      <c r="AZ33" s="313"/>
      <c r="BA33" s="313"/>
      <c r="BB33" s="313"/>
      <c r="BC33" s="313"/>
      <c r="BD33" s="313"/>
      <c r="BE33" s="313"/>
      <c r="BF33" s="313"/>
      <c r="BG33" s="313"/>
      <c r="BH33" s="313"/>
      <c r="BI33" s="313"/>
      <c r="BJ33" s="313"/>
      <c r="BK33" s="313"/>
      <c r="BL33" s="313"/>
      <c r="BM33" s="313"/>
      <c r="BN33" s="313"/>
      <c r="BO33" s="313"/>
      <c r="BP33" s="313"/>
      <c r="BQ33" s="345"/>
    </row>
    <row r="34" ht="19.5" customHeight="1" spans="1:69">
      <c r="A34" s="309"/>
      <c r="B34" s="347" t="s">
        <v>367</v>
      </c>
      <c r="C34" s="317"/>
      <c r="D34" s="317"/>
      <c r="E34" s="106"/>
      <c r="F34" s="106"/>
      <c r="G34" s="106"/>
      <c r="H34" s="106"/>
      <c r="I34" s="106"/>
      <c r="J34" s="317"/>
      <c r="K34" s="324"/>
      <c r="L34" s="324"/>
      <c r="M34" s="155"/>
      <c r="N34" s="324"/>
      <c r="O34" s="324"/>
      <c r="P34" s="317"/>
      <c r="Q34" s="106"/>
      <c r="R34" s="106"/>
      <c r="S34" s="197" t="s">
        <v>190</v>
      </c>
      <c r="T34" s="197" t="s">
        <v>190</v>
      </c>
      <c r="U34" s="197" t="s">
        <v>190</v>
      </c>
      <c r="V34" s="197" t="s">
        <v>190</v>
      </c>
      <c r="W34" s="197" t="s">
        <v>190</v>
      </c>
      <c r="X34" s="317"/>
      <c r="Y34" s="106"/>
      <c r="Z34" s="197">
        <v>1</v>
      </c>
      <c r="AA34" s="197"/>
      <c r="AB34" s="197">
        <v>2</v>
      </c>
      <c r="AC34" s="106"/>
      <c r="AD34" s="317">
        <v>3</v>
      </c>
      <c r="AE34" s="317"/>
      <c r="AF34" s="317"/>
      <c r="AG34" s="350"/>
      <c r="AH34" s="317"/>
      <c r="AI34" s="311"/>
      <c r="AJ34" s="312"/>
      <c r="AK34" s="311"/>
      <c r="AL34" s="344"/>
      <c r="AM34" s="344"/>
      <c r="AN34" s="344"/>
      <c r="AO34" s="344"/>
      <c r="AP34" s="246"/>
      <c r="AQ34" s="313"/>
      <c r="AR34" s="246"/>
      <c r="AS34" s="238"/>
      <c r="AT34" s="246"/>
      <c r="AU34" s="238"/>
      <c r="AV34" s="238"/>
      <c r="AW34" s="238"/>
      <c r="AX34" s="238"/>
      <c r="AY34" s="313"/>
      <c r="AZ34" s="313"/>
      <c r="BA34" s="313"/>
      <c r="BB34" s="313"/>
      <c r="BC34" s="313"/>
      <c r="BD34" s="313"/>
      <c r="BE34" s="313"/>
      <c r="BF34" s="313"/>
      <c r="BG34" s="313"/>
      <c r="BH34" s="313"/>
      <c r="BI34" s="313"/>
      <c r="BJ34" s="313"/>
      <c r="BK34" s="313"/>
      <c r="BL34" s="313"/>
      <c r="BM34" s="313"/>
      <c r="BN34" s="313"/>
      <c r="BO34" s="313"/>
      <c r="BP34" s="313"/>
      <c r="BQ34" s="345"/>
    </row>
    <row r="35" ht="19.5" customHeight="1" spans="1:69">
      <c r="A35" s="309"/>
      <c r="B35" s="347" t="s">
        <v>368</v>
      </c>
      <c r="C35" s="317"/>
      <c r="D35" s="317"/>
      <c r="E35" s="106"/>
      <c r="F35" s="106"/>
      <c r="G35" s="106"/>
      <c r="H35" s="106"/>
      <c r="I35" s="106"/>
      <c r="J35" s="317"/>
      <c r="K35" s="324"/>
      <c r="L35" s="324"/>
      <c r="M35" s="155"/>
      <c r="N35" s="324"/>
      <c r="O35" s="324"/>
      <c r="P35" s="317"/>
      <c r="Q35" s="106"/>
      <c r="R35" s="106"/>
      <c r="S35" s="197" t="s">
        <v>190</v>
      </c>
      <c r="T35" s="197" t="s">
        <v>190</v>
      </c>
      <c r="U35" s="197" t="s">
        <v>190</v>
      </c>
      <c r="V35" s="197" t="s">
        <v>190</v>
      </c>
      <c r="W35" s="197" t="s">
        <v>190</v>
      </c>
      <c r="X35" s="317"/>
      <c r="Y35" s="106"/>
      <c r="Z35" s="197">
        <v>1</v>
      </c>
      <c r="AA35" s="197"/>
      <c r="AB35" s="197">
        <v>2</v>
      </c>
      <c r="AC35" s="106"/>
      <c r="AD35" s="317">
        <v>3</v>
      </c>
      <c r="AE35" s="317"/>
      <c r="AF35" s="317"/>
      <c r="AG35" s="350"/>
      <c r="AH35" s="317"/>
      <c r="AI35" s="311"/>
      <c r="AJ35" s="312"/>
      <c r="AK35" s="311"/>
      <c r="AL35" s="344"/>
      <c r="AM35" s="344"/>
      <c r="AN35" s="344"/>
      <c r="AO35" s="344"/>
      <c r="AP35" s="246"/>
      <c r="AQ35" s="313"/>
      <c r="AR35" s="246"/>
      <c r="AS35" s="238"/>
      <c r="AT35" s="246"/>
      <c r="AU35" s="238"/>
      <c r="AV35" s="238"/>
      <c r="AW35" s="238"/>
      <c r="AX35" s="238"/>
      <c r="AY35" s="313"/>
      <c r="AZ35" s="313"/>
      <c r="BA35" s="313"/>
      <c r="BB35" s="313"/>
      <c r="BC35" s="313"/>
      <c r="BD35" s="313"/>
      <c r="BE35" s="313"/>
      <c r="BF35" s="313"/>
      <c r="BG35" s="313"/>
      <c r="BH35" s="313"/>
      <c r="BI35" s="313"/>
      <c r="BJ35" s="313"/>
      <c r="BK35" s="313"/>
      <c r="BL35" s="313"/>
      <c r="BM35" s="313"/>
      <c r="BN35" s="313"/>
      <c r="BO35" s="313"/>
      <c r="BP35" s="313"/>
      <c r="BQ35" s="345"/>
    </row>
    <row r="36" ht="19.5" customHeight="1" spans="1:69">
      <c r="A36" s="309"/>
      <c r="B36" s="347" t="s">
        <v>369</v>
      </c>
      <c r="C36" s="317"/>
      <c r="D36" s="317"/>
      <c r="E36" s="106"/>
      <c r="F36" s="106"/>
      <c r="G36" s="106"/>
      <c r="H36" s="106"/>
      <c r="I36" s="106"/>
      <c r="J36" s="317"/>
      <c r="K36" s="324"/>
      <c r="L36" s="324"/>
      <c r="M36" s="155"/>
      <c r="N36" s="324"/>
      <c r="O36" s="324"/>
      <c r="P36" s="317"/>
      <c r="Q36" s="106"/>
      <c r="R36" s="106"/>
      <c r="S36" s="197" t="s">
        <v>190</v>
      </c>
      <c r="T36" s="197" t="s">
        <v>190</v>
      </c>
      <c r="U36" s="197" t="s">
        <v>190</v>
      </c>
      <c r="V36" s="197" t="s">
        <v>190</v>
      </c>
      <c r="W36" s="197" t="s">
        <v>190</v>
      </c>
      <c r="X36" s="317"/>
      <c r="Y36" s="106"/>
      <c r="Z36" s="197">
        <v>3</v>
      </c>
      <c r="AA36" s="197"/>
      <c r="AB36" s="197">
        <v>4</v>
      </c>
      <c r="AC36" s="106"/>
      <c r="AD36" s="317"/>
      <c r="AE36" s="317"/>
      <c r="AF36" s="317"/>
      <c r="AG36" s="350"/>
      <c r="AH36" s="317"/>
      <c r="AI36" s="311"/>
      <c r="AJ36" s="312"/>
      <c r="AK36" s="311"/>
      <c r="AL36" s="344"/>
      <c r="AM36" s="344"/>
      <c r="AN36" s="344"/>
      <c r="AO36" s="344"/>
      <c r="AP36" s="246"/>
      <c r="AQ36" s="313"/>
      <c r="AR36" s="246"/>
      <c r="AS36" s="238"/>
      <c r="AT36" s="246"/>
      <c r="AU36" s="238"/>
      <c r="AV36" s="238"/>
      <c r="AW36" s="238"/>
      <c r="AX36" s="238"/>
      <c r="AY36" s="313"/>
      <c r="AZ36" s="313"/>
      <c r="BA36" s="313"/>
      <c r="BB36" s="313"/>
      <c r="BC36" s="313"/>
      <c r="BD36" s="313"/>
      <c r="BE36" s="313"/>
      <c r="BF36" s="313"/>
      <c r="BG36" s="313"/>
      <c r="BH36" s="313"/>
      <c r="BI36" s="313"/>
      <c r="BJ36" s="313"/>
      <c r="BK36" s="313"/>
      <c r="BL36" s="313"/>
      <c r="BM36" s="313"/>
      <c r="BN36" s="313"/>
      <c r="BO36" s="313"/>
      <c r="BP36" s="313"/>
      <c r="BQ36" s="345"/>
    </row>
    <row r="37" ht="19.5" customHeight="1" spans="1:69">
      <c r="A37" s="309"/>
      <c r="B37" s="347" t="s">
        <v>370</v>
      </c>
      <c r="C37" s="317"/>
      <c r="D37" s="317"/>
      <c r="E37" s="106"/>
      <c r="F37" s="106"/>
      <c r="G37" s="106"/>
      <c r="H37" s="106"/>
      <c r="I37" s="106"/>
      <c r="J37" s="317"/>
      <c r="K37" s="324"/>
      <c r="L37" s="324"/>
      <c r="M37" s="155"/>
      <c r="N37" s="324"/>
      <c r="O37" s="324"/>
      <c r="P37" s="317"/>
      <c r="Q37" s="106"/>
      <c r="R37" s="106"/>
      <c r="S37" s="197" t="s">
        <v>190</v>
      </c>
      <c r="T37" s="197" t="s">
        <v>190</v>
      </c>
      <c r="U37" s="197" t="s">
        <v>190</v>
      </c>
      <c r="V37" s="197" t="s">
        <v>190</v>
      </c>
      <c r="W37" s="197" t="s">
        <v>190</v>
      </c>
      <c r="X37" s="317"/>
      <c r="Y37" s="106"/>
      <c r="Z37" s="106"/>
      <c r="AA37" s="106"/>
      <c r="AB37" s="106"/>
      <c r="AC37" s="106"/>
      <c r="AD37" s="317"/>
      <c r="AE37" s="317"/>
      <c r="AF37" s="317"/>
      <c r="AG37" s="350"/>
      <c r="AH37" s="317"/>
      <c r="AI37" s="311"/>
      <c r="AJ37" s="312"/>
      <c r="AK37" s="311"/>
      <c r="AL37" s="344"/>
      <c r="AM37" s="344"/>
      <c r="AN37" s="344"/>
      <c r="AO37" s="344"/>
      <c r="AP37" s="246"/>
      <c r="AQ37" s="313"/>
      <c r="AR37" s="246"/>
      <c r="AS37" s="238"/>
      <c r="AT37" s="246"/>
      <c r="AU37" s="238"/>
      <c r="AV37" s="238"/>
      <c r="AW37" s="238"/>
      <c r="AX37" s="238"/>
      <c r="AY37" s="313"/>
      <c r="AZ37" s="313"/>
      <c r="BA37" s="313"/>
      <c r="BB37" s="313"/>
      <c r="BC37" s="313"/>
      <c r="BD37" s="313"/>
      <c r="BE37" s="313"/>
      <c r="BF37" s="313"/>
      <c r="BG37" s="313"/>
      <c r="BH37" s="313"/>
      <c r="BI37" s="313"/>
      <c r="BJ37" s="313"/>
      <c r="BK37" s="313"/>
      <c r="BL37" s="313"/>
      <c r="BM37" s="313"/>
      <c r="BN37" s="313"/>
      <c r="BO37" s="313"/>
      <c r="BP37" s="313"/>
      <c r="BQ37" s="345"/>
    </row>
    <row r="38" ht="19.5" customHeight="1" spans="1:69">
      <c r="A38" s="309"/>
      <c r="B38" s="347" t="s">
        <v>371</v>
      </c>
      <c r="C38" s="317"/>
      <c r="D38" s="317"/>
      <c r="E38" s="106"/>
      <c r="F38" s="106"/>
      <c r="G38" s="106"/>
      <c r="H38" s="106"/>
      <c r="I38" s="106"/>
      <c r="J38" s="317"/>
      <c r="K38" s="324"/>
      <c r="L38" s="324"/>
      <c r="M38" s="155"/>
      <c r="N38" s="324"/>
      <c r="O38" s="324"/>
      <c r="P38" s="317"/>
      <c r="Q38" s="106"/>
      <c r="R38" s="106"/>
      <c r="S38" s="197" t="s">
        <v>190</v>
      </c>
      <c r="T38" s="197" t="s">
        <v>190</v>
      </c>
      <c r="U38" s="197" t="s">
        <v>190</v>
      </c>
      <c r="V38" s="197" t="s">
        <v>190</v>
      </c>
      <c r="W38" s="197" t="s">
        <v>190</v>
      </c>
      <c r="X38" s="317"/>
      <c r="Y38" s="106"/>
      <c r="Z38" s="106"/>
      <c r="AA38" s="106"/>
      <c r="AB38" s="106"/>
      <c r="AC38" s="106"/>
      <c r="AD38" s="317">
        <v>1</v>
      </c>
      <c r="AE38" s="317"/>
      <c r="AF38" s="317"/>
      <c r="AG38" s="350"/>
      <c r="AH38" s="317"/>
      <c r="AI38" s="311"/>
      <c r="AJ38" s="312"/>
      <c r="AK38" s="311"/>
      <c r="AL38" s="344"/>
      <c r="AM38" s="344"/>
      <c r="AN38" s="344"/>
      <c r="AO38" s="344"/>
      <c r="AP38" s="246"/>
      <c r="AQ38" s="313"/>
      <c r="AR38" s="246"/>
      <c r="AS38" s="238"/>
      <c r="AT38" s="246"/>
      <c r="AU38" s="238"/>
      <c r="AV38" s="238"/>
      <c r="AW38" s="238"/>
      <c r="AX38" s="238"/>
      <c r="AY38" s="313"/>
      <c r="AZ38" s="313"/>
      <c r="BA38" s="313"/>
      <c r="BB38" s="313"/>
      <c r="BC38" s="313"/>
      <c r="BD38" s="313"/>
      <c r="BE38" s="313"/>
      <c r="BF38" s="313"/>
      <c r="BG38" s="313"/>
      <c r="BH38" s="313"/>
      <c r="BI38" s="313"/>
      <c r="BJ38" s="313"/>
      <c r="BK38" s="313"/>
      <c r="BL38" s="313"/>
      <c r="BM38" s="313"/>
      <c r="BN38" s="313"/>
      <c r="BO38" s="313"/>
      <c r="BP38" s="313"/>
      <c r="BQ38" s="345"/>
    </row>
    <row r="39" ht="19.5" customHeight="1" spans="1:69">
      <c r="A39" s="309"/>
      <c r="B39" s="354"/>
      <c r="C39" s="317"/>
      <c r="D39" s="317"/>
      <c r="E39" s="106"/>
      <c r="F39" s="106"/>
      <c r="G39" s="106"/>
      <c r="H39" s="106"/>
      <c r="I39" s="106"/>
      <c r="J39" s="317"/>
      <c r="K39" s="324"/>
      <c r="L39" s="324"/>
      <c r="M39" s="155"/>
      <c r="N39" s="324"/>
      <c r="O39" s="324"/>
      <c r="P39" s="317"/>
      <c r="Q39" s="106"/>
      <c r="R39" s="106"/>
      <c r="S39" s="106"/>
      <c r="T39" s="317"/>
      <c r="U39" s="106"/>
      <c r="V39" s="317"/>
      <c r="W39" s="106"/>
      <c r="X39" s="317"/>
      <c r="Y39" s="106"/>
      <c r="Z39" s="106"/>
      <c r="AA39" s="106"/>
      <c r="AB39" s="106"/>
      <c r="AC39" s="106"/>
      <c r="AD39" s="317"/>
      <c r="AE39" s="317"/>
      <c r="AF39" s="317"/>
      <c r="AG39" s="350"/>
      <c r="AH39" s="317"/>
      <c r="AI39" s="311"/>
      <c r="AJ39" s="312"/>
      <c r="AK39" s="311"/>
      <c r="AL39" s="344"/>
      <c r="AM39" s="344"/>
      <c r="AN39" s="344"/>
      <c r="AO39" s="344"/>
      <c r="AP39" s="246"/>
      <c r="AQ39" s="313"/>
      <c r="AR39" s="246"/>
      <c r="AS39" s="238"/>
      <c r="AT39" s="246"/>
      <c r="AU39" s="238"/>
      <c r="AV39" s="238"/>
      <c r="AW39" s="238"/>
      <c r="AX39" s="238"/>
      <c r="AY39" s="313"/>
      <c r="AZ39" s="313"/>
      <c r="BA39" s="313"/>
      <c r="BB39" s="313"/>
      <c r="BC39" s="313"/>
      <c r="BD39" s="313"/>
      <c r="BE39" s="313"/>
      <c r="BF39" s="313"/>
      <c r="BG39" s="313"/>
      <c r="BH39" s="313"/>
      <c r="BI39" s="313"/>
      <c r="BJ39" s="313"/>
      <c r="BK39" s="313"/>
      <c r="BL39" s="313"/>
      <c r="BM39" s="313"/>
      <c r="BN39" s="313"/>
      <c r="BO39" s="313"/>
      <c r="BP39" s="313"/>
      <c r="BQ39" s="345"/>
    </row>
    <row r="40" ht="19.5" customHeight="1" spans="1:69">
      <c r="A40" s="309"/>
      <c r="B40" s="354" t="s">
        <v>148</v>
      </c>
      <c r="C40" s="349"/>
      <c r="D40" s="317"/>
      <c r="E40" s="317"/>
      <c r="F40" s="317"/>
      <c r="G40" s="317"/>
      <c r="H40" s="317"/>
      <c r="I40" s="317"/>
      <c r="J40" s="317"/>
      <c r="K40" s="317"/>
      <c r="L40" s="317"/>
      <c r="N40" s="317"/>
      <c r="O40" s="317"/>
      <c r="P40" s="317"/>
      <c r="Q40" s="106"/>
      <c r="R40" s="106"/>
      <c r="S40" s="317"/>
      <c r="T40" s="317"/>
      <c r="U40" s="198"/>
      <c r="V40" s="317"/>
      <c r="W40" s="317"/>
      <c r="X40" s="317"/>
      <c r="Y40" s="356"/>
      <c r="Z40" s="356"/>
      <c r="AA40" s="356"/>
      <c r="AB40" s="356"/>
      <c r="AC40" s="356"/>
      <c r="AD40" s="356"/>
      <c r="AE40" s="317"/>
      <c r="AF40" s="317"/>
      <c r="AG40" s="350"/>
      <c r="AH40" s="317"/>
      <c r="AI40" s="311">
        <f t="shared" ref="AI40:AO40" si="18">COUNTIF($C40:$AG40,AI$4)</f>
        <v>0</v>
      </c>
      <c r="AJ40" s="312">
        <f t="shared" si="18"/>
        <v>0</v>
      </c>
      <c r="AK40" s="311">
        <f t="shared" si="18"/>
        <v>0</v>
      </c>
      <c r="AL40" s="344">
        <f t="shared" si="18"/>
        <v>0</v>
      </c>
      <c r="AM40" s="344">
        <f t="shared" si="18"/>
        <v>0</v>
      </c>
      <c r="AN40" s="344">
        <f t="shared" si="18"/>
        <v>0</v>
      </c>
      <c r="AO40" s="344">
        <f t="shared" si="18"/>
        <v>0</v>
      </c>
      <c r="AP40" s="246"/>
      <c r="AQ40" s="313"/>
      <c r="AR40" s="246"/>
      <c r="AS40" s="238"/>
      <c r="AT40" s="246"/>
      <c r="AU40" s="246"/>
      <c r="AV40" s="238"/>
      <c r="AW40" s="238"/>
      <c r="AX40" s="238"/>
      <c r="AY40" s="313"/>
      <c r="AZ40" s="313"/>
      <c r="BA40" s="313"/>
      <c r="BB40" s="313"/>
      <c r="BC40" s="313"/>
      <c r="BD40" s="313"/>
      <c r="BE40" s="313"/>
      <c r="BF40" s="313"/>
      <c r="BG40" s="313"/>
      <c r="BH40" s="313"/>
      <c r="BI40" s="313"/>
      <c r="BJ40" s="313"/>
      <c r="BK40" s="313"/>
      <c r="BL40" s="313"/>
      <c r="BM40" s="313"/>
      <c r="BN40" s="344"/>
      <c r="BO40" s="344"/>
      <c r="BP40" s="344"/>
      <c r="BQ40" s="345"/>
    </row>
    <row r="41" ht="19.5" customHeight="1" spans="1:69">
      <c r="A41" s="309"/>
      <c r="B41" s="357"/>
      <c r="C41" s="358"/>
      <c r="D41" s="359"/>
      <c r="E41" s="359"/>
      <c r="F41" s="359"/>
      <c r="G41" s="359"/>
      <c r="H41" s="358"/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  <c r="AA41" s="358"/>
      <c r="AB41" s="358"/>
      <c r="AC41" s="358"/>
      <c r="AD41" s="358"/>
      <c r="AE41" s="358"/>
      <c r="AF41" s="358"/>
      <c r="AG41" s="358"/>
      <c r="AH41" s="360"/>
      <c r="AI41" s="361"/>
      <c r="AJ41" s="362"/>
      <c r="AK41" s="361"/>
      <c r="AL41" s="363"/>
      <c r="AM41" s="363"/>
      <c r="AN41" s="363"/>
      <c r="AO41" s="363"/>
      <c r="AP41" s="253"/>
      <c r="AQ41" s="253"/>
      <c r="AR41" s="253"/>
      <c r="AS41" s="253">
        <f>SUMPRODUCT(--WEEKDAY(C$3:AG$3,2)&gt;5,--((C41:AG41="DM"))+(C41:AG41="CS1")+((C41:AG41="CS2"))+(C41:AG41="SB1")+(C41:AG41="AE")+(C41:AG41="EM"))</f>
        <v>0</v>
      </c>
      <c r="AT41" s="253"/>
      <c r="AU41" s="253">
        <f>(AQ41-AR41)/2+(AS41-AT41)</f>
        <v>0</v>
      </c>
      <c r="AV41" s="253"/>
      <c r="AW41" s="253"/>
      <c r="AX41" s="253"/>
      <c r="AY41" s="363"/>
      <c r="AZ41" s="363"/>
      <c r="BA41" s="363"/>
      <c r="BB41" s="363"/>
      <c r="BC41" s="363"/>
      <c r="BD41" s="363"/>
      <c r="BE41" s="363"/>
      <c r="BF41" s="363"/>
      <c r="BG41" s="363"/>
      <c r="BH41" s="363"/>
      <c r="BI41" s="363"/>
      <c r="BJ41" s="363"/>
      <c r="BK41" s="363"/>
      <c r="BL41" s="363"/>
      <c r="BM41" s="363"/>
      <c r="BN41" s="363"/>
      <c r="BO41" s="363"/>
      <c r="BP41" s="363"/>
      <c r="BQ41" s="364"/>
    </row>
    <row r="42" ht="19.5" customHeight="1" spans="1:69">
      <c r="A42" s="309"/>
      <c r="B42" s="365" t="s">
        <v>57</v>
      </c>
      <c r="C42" s="366" t="str">
        <f>VLOOKUP("DM",C4:C40,1,FALSE)</f>
        <v>DM</v>
      </c>
      <c r="D42" s="366" t="str">
        <f>VLOOKUP("DM",D4:D40,1,FALSE)</f>
        <v>DM</v>
      </c>
      <c r="E42" s="366" t="str">
        <f>VLOOKUP("DM",E1:E40,1,FALSE)</f>
        <v>DM</v>
      </c>
      <c r="F42" s="366" t="str">
        <f t="shared" ref="F42:L42" si="19">VLOOKUP("DM",F4:F40,1,FALSE)</f>
        <v>DM</v>
      </c>
      <c r="G42" s="366" t="str">
        <f t="shared" si="19"/>
        <v>DM</v>
      </c>
      <c r="H42" s="366" t="str">
        <f t="shared" si="19"/>
        <v>DM</v>
      </c>
      <c r="I42" s="366" t="str">
        <f t="shared" si="19"/>
        <v>DM</v>
      </c>
      <c r="J42" s="366" t="str">
        <f t="shared" si="19"/>
        <v>DM</v>
      </c>
      <c r="K42" s="366" t="str">
        <f t="shared" si="19"/>
        <v>DM</v>
      </c>
      <c r="L42" s="366" t="str">
        <f t="shared" si="19"/>
        <v>DM</v>
      </c>
      <c r="M42" s="366" t="str">
        <f>VLOOKUP("DM",M4:M27,1,FALSE)</f>
        <v>DM</v>
      </c>
      <c r="N42" s="366" t="str">
        <f>VLOOKUP("DM",N4:N40,1,FALSE)</f>
        <v>DM</v>
      </c>
      <c r="O42" s="366" t="str">
        <f>VLOOKUP("DM",O4:O40,1,FALSE)</f>
        <v>DM</v>
      </c>
      <c r="P42" s="366" t="str">
        <f>VLOOKUP("DM",P4:P40,1,FALSE)</f>
        <v>DM</v>
      </c>
      <c r="Q42" s="366" t="str">
        <f>VLOOKUP("DM",Q4:Q31,1,FALSE)</f>
        <v>DM</v>
      </c>
      <c r="R42" s="366" t="str">
        <f>VLOOKUP("DM",R4:R25,1,FALSE)</f>
        <v>DM</v>
      </c>
      <c r="S42" s="366" t="str">
        <f>VLOOKUP("DM",S4:S40,1,FALSE)</f>
        <v>DM</v>
      </c>
      <c r="T42" s="366" t="str">
        <f>VLOOKUP("DM",T4:T40,1,FALSE)</f>
        <v>DM</v>
      </c>
      <c r="U42" s="366" t="str">
        <f>VLOOKUP("DM",U4:U40,1,FALSE)</f>
        <v>DM</v>
      </c>
      <c r="V42" s="366" t="str">
        <f>VLOOKUP("DM",V4:V25,1,FALSE)</f>
        <v>DM</v>
      </c>
      <c r="W42" s="366" t="str">
        <f>VLOOKUP("DM",W4:W25,1,FALSE)</f>
        <v>DM</v>
      </c>
      <c r="X42" s="366" t="str">
        <f>VLOOKUP("DM",X4:X40,1,FALSE)</f>
        <v>DM</v>
      </c>
      <c r="Y42" s="366" t="str">
        <f>VLOOKUP("DM",Y4:Y40,1,FALSE)</f>
        <v>DM</v>
      </c>
      <c r="Z42" s="366" t="str">
        <f>VLOOKUP("DM",Z4:Z40,1,FALSE)</f>
        <v>DM</v>
      </c>
      <c r="AA42" s="366" t="str">
        <f>VLOOKUP("DM",AA1:AA40,1,FALSE)</f>
        <v>DM</v>
      </c>
      <c r="AB42" s="366" t="str">
        <f t="shared" ref="AB42:AG42" si="20">VLOOKUP("DM",AB4:AB40,1,FALSE)</f>
        <v>DM</v>
      </c>
      <c r="AC42" s="366" t="str">
        <f t="shared" si="20"/>
        <v>DM</v>
      </c>
      <c r="AD42" s="366" t="str">
        <f t="shared" si="20"/>
        <v>DM</v>
      </c>
      <c r="AE42" s="366" t="str">
        <f t="shared" si="20"/>
        <v>DM</v>
      </c>
      <c r="AF42" s="366" t="str">
        <f t="shared" si="20"/>
        <v>DM</v>
      </c>
      <c r="AG42" s="366" t="str">
        <f t="shared" si="20"/>
        <v>DM</v>
      </c>
      <c r="AH42" s="387"/>
      <c r="AI42" s="311"/>
      <c r="AJ42" s="312"/>
      <c r="AK42" s="311"/>
      <c r="AL42" s="313"/>
      <c r="AM42" s="313"/>
      <c r="AN42" s="313"/>
      <c r="AO42" s="313"/>
      <c r="AP42" s="313"/>
      <c r="AQ42" s="313"/>
      <c r="AR42" s="313"/>
      <c r="AS42" s="313"/>
      <c r="AT42" s="313"/>
      <c r="AU42" s="313"/>
      <c r="AV42" s="313"/>
      <c r="AW42" s="313"/>
      <c r="AX42" s="313"/>
      <c r="AY42" s="313"/>
      <c r="AZ42" s="313"/>
      <c r="BA42" s="313"/>
      <c r="BB42" s="313"/>
      <c r="BC42" s="313"/>
      <c r="BD42" s="313"/>
      <c r="BE42" s="313"/>
      <c r="BF42" s="313"/>
      <c r="BG42" s="313"/>
      <c r="BH42" s="313"/>
      <c r="BI42" s="313"/>
      <c r="BJ42" s="313"/>
      <c r="BK42" s="313"/>
      <c r="BL42" s="313"/>
      <c r="BM42" s="313"/>
      <c r="BN42" s="313"/>
      <c r="BO42" s="313"/>
      <c r="BP42" s="313"/>
      <c r="BQ42" s="314"/>
    </row>
    <row r="43" ht="19.5" customHeight="1" spans="1:69">
      <c r="A43" s="309" t="e">
        <f>LTE()</f>
        <v>#NAME?</v>
      </c>
      <c r="B43" s="368" t="s">
        <v>56</v>
      </c>
      <c r="C43" s="366" t="str">
        <f>VLOOKUP("CS1",C5:C40,1,FALSE)</f>
        <v>CS1</v>
      </c>
      <c r="D43" s="366" t="str">
        <f>VLOOKUP("CS1",D1:D40,1,FALSE)</f>
        <v>CS1</v>
      </c>
      <c r="E43" s="366" t="str">
        <f>VLOOKUP("CS1",E7:E40,1,FALSE)</f>
        <v>CS1</v>
      </c>
      <c r="F43" s="366" t="str">
        <f>VLOOKUP("CS1",F8:F40,1,FALSE)</f>
        <v>CS1</v>
      </c>
      <c r="G43" s="366" t="str">
        <f>VLOOKUP("CS1",G8:G40,1,FALSE)</f>
        <v>CS1</v>
      </c>
      <c r="H43" s="366" t="str">
        <f>VLOOKUP("CS1",H6:H40,1,FALSE)</f>
        <v>CS1</v>
      </c>
      <c r="I43" s="366" t="str">
        <f>VLOOKUP("CS1",I6:I40,1,FALSE)</f>
        <v>CS1</v>
      </c>
      <c r="J43" s="366" t="str">
        <f>VLOOKUP("CS1",J4:J40,1,FALSE)</f>
        <v>CS1</v>
      </c>
      <c r="K43" s="366" t="str">
        <f>VLOOKUP("CS1",K1:K40,1,FALSE)</f>
        <v>CS1</v>
      </c>
      <c r="L43" s="366" t="str">
        <f>VLOOKUP("CS1",L1:L40,1,FALSE)</f>
        <v>CS1</v>
      </c>
      <c r="M43" s="366" t="str">
        <f>VLOOKUP("CS1",M7:M27,1,FALSE)</f>
        <v>CS1</v>
      </c>
      <c r="N43" s="366" t="str">
        <f>VLOOKUP("CS1",N6:N40,1,FALSE)</f>
        <v>CS1</v>
      </c>
      <c r="O43" s="366" t="str">
        <f>VLOOKUP("CS1",O1:O40,1,FALSE)</f>
        <v>CS1</v>
      </c>
      <c r="P43" s="366" t="str">
        <f>VLOOKUP("CS1",P5:P40,1,FALSE)</f>
        <v>CS1</v>
      </c>
      <c r="Q43" s="366" t="str">
        <f>VLOOKUP("CS1",Q6:Q31,1,FALSE)</f>
        <v>CS1</v>
      </c>
      <c r="R43" s="366" t="str">
        <f>VLOOKUP("CS1",R6:R25,1,FALSE)</f>
        <v>CS1</v>
      </c>
      <c r="S43" s="366" t="str">
        <f>VLOOKUP("CS1",S7:S40,1,FALSE)</f>
        <v>CS1</v>
      </c>
      <c r="T43" s="366" t="str">
        <f>VLOOKUP("CS1",T1:T40,1,FALSE)</f>
        <v>CS1</v>
      </c>
      <c r="U43" s="366" t="str">
        <f>VLOOKUP("CS1",U6:U40,1,FALSE)</f>
        <v>CS1</v>
      </c>
      <c r="V43" s="366" t="str">
        <f>VLOOKUP("CS1",V1:V25,1,FALSE)</f>
        <v>CS1</v>
      </c>
      <c r="W43" s="366" t="str">
        <f>VLOOKUP("CS1",W1:W25,1,FALSE)</f>
        <v>CS1</v>
      </c>
      <c r="X43" s="366" t="str">
        <f>VLOOKUP("CS1",X1:X40,1,FALSE)</f>
        <v>CS1</v>
      </c>
      <c r="Y43" s="366" t="str">
        <f>VLOOKUP("CS1",Y6:Y40,1,FALSE)</f>
        <v>CS1</v>
      </c>
      <c r="Z43" s="366" t="str">
        <f>VLOOKUP("CS1",Z9:Z40,1,FALSE)</f>
        <v>CS1</v>
      </c>
      <c r="AA43" s="366" t="str">
        <f>VLOOKUP("CS1",AA1:AA40,1,FALSE)</f>
        <v>CS1</v>
      </c>
      <c r="AB43" s="366" t="str">
        <f>VLOOKUP("CS1",AB5:AB40,1,FALSE)</f>
        <v>CS1</v>
      </c>
      <c r="AC43" s="366" t="str">
        <f>VLOOKUP("CS1",AC7:AC40,1,FALSE)</f>
        <v>CS1</v>
      </c>
      <c r="AD43" s="366" t="str">
        <f>VLOOKUP("CS1",AD1:AD40,1,FALSE)</f>
        <v>CS1</v>
      </c>
      <c r="AE43" s="366" t="str">
        <f>VLOOKUP("CS1",AE1:AE40,1,FALSE)</f>
        <v>CS1</v>
      </c>
      <c r="AF43" s="366" t="str">
        <f>VLOOKUP("CS1",AF7:AF40,1,FALSE)</f>
        <v>CS1</v>
      </c>
      <c r="AG43" s="366" t="str">
        <f>VLOOKUP("CS1",AG7:AG40,1,FALSE)</f>
        <v>CS1</v>
      </c>
      <c r="AH43" s="387"/>
      <c r="AI43" s="311"/>
      <c r="AJ43" s="312"/>
      <c r="AK43" s="311"/>
      <c r="AL43" s="313"/>
      <c r="AM43" s="313"/>
      <c r="AN43" s="313"/>
      <c r="AO43" s="313"/>
      <c r="AP43" s="313"/>
      <c r="AQ43" s="313"/>
      <c r="AR43" s="313"/>
      <c r="AS43" s="313"/>
      <c r="AT43" s="313"/>
      <c r="AU43" s="313"/>
      <c r="AV43" s="313"/>
      <c r="AW43" s="313"/>
      <c r="AX43" s="313"/>
      <c r="AY43" s="313"/>
      <c r="AZ43" s="313"/>
      <c r="BA43" s="313"/>
      <c r="BB43" s="313"/>
      <c r="BC43" s="313"/>
      <c r="BD43" s="313"/>
      <c r="BE43" s="313"/>
      <c r="BF43" s="313"/>
      <c r="BG43" s="313"/>
      <c r="BH43" s="313"/>
      <c r="BI43" s="313"/>
      <c r="BJ43" s="313"/>
      <c r="BK43" s="313"/>
      <c r="BL43" s="313"/>
      <c r="BM43" s="313"/>
      <c r="BN43" s="313"/>
      <c r="BO43" s="313"/>
      <c r="BP43" s="313"/>
      <c r="BQ43" s="314"/>
    </row>
    <row r="44" ht="19.5" customHeight="1" spans="1:69">
      <c r="A44" s="309"/>
      <c r="B44" s="369" t="s">
        <v>59</v>
      </c>
      <c r="C44" s="366" t="str">
        <f>VLOOKUP("CS2",C6:C40,1,FALSE)</f>
        <v>CS2</v>
      </c>
      <c r="D44" s="366" t="str">
        <f>VLOOKUP("CS2",D9:D40,1,FALSE)</f>
        <v>CS2</v>
      </c>
      <c r="E44" s="366" t="str">
        <f>VLOOKUP("CS2",E7:E40,1,FALSE)</f>
        <v>CS2</v>
      </c>
      <c r="F44" s="366" t="str">
        <f>VLOOKUP("CS2",F8:F40,1,FALSE)</f>
        <v>CS2</v>
      </c>
      <c r="G44" s="366" t="str">
        <f>VLOOKUP("CS2",G1:G40,1,FALSE)</f>
        <v>CS2</v>
      </c>
      <c r="H44" s="366" t="str">
        <f>VLOOKUP("CS2",H1:H40,1,FALSE)</f>
        <v>CS2</v>
      </c>
      <c r="I44" s="366" t="str">
        <f>VLOOKUP("CS2",I6:I40,1,FALSE)</f>
        <v>CS2</v>
      </c>
      <c r="J44" s="366" t="str">
        <f>VLOOKUP("CS2",J4:J40,1,FALSE)</f>
        <v>CS2</v>
      </c>
      <c r="K44" s="366" t="str">
        <f>VLOOKUP("CS2",K5:K40,1,FALSE)</f>
        <v>CS2</v>
      </c>
      <c r="L44" s="366" t="str">
        <f>VLOOKUP("CS2",L4:L40,1,FALSE)</f>
        <v>CS2</v>
      </c>
      <c r="M44" s="366" t="str">
        <f>VLOOKUP("CS2",M1:M27,1,FALSE)</f>
        <v>CS2</v>
      </c>
      <c r="N44" s="366" t="str">
        <f>VLOOKUP("CS2",N1:N40,1,FALSE)</f>
        <v>CS2</v>
      </c>
      <c r="O44" s="366" t="str">
        <f>VLOOKUP("CS2",O6:O40,1,FALSE)</f>
        <v>CS2</v>
      </c>
      <c r="P44" s="366" t="str">
        <f>VLOOKUP("CS2",P8:P40,1,FALSE)</f>
        <v>CS2</v>
      </c>
      <c r="Q44" s="366" t="str">
        <f>VLOOKUP("CS2",Q6:Q31,1,FALSE)</f>
        <v>CS2</v>
      </c>
      <c r="R44" s="366" t="str">
        <f>VLOOKUP("CS2",R6:R25,1,FALSE)</f>
        <v>CS2</v>
      </c>
      <c r="S44" s="366" t="str">
        <f>VLOOKUP("CS2",S1:S40,1,FALSE)</f>
        <v>CS2</v>
      </c>
      <c r="T44" s="366" t="str">
        <f>VLOOKUP("CS2",T1:T40,1,FALSE)</f>
        <v>CS2</v>
      </c>
      <c r="U44" s="366" t="str">
        <f>VLOOKUP("CS2",U1:U40,1,FALSE)</f>
        <v>CS2</v>
      </c>
      <c r="V44" s="366" t="str">
        <f>VLOOKUP("CS2",V1:V25,1,FALSE)</f>
        <v>CS2</v>
      </c>
      <c r="W44" s="366" t="str">
        <f>VLOOKUP("CS2",W11:W25,1,FALSE)</f>
        <v>CS2</v>
      </c>
      <c r="X44" s="366" t="str">
        <f>VLOOKUP("CS2",X8:X40,1,FALSE)</f>
        <v>CS2</v>
      </c>
      <c r="Y44" s="366" t="str">
        <f>VLOOKUP("CS2",Y6:Y40,1,FALSE)</f>
        <v>CS2</v>
      </c>
      <c r="Z44" s="366" t="str">
        <f>VLOOKUP("CS2",Z9:Z40,1,FALSE)</f>
        <v>CS2</v>
      </c>
      <c r="AA44" s="366" t="str">
        <f>VLOOKUP("CS2",AA1:AA40,1,FALSE)</f>
        <v>CS2</v>
      </c>
      <c r="AB44" s="366" t="str">
        <f>VLOOKUP("CS2",AB1:AB40,1,FALSE)</f>
        <v>CS2</v>
      </c>
      <c r="AC44" s="366" t="str">
        <f>VLOOKUP("CS2",AC7:AC40,1,FALSE)</f>
        <v>CS2</v>
      </c>
      <c r="AD44" s="366" t="str">
        <f>VLOOKUP("CS2",AD1:AD40,1,FALSE)</f>
        <v>CS2</v>
      </c>
      <c r="AE44" s="366" t="str">
        <f>VLOOKUP("CS2",AE1:AE40,1,FALSE)</f>
        <v>CS2</v>
      </c>
      <c r="AF44" s="366" t="str">
        <f>VLOOKUP("CS2",AF1:AF40,1,FALSE)</f>
        <v>CS2</v>
      </c>
      <c r="AG44" s="366" t="str">
        <f>VLOOKUP("CS2",AG7:AG40,1,FALSE)</f>
        <v>CS2</v>
      </c>
      <c r="AH44" s="387"/>
      <c r="AI44" s="311"/>
      <c r="AJ44" s="312"/>
      <c r="AK44" s="311"/>
      <c r="AL44" s="313"/>
      <c r="AM44" s="313"/>
      <c r="AN44" s="313"/>
      <c r="AO44" s="313"/>
      <c r="AP44" s="313"/>
      <c r="AQ44" s="313"/>
      <c r="AR44" s="313"/>
      <c r="AS44" s="313"/>
      <c r="AT44" s="313"/>
      <c r="AU44" s="313"/>
      <c r="AV44" s="313"/>
      <c r="AW44" s="313"/>
      <c r="AX44" s="313"/>
      <c r="AY44" s="313"/>
      <c r="AZ44" s="313"/>
      <c r="BA44" s="313"/>
      <c r="BB44" s="313"/>
      <c r="BC44" s="313"/>
      <c r="BD44" s="313"/>
      <c r="BE44" s="313"/>
      <c r="BF44" s="313"/>
      <c r="BG44" s="313"/>
      <c r="BH44" s="313"/>
      <c r="BI44" s="313"/>
      <c r="BJ44" s="313"/>
      <c r="BK44" s="313"/>
      <c r="BL44" s="313"/>
      <c r="BM44" s="313"/>
      <c r="BN44" s="313"/>
      <c r="BO44" s="313"/>
      <c r="BP44" s="313"/>
      <c r="BQ44" s="314"/>
    </row>
    <row r="45" ht="19.5" customHeight="1" spans="1:69">
      <c r="A45" s="309"/>
      <c r="B45" s="370" t="s">
        <v>58</v>
      </c>
      <c r="C45" s="366" t="e">
        <f>VLOOKUP("SB1",C6:C40,1,FALSE)</f>
        <v>#N/A</v>
      </c>
      <c r="D45" s="366" t="str">
        <f>VLOOKUP("SB1",D3:D40,1,FALSE)</f>
        <v>SB1</v>
      </c>
      <c r="E45" s="366" t="str">
        <f>VLOOKUP("SB1",E1:E40,1,FALSE)</f>
        <v>SB1</v>
      </c>
      <c r="F45" s="366" t="str">
        <f>VLOOKUP("SB1",F8:F40,1,FALSE)</f>
        <v>SB1</v>
      </c>
      <c r="G45" s="366" t="str">
        <f>VLOOKUP("SB1",G5:G40,1,FALSE)</f>
        <v>SB1</v>
      </c>
      <c r="H45" s="366" t="str">
        <f>VLOOKUP("SB1",H6:H40,1,FALSE)</f>
        <v>SB1</v>
      </c>
      <c r="I45" s="366" t="str">
        <f>VLOOKUP("SB1",I1:I40,1,FALSE)</f>
        <v>SB1</v>
      </c>
      <c r="J45" s="366" t="e">
        <f>VLOOKUP("SB1",J4:J40,1,FALSE)</f>
        <v>#N/A</v>
      </c>
      <c r="K45" s="366" t="e">
        <f>VLOOKUP("SB1",K6:K40,1,FALSE)</f>
        <v>#N/A</v>
      </c>
      <c r="L45" s="366" t="e">
        <f>VLOOKUP("SB1",L8:L40,1,FALSE)</f>
        <v>#N/A</v>
      </c>
      <c r="M45" s="366" t="e">
        <f>VLOOKUP("SB1",M1:M27,1,FALSE)</f>
        <v>#N/A</v>
      </c>
      <c r="N45" s="366" t="e">
        <f>VLOOKUP("SB1",N6:N40,1,FALSE)</f>
        <v>#N/A</v>
      </c>
      <c r="O45" s="366" t="e">
        <f>VLOOKUP("SB1",O1:O40,1,FALSE)</f>
        <v>#N/A</v>
      </c>
      <c r="P45" s="366" t="e">
        <f>VLOOKUP("SB1",P8:P40,1,FALSE)</f>
        <v>#N/A</v>
      </c>
      <c r="Q45" s="366" t="e">
        <f>VLOOKUP("SB1",Q1:Q31,1,FALSE)</f>
        <v>#N/A</v>
      </c>
      <c r="R45" s="366" t="e">
        <f>VLOOKUP("SB1",R6:R25,1,FALSE)</f>
        <v>#N/A</v>
      </c>
      <c r="S45" s="366" t="e">
        <f>VLOOKUP("SB1",S1:S40,1,FALSE)</f>
        <v>#N/A</v>
      </c>
      <c r="T45" s="366" t="e">
        <f>VLOOKUP("SB1",T8:T40,1,FALSE)</f>
        <v>#N/A</v>
      </c>
      <c r="U45" s="366" t="e">
        <f>VLOOKUP("SB1",U1:U40,1,FALSE)</f>
        <v>#N/A</v>
      </c>
      <c r="V45" s="366" t="e">
        <f>VLOOKUP("SB1",V9:V25,1,FALSE)</f>
        <v>#N/A</v>
      </c>
      <c r="W45" s="366" t="e">
        <f>VLOOKUP("SB1",W5:W25,1,FALSE)</f>
        <v>#N/A</v>
      </c>
      <c r="X45" s="366" t="e">
        <f>VLOOKUP("SB1",X6:X40,1,FALSE)</f>
        <v>#N/A</v>
      </c>
      <c r="Y45" s="366" t="e">
        <f>VLOOKUP("SB1",Y1:Y40,1,FALSE)</f>
        <v>#N/A</v>
      </c>
      <c r="Z45" s="366" t="e">
        <f>VLOOKUP("SB1",Z9:Z40,1,FALSE)</f>
        <v>#N/A</v>
      </c>
      <c r="AA45" s="366" t="e">
        <f>VLOOKUP("SB1",AA11:AA40,1,FALSE)</f>
        <v>#N/A</v>
      </c>
      <c r="AB45" s="366" t="e">
        <f>VLOOKUP("SB1",AB1:AB40,1,FALSE)</f>
        <v>#N/A</v>
      </c>
      <c r="AC45" s="366" t="e">
        <f>VLOOKUP("SB1",AC1:AC40,1,FALSE)</f>
        <v>#N/A</v>
      </c>
      <c r="AD45" s="366" t="e">
        <f>VLOOKUP("SB1",AD6:AD40,1,FALSE)</f>
        <v>#N/A</v>
      </c>
      <c r="AE45" s="366" t="e">
        <f>VLOOKUP("SB1",AE7:AE40,1,FALSE)</f>
        <v>#N/A</v>
      </c>
      <c r="AF45" s="366" t="e">
        <f>VLOOKUP("SB1",AF7:AF40,1,FALSE)</f>
        <v>#N/A</v>
      </c>
      <c r="AG45" s="366" t="e">
        <f>VLOOKUP("SB1",AG7:AG40,1,FALSE)</f>
        <v>#N/A</v>
      </c>
      <c r="AH45" s="387"/>
      <c r="AI45" s="311"/>
      <c r="AJ45" s="312"/>
      <c r="AK45" s="311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  <c r="BN45" s="313"/>
      <c r="BO45" s="313"/>
      <c r="BP45" s="313"/>
      <c r="BQ45" s="314"/>
    </row>
    <row r="46" ht="19.5" customHeight="1" spans="1:69">
      <c r="A46" s="309"/>
      <c r="B46" s="371" t="s">
        <v>93</v>
      </c>
      <c r="C46" s="366" t="e">
        <f>VLOOKUP("SB2",C6:C40,1,FALSE)</f>
        <v>#N/A</v>
      </c>
      <c r="D46" s="366" t="e">
        <f>VLOOKUP("SB2",D9:D40,1,FALSE)</f>
        <v>#N/A</v>
      </c>
      <c r="E46" s="366" t="str">
        <f>VLOOKUP("SB2",E7:E40,1,FALSE)</f>
        <v>SB2</v>
      </c>
      <c r="F46" s="366" t="str">
        <f>VLOOKUP("SB2",F1:F40,1,FALSE)</f>
        <v>SB2</v>
      </c>
      <c r="G46" s="366" t="str">
        <f>VLOOKUP("SB2",G8:G40,1,FALSE)</f>
        <v>SB2</v>
      </c>
      <c r="H46" s="366" t="str">
        <f>VLOOKUP("SB2",H6:H40,1,FALSE)</f>
        <v>SB2</v>
      </c>
      <c r="I46" s="366" t="str">
        <f>VLOOKUP("SB2",I6:I40,1,FALSE)</f>
        <v>SB2</v>
      </c>
      <c r="J46" s="366" t="e">
        <f>VLOOKUP("SB2",J4:J40,1,FALSE)</f>
        <v>#N/A</v>
      </c>
      <c r="K46" s="366" t="e">
        <f>VLOOKUP("SB2",K6:K40,1,FALSE)</f>
        <v>#N/A</v>
      </c>
      <c r="L46" s="366" t="str">
        <f>VLOOKUP("SB2",L11:L40,1,FALSE)</f>
        <v>SB2</v>
      </c>
      <c r="M46" s="366" t="str">
        <f>VLOOKUP("SB2",M8:M44,1,FALSE)</f>
        <v>SB2</v>
      </c>
      <c r="N46" s="366" t="str">
        <f>VLOOKUP("SB2",N6:N40,1,FALSE)</f>
        <v>SB2</v>
      </c>
      <c r="O46" s="366" t="str">
        <f>VLOOKUP("SB2",O8:O40,1,FALSE)</f>
        <v>SB2</v>
      </c>
      <c r="P46" s="366" t="str">
        <f>VLOOKUP("SB2",P8:P40,1,FALSE)</f>
        <v>SB2</v>
      </c>
      <c r="Q46" s="366" t="e">
        <f>VLOOKUP("SB2",Q11:Q31,1,FALSE)</f>
        <v>#N/A</v>
      </c>
      <c r="R46" s="366" t="e">
        <f>VLOOKUP("SB2",R6:R30,1,FALSE)</f>
        <v>#N/A</v>
      </c>
      <c r="S46" s="366" t="str">
        <f>VLOOKUP("SB2",S12:S40,1,FALSE)</f>
        <v>SB2</v>
      </c>
      <c r="T46" s="366" t="str">
        <f>VLOOKUP("SB2",T8:T40,1,FALSE)</f>
        <v>SB2</v>
      </c>
      <c r="U46" s="366" t="str">
        <f>VLOOKUP("SB2",U9:U40,1,FALSE)</f>
        <v>SB2</v>
      </c>
      <c r="V46" s="366" t="str">
        <f>VLOOKUP("SB2",V6:V40,1,FALSE)</f>
        <v>SB2</v>
      </c>
      <c r="W46" s="366" t="str">
        <f>VLOOKUP("SB2",W11:W30,1,FALSE)</f>
        <v>SB2</v>
      </c>
      <c r="X46" s="366" t="e">
        <f>VLOOKUP("SB2",X8:X40,1,FALSE)</f>
        <v>#N/A</v>
      </c>
      <c r="Y46" s="366" t="e">
        <f>VLOOKUP("SB2",Y6:Y40,1,FALSE)</f>
        <v>#N/A</v>
      </c>
      <c r="Z46" s="366" t="str">
        <f>VLOOKUP("SB2",Z9:Z40,1,FALSE)</f>
        <v>SB2</v>
      </c>
      <c r="AA46" s="366" t="str">
        <f>VLOOKUP("SB2",AA11:AA40,1,FALSE)</f>
        <v>SB2</v>
      </c>
      <c r="AB46" s="366" t="str">
        <f>VLOOKUP("SB2",AB9:AB40,1,FALSE)</f>
        <v>SB2</v>
      </c>
      <c r="AC46" s="366" t="str">
        <f>VLOOKUP("SB2",AC11:AC40,1,FALSE)</f>
        <v>SB2</v>
      </c>
      <c r="AD46" s="366" t="str">
        <f>VLOOKUP("SB2",AD6:AD40,1,FALSE)</f>
        <v>SB2</v>
      </c>
      <c r="AE46" s="366" t="e">
        <f>VLOOKUP("SB2",AE7:AE40,1,FALSE)</f>
        <v>#N/A</v>
      </c>
      <c r="AF46" s="366" t="e">
        <f>VLOOKUP("SB2",AF7:AF40,1,FALSE)</f>
        <v>#N/A</v>
      </c>
      <c r="AG46" s="366" t="e">
        <f>VLOOKUP("SB2",AG7:AG40,1,FALSE)</f>
        <v>#N/A</v>
      </c>
      <c r="AH46" s="387"/>
      <c r="AI46" s="311"/>
      <c r="AJ46" s="312"/>
      <c r="AK46" s="311"/>
      <c r="AL46" s="313"/>
      <c r="AM46" s="313"/>
      <c r="AN46" s="313"/>
      <c r="AO46" s="313"/>
      <c r="AP46" s="313"/>
      <c r="AQ46" s="313"/>
      <c r="AR46" s="313"/>
      <c r="AS46" s="313"/>
      <c r="AT46" s="313"/>
      <c r="AU46" s="313"/>
      <c r="AV46" s="313"/>
      <c r="AW46" s="313"/>
      <c r="AX46" s="313"/>
      <c r="AY46" s="313"/>
      <c r="AZ46" s="313"/>
      <c r="BA46" s="313"/>
      <c r="BB46" s="313"/>
      <c r="BC46" s="313"/>
      <c r="BD46" s="313"/>
      <c r="BE46" s="313"/>
      <c r="BF46" s="313"/>
      <c r="BG46" s="313"/>
      <c r="BH46" s="313"/>
      <c r="BI46" s="313"/>
      <c r="BJ46" s="313"/>
      <c r="BK46" s="313"/>
      <c r="BL46" s="313"/>
      <c r="BM46" s="313"/>
      <c r="BN46" s="313"/>
      <c r="BO46" s="313"/>
      <c r="BP46" s="313"/>
      <c r="BQ46" s="314"/>
    </row>
    <row r="47" ht="19.5" customHeight="1" spans="1:69">
      <c r="A47" s="309"/>
      <c r="B47" s="372" t="s">
        <v>65</v>
      </c>
      <c r="C47" s="366" t="str">
        <f>VLOOKUP("AE",C6:C40,1,FALSE)</f>
        <v>AE</v>
      </c>
      <c r="D47" s="366" t="str">
        <f>VLOOKUP("AE",D9:D40,1,FALSE)</f>
        <v>AE</v>
      </c>
      <c r="E47" s="366" t="str">
        <f>VLOOKUP("AE",E7:E40,1,FALSE)</f>
        <v>AE</v>
      </c>
      <c r="F47" s="366" t="str">
        <f>VLOOKUP("AE",F1:F40,1,FALSE)</f>
        <v>AE</v>
      </c>
      <c r="G47" s="366" t="str">
        <f>VLOOKUP("AE",G1:G40,1,FALSE)</f>
        <v>AE</v>
      </c>
      <c r="H47" s="366" t="str">
        <f>VLOOKUP("AE",H8:H40,1,FALSE)</f>
        <v>AE</v>
      </c>
      <c r="I47" s="366" t="str">
        <f>VLOOKUP("AE",I6:I40,1,FALSE)</f>
        <v>AE</v>
      </c>
      <c r="J47" s="366" t="str">
        <f>VLOOKUP("AE",J4:J40,1,FALSE)</f>
        <v>AE</v>
      </c>
      <c r="K47" s="366" t="str">
        <f>VLOOKUP("AE",K6:K40,1,FALSE)</f>
        <v>AE</v>
      </c>
      <c r="L47" s="366" t="str">
        <f>VLOOKUP("AE",L11:L40,1,FALSE)</f>
        <v>AE</v>
      </c>
      <c r="M47" s="366" t="str">
        <f>VLOOKUP("AE",M8:M44,1,FALSE)</f>
        <v>AE</v>
      </c>
      <c r="N47" s="366" t="str">
        <f>VLOOKUP("AE",N6:N40,1,FALSE)</f>
        <v>AE</v>
      </c>
      <c r="O47" s="366" t="str">
        <f>VLOOKUP("AE",O8:O40,1,FALSE)</f>
        <v>AE</v>
      </c>
      <c r="P47" s="366" t="str">
        <f>VLOOKUP("AE",P8:P40,1,FALSE)</f>
        <v>AE</v>
      </c>
      <c r="Q47" s="366" t="str">
        <f>VLOOKUP("AE",Q11:Q31,1,FALSE)</f>
        <v>AE</v>
      </c>
      <c r="R47" s="366" t="str">
        <f>VLOOKUP("AE",R6:R30,1,FALSE)</f>
        <v>AE</v>
      </c>
      <c r="S47" s="366" t="str">
        <f>VLOOKUP("AE",S12:S40,1,FALSE)</f>
        <v>AE</v>
      </c>
      <c r="T47" s="366" t="str">
        <f>VLOOKUP("AE",T8:T40,1,FALSE)</f>
        <v>AE</v>
      </c>
      <c r="U47" s="366" t="str">
        <f>VLOOKUP("AE",U9:U40,1,FALSE)</f>
        <v>AE</v>
      </c>
      <c r="V47" s="366" t="str">
        <f>VLOOKUP("AE",V9:V42,1,FALSE)</f>
        <v>AE</v>
      </c>
      <c r="W47" s="366" t="str">
        <f>VLOOKUP("AE",W11:W40,1,FALSE)</f>
        <v>AE</v>
      </c>
      <c r="X47" s="366" t="str">
        <f>VLOOKUP("AE",X8:X40,1,FALSE)</f>
        <v>AE</v>
      </c>
      <c r="Y47" s="366" t="str">
        <f>VLOOKUP("AE",Y6:Y40,1,FALSE)</f>
        <v>AE</v>
      </c>
      <c r="Z47" s="366" t="str">
        <f>VLOOKUP("AE",Z9:Z40,1,FALSE)</f>
        <v>AE</v>
      </c>
      <c r="AA47" s="366" t="str">
        <f>VLOOKUP("AE",AA11:AA40,1,FALSE)</f>
        <v>AE</v>
      </c>
      <c r="AB47" s="366" t="str">
        <f>VLOOKUP("AE",AB9:AB40,1,FALSE)</f>
        <v>AE</v>
      </c>
      <c r="AC47" s="366" t="str">
        <f>VLOOKUP("AE",AC11:AC40,1,FALSE)</f>
        <v>AE</v>
      </c>
      <c r="AD47" s="366" t="str">
        <f>VLOOKUP("AE",AD6:AD40,1,FALSE)</f>
        <v>AE</v>
      </c>
      <c r="AE47" s="366" t="str">
        <f>VLOOKUP("AE",AE7:AE40,1,FALSE)</f>
        <v>AE</v>
      </c>
      <c r="AF47" s="366" t="str">
        <f>VLOOKUP("AE",AF7:AF40,1,FALSE)</f>
        <v>AE</v>
      </c>
      <c r="AG47" s="366" t="str">
        <f>VLOOKUP("AE",AG7:AG40,1,FALSE)</f>
        <v>AE</v>
      </c>
      <c r="AH47" s="387"/>
      <c r="AI47" s="311"/>
      <c r="AJ47" s="312"/>
      <c r="AK47" s="311"/>
      <c r="AL47" s="313"/>
      <c r="AM47" s="313"/>
      <c r="AN47" s="313"/>
      <c r="AO47" s="313"/>
      <c r="AP47" s="313"/>
      <c r="AQ47" s="313"/>
      <c r="AR47" s="313"/>
      <c r="AS47" s="313"/>
      <c r="AT47" s="313"/>
      <c r="AU47" s="313"/>
      <c r="AV47" s="313"/>
      <c r="AW47" s="313"/>
      <c r="AX47" s="313"/>
      <c r="AY47" s="313"/>
      <c r="AZ47" s="313"/>
      <c r="BA47" s="313"/>
      <c r="BB47" s="313"/>
      <c r="BC47" s="313"/>
      <c r="BD47" s="313"/>
      <c r="BE47" s="313"/>
      <c r="BF47" s="313"/>
      <c r="BG47" s="313"/>
      <c r="BH47" s="313"/>
      <c r="BI47" s="313"/>
      <c r="BJ47" s="313"/>
      <c r="BK47" s="313"/>
      <c r="BL47" s="313"/>
      <c r="BM47" s="313"/>
      <c r="BN47" s="313"/>
      <c r="BO47" s="313"/>
      <c r="BP47" s="313"/>
      <c r="BQ47" s="314"/>
    </row>
  </sheetData>
  <mergeCells count="1">
    <mergeCell ref="C1:S1"/>
  </mergeCells>
  <conditionalFormatting sqref="P12">
    <cfRule type="expression" dxfId="136" priority="11">
      <formula>WEEKDAY(K$3,2)&gt;5</formula>
    </cfRule>
    <cfRule type="expression" dxfId="136" priority="12">
      <formula>WEEKDAY(J$3,2)&gt;5</formula>
    </cfRule>
  </conditionalFormatting>
  <conditionalFormatting sqref="D15">
    <cfRule type="expression" dxfId="136" priority="9">
      <formula>WEEKDAY(E$3,2)&gt;5</formula>
    </cfRule>
  </conditionalFormatting>
  <conditionalFormatting sqref="T18">
    <cfRule type="expression" dxfId="136" priority="3">
      <formula>WEEKDAY(V$3,2)&gt;5</formula>
    </cfRule>
  </conditionalFormatting>
  <conditionalFormatting sqref="J19">
    <cfRule type="expression" dxfId="136" priority="1">
      <formula>WEEKDAY(L$3,2)&gt;5</formula>
    </cfRule>
  </conditionalFormatting>
  <conditionalFormatting sqref="H20">
    <cfRule type="expression" dxfId="136" priority="8">
      <formula>WEEKDAY(H$3,2)&gt;5</formula>
    </cfRule>
  </conditionalFormatting>
  <conditionalFormatting sqref="X25">
    <cfRule type="expression" dxfId="136" priority="4">
      <formula>WEEKDAY(AA$3,2)&gt;5</formula>
    </cfRule>
    <cfRule type="expression" dxfId="136" priority="5">
      <formula>WEEKDAY(Z$3,2)&gt;5</formula>
    </cfRule>
  </conditionalFormatting>
  <conditionalFormatting sqref="AF25">
    <cfRule type="expression" dxfId="136" priority="6">
      <formula>WEEKDAY(AG$3,2)&gt;5</formula>
    </cfRule>
    <cfRule type="expression" dxfId="136" priority="7">
      <formula>WEEKDAY(AF$3,2)&gt;5</formula>
    </cfRule>
  </conditionalFormatting>
  <conditionalFormatting sqref="K30">
    <cfRule type="expression" dxfId="136" priority="10">
      <formula>WEEKDAY(M$3,2)&gt;5</formula>
    </cfRule>
  </conditionalFormatting>
  <conditionalFormatting sqref="T2:X40 C3:S40 Y3:AH40">
    <cfRule type="expression" dxfId="136" priority="72">
      <formula>WEEKDAY(T$3,2)&gt;5</formula>
    </cfRule>
  </conditionalFormatting>
  <conditionalFormatting sqref="J4:J47 AA4:AA47 C5:I47 K5:Z47 AB5:AH47">
    <cfRule type="cellIs" dxfId="137" priority="57" operator="equal">
      <formula>"B"</formula>
    </cfRule>
    <cfRule type="cellIs" dxfId="137" priority="58" operator="equal">
      <formula>"AL"</formula>
    </cfRule>
    <cfRule type="cellIs" dxfId="138" priority="59" operator="equal">
      <formula>"DM"</formula>
    </cfRule>
    <cfRule type="cellIs" dxfId="139" priority="60" operator="equal">
      <formula>"CS1"</formula>
    </cfRule>
    <cfRule type="cellIs" dxfId="140" priority="61" operator="equal">
      <formula>"CS2"</formula>
    </cfRule>
    <cfRule type="cellIs" dxfId="141" priority="62" operator="equal">
      <formula>"SB1"</formula>
    </cfRule>
    <cfRule type="cellIs" dxfId="142" priority="63" operator="equal">
      <formula>"SB2"</formula>
    </cfRule>
    <cfRule type="cellIs" dxfId="143" priority="64" operator="equal">
      <formula>"AE"</formula>
    </cfRule>
  </conditionalFormatting>
  <conditionalFormatting sqref="J4:J40 AA4:AA40 C5:I40 K5:Z40 AB5:AH40">
    <cfRule type="cellIs" dxfId="137" priority="66" operator="equal">
      <formula>"DB"</formula>
    </cfRule>
    <cfRule type="containsText" dxfId="144" priority="67" operator="between" text="$AM">
      <formula>NOT(ISERROR(SEARCH("$AM",C4)))</formula>
    </cfRule>
    <cfRule type="containsText" dxfId="145" priority="68" operator="between" text="$PM">
      <formula>NOT(ISERROR(SEARCH("$PM",C4)))</formula>
    </cfRule>
    <cfRule type="containsText" dxfId="146" priority="69" operator="between" text="$L">
      <formula>NOT(ISERROR(SEARCH("$L",C4)))</formula>
    </cfRule>
    <cfRule type="containsText" dxfId="147" priority="70" operator="between" text="$BTP">
      <formula>NOT(ISERROR(SEARCH("$BTP",C4)))</formula>
    </cfRule>
    <cfRule type="containsText" dxfId="148" priority="71" operator="between" text="$M">
      <formula>NOT(ISERROR(SEARCH("$M",C4)))</formula>
    </cfRule>
    <cfRule type="containsText" dxfId="149" priority="73" operator="between" text="$N">
      <formula>NOT(ISERROR(SEARCH("$N",C4)))</formula>
    </cfRule>
    <cfRule type="containsText" dxfId="150" priority="74" operator="between" text="$FC">
      <formula>NOT(ISERROR(SEARCH("$FC",C4)))</formula>
    </cfRule>
    <cfRule type="containsText" dxfId="151" priority="75" operator="between" text="OAL">
      <formula>NOT(ISERROR(SEARCH("OAL",C4)))</formula>
    </cfRule>
    <cfRule type="containsText" dxfId="152" priority="76" operator="between" text="S+">
      <formula>NOT(ISERROR(SEARCH("S+",C4)))</formula>
    </cfRule>
    <cfRule type="containsText" dxfId="153" priority="77" operator="between" text="EX-D">
      <formula>NOT(ISERROR(SEARCH("EX-D",C4)))</formula>
    </cfRule>
  </conditionalFormatting>
  <conditionalFormatting sqref="J4:J25 C5:C25 D5:D23 E5:F25 G5:G9 H5:H25 I5:I28 K5:K21 L5:L25 M5:M26 N5:N25 O5:O8 P5 Q5:Q29 R5:R27 S5:S7 T5:T26 V5:V16 W5:X26 Y5:Y28 Z5 AA5:AA39 AB5:AB9 AC5:AC28 AD5:AE31 AF5:AF25 AG5:AG26 AH5 P7:P25 U7 Z7:Z28 AH7:AH25 S9:S29 U9:U14 O10:O11 G11:G25 AB11:AB39 O13:O29 U16:U26 V18:V27 K23:K25 D26:D27 E27:E28 F27:F29 H27:H29 L27 N27:N31 AF27 AH27 G28 K28:K30 P28:P29 T28:U29 W28:W29 J29:J30 M29:M31 R29:R30 V29 AF29:AF31 G30:G31 L30 Z30:Z39 AC30:AC39 AG30:AH30 E31:F31 H31:I31 O31:Q31 S31:S38 U31:U38 W31:W38 X31 T32:T38 V32:V38 Y32:Y39 U40">
    <cfRule type="containsText" dxfId="154" priority="78" operator="between" text="VACC">
      <formula>NOT(ISERROR(SEARCH("VACC",C4)))</formula>
    </cfRule>
  </conditionalFormatting>
  <conditionalFormatting sqref="C5:C14 D5:D13 E5:F5 I5 M5:M8 P5:Q5 R5:R6 W5:Y5 AA5 AG5:AG13 AH5 H6:H9 O6:O7 S6 V6:V7 E7:E8 F7:F10 G7:G9 N7 T7:U7 W7 AD7:AF9 K8:L8 P8:P9 Q8 I9 U9:U10 W9:X10 Y9:Y11 AA9 AC9 E10 K10:K13 O10:O11 R10 V10 H11:H12 J11:J12 L11:L13 P11 Q11:Q12 AA11 AC11 AE11:AE13 E12:E13 F12:G12 I12 M12:N12 S12 V12 X12 W13 AA13 H14:H15 S14 D15:D16 I15:J15 L15 O15 V15 AG15:AG16 C16:C25 G16 P16:P17 Q16:Q18 R16 E17:E18 J17 X17 F18:F19 H18:I18 K18 U18 Y18:Y19 AD18 AE18:AG19 J19 N19 X19 E20:E22 G20 I20:I22 T20 D21:D22 J21 L21 Q21 U21:U22 X21 Z21 AG21 P22 AF22 Q23:Q24 R23:R25 E24:F25 I24 J24:K25 M24:M26 P24 S24:U24 V24:V25 W24:X24 Y24:Y26 Z24 L25 AE25:AG25 D26 O26 X26 I27 V27 Z28 K29 N29 L30 G31 Q31 W31">
    <cfRule type="cellIs" dxfId="137" priority="13" operator="equal">
      <formula>"B"</formula>
    </cfRule>
    <cfRule type="cellIs" dxfId="137" priority="14" operator="equal">
      <formula>"AL"</formula>
    </cfRule>
    <cfRule type="cellIs" dxfId="138" priority="15" operator="equal">
      <formula>"DM"</formula>
    </cfRule>
    <cfRule type="cellIs" dxfId="139" priority="16" operator="equal">
      <formula>"CS1"</formula>
    </cfRule>
    <cfRule type="cellIs" dxfId="140" priority="17" operator="equal">
      <formula>"CS2"</formula>
    </cfRule>
    <cfRule type="cellIs" dxfId="141" priority="18" operator="equal">
      <formula>"SB1"</formula>
    </cfRule>
    <cfRule type="cellIs" dxfId="142" priority="19" operator="equal">
      <formula>"SB2"</formula>
    </cfRule>
    <cfRule type="cellIs" dxfId="143" priority="20" operator="equal">
      <formula>"AE"</formula>
    </cfRule>
    <cfRule type="cellIs" dxfId="137" priority="21" operator="equal">
      <formula>"DB"</formula>
    </cfRule>
    <cfRule type="containsText" dxfId="144" priority="22" operator="between" text="$AM">
      <formula>NOT(ISERROR(SEARCH("$AM",C5)))</formula>
    </cfRule>
    <cfRule type="containsText" dxfId="145" priority="23" operator="between" text="$PM">
      <formula>NOT(ISERROR(SEARCH("$PM",C5)))</formula>
    </cfRule>
    <cfRule type="containsText" dxfId="146" priority="24" operator="between" text="$L">
      <formula>NOT(ISERROR(SEARCH("$L",C5)))</formula>
    </cfRule>
    <cfRule type="containsText" dxfId="147" priority="25" operator="between" text="$BTP">
      <formula>NOT(ISERROR(SEARCH("$BTP",C5)))</formula>
    </cfRule>
    <cfRule type="containsText" dxfId="148" priority="26" operator="between" text="$M">
      <formula>NOT(ISERROR(SEARCH("$M",C5)))</formula>
    </cfRule>
    <cfRule type="containsText" dxfId="149" priority="27" operator="between" text="$N">
      <formula>NOT(ISERROR(SEARCH("$N",C5)))</formula>
    </cfRule>
    <cfRule type="containsText" dxfId="150" priority="28" operator="between" text="$FC">
      <formula>NOT(ISERROR(SEARCH("$FC",C5)))</formula>
    </cfRule>
    <cfRule type="containsText" dxfId="151" priority="29" operator="between" text="OAL">
      <formula>NOT(ISERROR(SEARCH("OAL",C5)))</formula>
    </cfRule>
    <cfRule type="containsText" dxfId="152" priority="30" operator="between" text="S+">
      <formula>NOT(ISERROR(SEARCH("S+",C5)))</formula>
    </cfRule>
    <cfRule type="containsText" dxfId="153" priority="31" operator="between" text="EX-D">
      <formula>NOT(ISERROR(SEARCH("EX-D",C5)))</formula>
    </cfRule>
  </conditionalFormatting>
  <conditionalFormatting sqref="D5:D13 E5:F5 I5 P5:Q5 R5:R6 W5:Y5 AA5 AG5:AG13 AH5 C6:C14 H6:H9 M6:M8 S6 V6:V7 E7:E8 F7:F10 G7:G9 N7:O7 T7:U7 W7 AD7:AF9 K8:L8 P8:P9 Q8 I9 U9:U10 W9:X10 Y9:Y11 AA9 AC9 E10 K10:K13 O10:O11 R10 V10 J11:J12 L11:L13 P11 Q11:Q12 AA11 AC11 AE11:AE13 E12:E13 F12:I12 M12:N12 S12 V12 X12 W13 AA13 H14:H15 S14 D15:D16 I15:J15 L15 V15 AG15:AG16 C16 G16 P16:P17 Q16:R16 E17:E18 J17 X17 C18:C23 F18:F19 H18:I18 K18 Q18 U18 Y18:Y19 AD18 AE18:AG19 N19 X19 E20:E22 G20 I20:I22 T20 J21 L21 Q21 X21 Z21 AG21 D22 P22 U22 AF22 Q23:Q24 R23:R25 D24 E24:F25 I24 K24:K26 O24:P24 S24:X24 Y24:Y26 Z24 J25 L25:M25 AE25:AG25 D26 X26 Z26 AB26 I27 P27 V27 W27:W28 Z28 K29 N29 Y29 C30 R30 G31 Q31 W31">
    <cfRule type="expression" dxfId="136" priority="32">
      <formula>WEEKDAY(#REF!,2)&gt;5</formula>
    </cfRule>
  </conditionalFormatting>
  <conditionalFormatting sqref="C5:C25 D5:D23 E5:F25 G5:G9 H5:H25 I5:I28 J5:J25 K5:K21 L5:L25 M5:M26 N5:N25 O5:O8 P5 Q5:Q29 R5:R25 S5:T7 V5:V16 W5:W17 X5:X26 Y5:Y28 Z5 AA5:AA39 AB5:AB9 AC5:AC28 AD5:AE31 AF5:AF25 AG5:AG26 AH5 P7:P25 U7 Z7:Z28 AH7:AH25 S9:S29 T9:T22 U9:U14 O10:O11 G11:G25 AB11:AB39 O13:O29 U16 U18:U26 V18:V27 W19:W26 K23:K25 T24:T26 D26:D27 E27:E28 F27:F29 H27:H29 L27 N27:N31 AF27 AH27 G28 K28:K30 P28:P29 T28:T29 U28 J29:J30 M29:M31 R29:R30 V29:W29 AF29:AF31 G30:G31 L30 Z30:Z39 AC30:AC39 AG30 E31:F31 H31:I31 O31:Q31 S31:S38 U31:U38 W31:W38 X31 T32:T38 V32:V38 Y32:Y39 U40">
    <cfRule type="cellIs" dxfId="137" priority="36" operator="equal">
      <formula>"B"</formula>
    </cfRule>
    <cfRule type="cellIs" dxfId="137" priority="37" operator="equal">
      <formula>"AL"</formula>
    </cfRule>
    <cfRule type="cellIs" dxfId="138" priority="38" operator="equal">
      <formula>"DM"</formula>
    </cfRule>
    <cfRule type="cellIs" dxfId="139" priority="39" operator="equal">
      <formula>"CS1"</formula>
    </cfRule>
    <cfRule type="cellIs" dxfId="140" priority="40" operator="equal">
      <formula>"CS2"</formula>
    </cfRule>
    <cfRule type="cellIs" dxfId="141" priority="41" operator="equal">
      <formula>"SB1"</formula>
    </cfRule>
    <cfRule type="cellIs" dxfId="142" priority="42" operator="equal">
      <formula>"SB2"</formula>
    </cfRule>
    <cfRule type="cellIs" dxfId="143" priority="43" operator="equal">
      <formula>"AE"</formula>
    </cfRule>
    <cfRule type="cellIs" dxfId="137" priority="45" operator="equal">
      <formula>"DB"</formula>
    </cfRule>
    <cfRule type="containsText" dxfId="144" priority="46" operator="between" text="$AM">
      <formula>NOT(ISERROR(SEARCH("$AM",C5)))</formula>
    </cfRule>
    <cfRule type="containsText" dxfId="145" priority="47" operator="between" text="$PM">
      <formula>NOT(ISERROR(SEARCH("$PM",C5)))</formula>
    </cfRule>
    <cfRule type="containsText" dxfId="146" priority="48" operator="between" text="$L">
      <formula>NOT(ISERROR(SEARCH("$L",C5)))</formula>
    </cfRule>
    <cfRule type="containsText" dxfId="147" priority="49" operator="between" text="$BTP">
      <formula>NOT(ISERROR(SEARCH("$BTP",C5)))</formula>
    </cfRule>
    <cfRule type="containsText" dxfId="148" priority="50" operator="between" text="$M">
      <formula>NOT(ISERROR(SEARCH("$M",C5)))</formula>
    </cfRule>
    <cfRule type="containsText" dxfId="149" priority="51" operator="between" text="$N">
      <formula>NOT(ISERROR(SEARCH("$N",C5)))</formula>
    </cfRule>
    <cfRule type="containsText" dxfId="150" priority="52" operator="between" text="$FC">
      <formula>NOT(ISERROR(SEARCH("$FC",C5)))</formula>
    </cfRule>
    <cfRule type="containsText" dxfId="151" priority="53" operator="between" text="OAL">
      <formula>NOT(ISERROR(SEARCH("OAL",C5)))</formula>
    </cfRule>
    <cfRule type="containsText" dxfId="152" priority="54" operator="between" text="S+">
      <formula>NOT(ISERROR(SEARCH("S+",C5)))</formula>
    </cfRule>
    <cfRule type="containsText" dxfId="153" priority="55" operator="between" text="EX-D">
      <formula>NOT(ISERROR(SEARCH("EX-D",C5)))</formula>
    </cfRule>
  </conditionalFormatting>
  <conditionalFormatting sqref="C5:C25 D5:D27 E5:F25 G5:G9 H5:H25 I5:I28 J5:J25 K5:K21 L5:L25 M5:M26 N5:N25 O5:O8 P5 Q5:Q29 R5:R25 S5:T7 V5:V16 W5:W17 X5:X26 Y5:Y29 Z5 AA5:AA39 AB5:AB9 AC5:AC28 AD5:AE31 AF5:AF25 AG5:AG26 AH5 P7:P25 U7 Z7:Z28 AH7:AH25 S9:S29 T9:T22 U9:U14 O10:O11 G11:G25 AB11:AB39 O13:O29 U16 U18:U26 V18:V27 W19:W29 K23:K26 T24:T26 E27:E28 F27:F29 H27:H29 L27 N27:N31 P27:P29 AF27 AH27 G28 K28:K30 T28:T29 U28 J29:J30 M29:M31 R29:R30 V29 AF29:AF31 C30 G30:G31 L30 Z30:Z39 AC30:AC39 AG30 E31:F31 H31:I31 O31:Q31 S31:S38 U31:U38 W31:W38 X31 T32:T38 V32:V38 Y32:Y39 U40">
    <cfRule type="containsText" dxfId="154" priority="44" operator="between" text="VACC">
      <formula>NOT(ISERROR(SEARCH("VACC",C5)))</formula>
    </cfRule>
  </conditionalFormatting>
  <conditionalFormatting sqref="C5:C25 D5:D23 E5:F25 G5:G9 H5:H25 I5:I28 J5:J25 K5:K21 L5:L25 M5:M26 N5:N25 O5:O8 P5 Q5:Q29 R5:R6 S5:T7 V5:V16 W5:W17 X5:X26 Y5:Y28 Z5 AA5:AA39 AB5:AB9 AC5:AC28 AD5:AE31 AF5:AF12 AG5:AG26 AH5 P7:P25 U7 Z7:Z28 AH7:AH14 R8:R25 S9:S29 T9:T22 U9:U14 O10:O11 G11:G25 AB11:AB39 O13:O29 AF14:AF25 U16 AH16:AH25 U18:U26 V18:V27 W19:W26 K23:K25 T24:T26 D26:D27 E27:E28 F27:F29 H27:H29 L27 N27:N31 AF27 AH27 G28 K28:K30 P28:P29 T28:T29 U28 J29:J30 M29:M31 R29:R30 V29:W29 AF29:AF31 G30:G31 L30 Z30:Z39 AC30:AC39 AG30 E31:F31 H31:I31 O31:Q31 S31:S38 U31:U38 W31:W38 X31 T32:T38 V32:V38 Y32:Y39 U40">
    <cfRule type="expression" dxfId="136" priority="56">
      <formula>WEEKDAY(#REF!,2)&gt;5</formula>
    </cfRule>
  </conditionalFormatting>
  <conditionalFormatting sqref="BP5:BQ40">
    <cfRule type="cellIs" dxfId="155" priority="65" operator="lessThan">
      <formula>1</formula>
    </cfRule>
  </conditionalFormatting>
  <conditionalFormatting sqref="AA6 U7 AB9 F11 C12 U12:W12 Z12 F13 T13 AB17 C19 T19:U19 T22 E25">
    <cfRule type="expression" dxfId="136" priority="33">
      <formula>WEEKDAY(AC$3,2)&gt;5</formula>
    </cfRule>
  </conditionalFormatting>
  <conditionalFormatting sqref="AA6 U7 AB9 P12 U12:W12 Z12 AB12 T13 AB17 T19:U19 T22 AA22 G24 P24 E25 F28 U40">
    <cfRule type="expression" dxfId="136" priority="34">
      <formula>WEEKDAY(AB$3,2)&gt;5</formula>
    </cfRule>
  </conditionalFormatting>
  <conditionalFormatting sqref="C9 E11:F11 C12 F13 C19 C23">
    <cfRule type="expression" dxfId="136" priority="35">
      <formula>WEEKDAY(E$3,2)&gt;5</formula>
    </cfRule>
  </conditionalFormatting>
  <conditionalFormatting sqref="T18 D24 C25">
    <cfRule type="expression" dxfId="136" priority="2">
      <formula>WEEKDAY(U$3,2)&gt;5</formula>
    </cfRule>
  </conditionalFormatting>
  <dataValidations count="2">
    <dataValidation type="list" allowBlank="1" sqref="D5:G5 I5:M5 P5:R5 T5 W5:AB5 AG5:AH5 C6:D6 F6 H6:K6 M6:O6 Q6:T6 V6:AB6 AG6 D7:H7 J7:K7 M7:Q7 S7:X7 Z7:AH7 C8 E8:M8 O8:R8 U8 W8:X8 AB8:AH8 M9:N9 P9:Q9 S9 U9:Y9 AA9 M10:O10 R10:S10 U10:AA10 D11:H11 J11:M11 P11:R11 T11 V11:AE11 AG11:AH11 C12:Z12 AB12:AH12 H13:P13 R13:X13 AA13:AE13 AG13:AH13 H14:K14 M14:N14 Q14 S14 V14:AH14 D15:G15 I15:L15 N15:O15 R15:S15 V15:AA15 AC15:AH15 C16:G16 I16:J16 L16 N16:W16 Y16:AA16 AC16:AE16 AG16:AH16 C17:J17 T17:AH17 C18:E18 G18:I18 K18:L18 S18:AH18 C19:K19 N19:R19 T19:U19 W19:Z19 C20:Z20 C21:E21 G21:L21 O21:S21 U21:AG21 C22:I22 L22 P22:Q22 S22:U22 W22:Y22 AA22 AC22 C23:H23 J23:L23 O23:S23 U23:AC23 D24:H24 K24:Z24 AB24:AC24 AE24:AH24 C25 E25:F25 H25:AH25 C26:M26 O26 Q26:AE26 AG26:AH26 C27 E27 G27:J27 L27:Q27 S27:T27 V27:W27 Y27:AB27 AD27:AF27 C28:D28 F28:J28 L28 N28:P28 R28:Z28 AB28:AD28 AF28 C29:F29 H29:T29 V29:AH29 C30:G30 I30:L30 N30 P30:T30 V30 X30:AH30 D31 G31:I31 K31:N31 P31:Q31 S31 U31:X31 Z31:AF31 Z32:AB32 T39 V39 X39 C40:L40 S40:AH40 N17:N18 AD5:AD6 AH27:AH28 C9:G10 C13:F14 C32:D39 I9:K10 J32:L39 N32:P40 P17:Q18 S32:X38 Z34:AB36 AB19:AH20 AC9:AH10 AD32:AH39 AF22:AH23" showDropDown="1">
      <formula1>'Setting key Duty'!$B$7:$B$56</formula1>
    </dataValidation>
    <dataValidation type="list" allowBlank="1" sqref="C41:AH47" showDropDown="1">
      <formula1>'Setting key Duty'!$B$7:$B$23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BQ48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C5" sqref="C5"/>
    </sheetView>
  </sheetViews>
  <sheetFormatPr defaultColWidth="12.6285714285714" defaultRowHeight="15.75" customHeight="1"/>
  <cols>
    <col min="1" max="1" width="2.13333333333333" customWidth="1"/>
    <col min="2" max="2" width="29.752380952381" customWidth="1"/>
    <col min="3" max="11" width="9.24761904761905" customWidth="1"/>
    <col min="12" max="12" width="9.38095238095238" customWidth="1"/>
    <col min="13" max="13" width="10.6285714285714" customWidth="1"/>
    <col min="14" max="14" width="9.24761904761905" customWidth="1"/>
    <col min="15" max="15" width="10" customWidth="1"/>
    <col min="16" max="17" width="9.24761904761905" customWidth="1"/>
    <col min="18" max="18" width="9.62857142857143" customWidth="1"/>
    <col min="19" max="19" width="9.13333333333333" customWidth="1"/>
    <col min="20" max="26" width="9.24761904761905" customWidth="1"/>
    <col min="27" max="27" width="10.5047619047619" customWidth="1"/>
    <col min="28" max="30" width="9.24761904761905" customWidth="1"/>
    <col min="31" max="31" width="10.5047619047619" customWidth="1"/>
    <col min="32" max="32" width="9.38095238095238" customWidth="1"/>
    <col min="33" max="34" width="9.24761904761905" customWidth="1"/>
    <col min="35" max="41" width="9.38095238095238" hidden="1" customWidth="1" outlineLevel="1"/>
    <col min="42" max="42" width="6.75238095238095" customWidth="1" collapsed="1"/>
    <col min="43" max="43" width="8.87619047619048" customWidth="1" outlineLevel="1"/>
    <col min="44" max="44" width="7.87619047619048" customWidth="1" outlineLevel="1"/>
    <col min="45" max="45" width="9.13333333333333" customWidth="1" outlineLevel="1"/>
    <col min="46" max="46" width="8.24761904761905" customWidth="1" outlineLevel="1"/>
    <col min="47" max="47" width="5.5047619047619" customWidth="1" outlineLevel="1"/>
    <col min="48" max="50" width="9.38095238095238" customWidth="1"/>
    <col min="51" max="58" width="9.38095238095238" customWidth="1" outlineLevel="1"/>
    <col min="59" max="59" width="10" customWidth="1" outlineLevel="1"/>
    <col min="60" max="65" width="9.38095238095238" customWidth="1" outlineLevel="1"/>
    <col min="66" max="66" width="9.38095238095238" customWidth="1"/>
    <col min="67" max="67" width="9.5047619047619" customWidth="1"/>
    <col min="68" max="69" width="9.38095238095238" customWidth="1"/>
  </cols>
  <sheetData>
    <row r="1" ht="3" customHeight="1" spans="1:69">
      <c r="A1" s="284"/>
      <c r="B1" s="285" t="s">
        <v>0</v>
      </c>
      <c r="C1" s="286" t="str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>
  Enter DM for DM, CS1 for CS1, CS2 for CS2, and SB1 for SB1. Use the 'Setting key' tab to customise. Change Date on highlighted cell
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0"/>
      <c r="BE1" s="290"/>
      <c r="BF1" s="290"/>
      <c r="BG1" s="290"/>
      <c r="BH1" s="290"/>
      <c r="BI1" s="290"/>
      <c r="BJ1" s="290"/>
      <c r="BK1" s="290"/>
      <c r="BL1" s="290"/>
      <c r="BM1" s="290"/>
      <c r="BN1" s="290"/>
      <c r="BO1" s="290"/>
      <c r="BP1" s="290"/>
      <c r="BQ1" s="291"/>
    </row>
    <row r="2" ht="26.25" customHeight="1" spans="1:69">
      <c r="A2" s="292"/>
      <c r="B2" s="24" t="s">
        <v>1</v>
      </c>
      <c r="C2" s="167" t="s">
        <v>9</v>
      </c>
      <c r="D2" s="167" t="s">
        <v>197</v>
      </c>
      <c r="E2" s="167" t="s">
        <v>197</v>
      </c>
      <c r="F2" s="167" t="s">
        <v>197</v>
      </c>
      <c r="G2" s="167"/>
      <c r="H2" s="167"/>
      <c r="I2" s="167" t="s">
        <v>372</v>
      </c>
      <c r="J2" s="167" t="s">
        <v>14</v>
      </c>
      <c r="K2" s="167" t="s">
        <v>273</v>
      </c>
      <c r="L2" s="167"/>
      <c r="M2" s="167" t="s">
        <v>271</v>
      </c>
      <c r="N2" s="167"/>
      <c r="O2" s="167"/>
      <c r="P2" s="167" t="s">
        <v>373</v>
      </c>
      <c r="Q2" s="167" t="s">
        <v>205</v>
      </c>
      <c r="R2" s="167"/>
      <c r="S2" s="167" t="s">
        <v>12</v>
      </c>
      <c r="T2" s="168" t="s">
        <v>374</v>
      </c>
      <c r="U2" s="167"/>
      <c r="V2" s="167"/>
      <c r="W2" s="167" t="s">
        <v>15</v>
      </c>
      <c r="X2" s="167"/>
      <c r="Y2" s="167"/>
      <c r="Z2" s="167"/>
      <c r="AA2" s="294"/>
      <c r="AB2" s="167"/>
      <c r="AC2" s="167"/>
      <c r="AD2" s="167"/>
      <c r="AE2" s="167"/>
      <c r="AF2" s="167"/>
      <c r="AG2" s="167" t="s">
        <v>375</v>
      </c>
      <c r="AH2" s="258"/>
      <c r="AI2" s="218"/>
      <c r="AJ2" s="218"/>
      <c r="AK2" s="218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  <c r="AX2" s="295"/>
      <c r="AY2" s="295"/>
      <c r="AZ2" s="295"/>
      <c r="BA2" s="296" t="s">
        <v>16</v>
      </c>
      <c r="BB2" s="296"/>
      <c r="BC2" s="296" t="s">
        <v>17</v>
      </c>
      <c r="BD2" s="296"/>
      <c r="BE2" s="296" t="s">
        <v>18</v>
      </c>
      <c r="BF2" s="296"/>
      <c r="BG2" s="296"/>
      <c r="BH2" s="296" t="s">
        <v>19</v>
      </c>
      <c r="BI2" s="296"/>
      <c r="BJ2" s="296" t="s">
        <v>20</v>
      </c>
      <c r="BK2" s="296"/>
      <c r="BL2" s="296"/>
      <c r="BM2" s="296"/>
      <c r="BN2" s="295"/>
      <c r="BO2" s="295"/>
      <c r="BP2" s="295"/>
      <c r="BQ2" s="297"/>
    </row>
    <row r="3" ht="26.25" customHeight="1" spans="1:69">
      <c r="A3" s="292"/>
      <c r="B3" s="24" t="s">
        <v>21</v>
      </c>
      <c r="C3" s="380">
        <v>45748</v>
      </c>
      <c r="D3" s="299">
        <f t="shared" ref="D3:AH3" si="0">C3+1</f>
        <v>45749</v>
      </c>
      <c r="E3" s="299">
        <f t="shared" si="0"/>
        <v>45750</v>
      </c>
      <c r="F3" s="299">
        <f t="shared" si="0"/>
        <v>45751</v>
      </c>
      <c r="G3" s="299">
        <f t="shared" si="0"/>
        <v>45752</v>
      </c>
      <c r="H3" s="299">
        <f t="shared" si="0"/>
        <v>45753</v>
      </c>
      <c r="I3" s="299">
        <f t="shared" si="0"/>
        <v>45754</v>
      </c>
      <c r="J3" s="299">
        <f t="shared" si="0"/>
        <v>45755</v>
      </c>
      <c r="K3" s="299">
        <f t="shared" si="0"/>
        <v>45756</v>
      </c>
      <c r="L3" s="299">
        <f t="shared" si="0"/>
        <v>45757</v>
      </c>
      <c r="M3" s="299">
        <f t="shared" si="0"/>
        <v>45758</v>
      </c>
      <c r="N3" s="299">
        <f t="shared" si="0"/>
        <v>45759</v>
      </c>
      <c r="O3" s="299">
        <f t="shared" si="0"/>
        <v>45760</v>
      </c>
      <c r="P3" s="299">
        <f t="shared" si="0"/>
        <v>45761</v>
      </c>
      <c r="Q3" s="299">
        <f t="shared" si="0"/>
        <v>45762</v>
      </c>
      <c r="R3" s="299">
        <f t="shared" si="0"/>
        <v>45763</v>
      </c>
      <c r="S3" s="299">
        <f t="shared" si="0"/>
        <v>45764</v>
      </c>
      <c r="T3" s="300">
        <f t="shared" si="0"/>
        <v>45765</v>
      </c>
      <c r="U3" s="299">
        <f t="shared" si="0"/>
        <v>45766</v>
      </c>
      <c r="V3" s="299">
        <f t="shared" si="0"/>
        <v>45767</v>
      </c>
      <c r="W3" s="299">
        <f t="shared" si="0"/>
        <v>45768</v>
      </c>
      <c r="X3" s="299">
        <f t="shared" si="0"/>
        <v>45769</v>
      </c>
      <c r="Y3" s="299">
        <f t="shared" si="0"/>
        <v>45770</v>
      </c>
      <c r="Z3" s="299">
        <f t="shared" si="0"/>
        <v>45771</v>
      </c>
      <c r="AA3" s="299">
        <f t="shared" si="0"/>
        <v>45772</v>
      </c>
      <c r="AB3" s="299">
        <f t="shared" si="0"/>
        <v>45773</v>
      </c>
      <c r="AC3" s="299">
        <f t="shared" si="0"/>
        <v>45774</v>
      </c>
      <c r="AD3" s="299">
        <f t="shared" si="0"/>
        <v>45775</v>
      </c>
      <c r="AE3" s="299">
        <f t="shared" si="0"/>
        <v>45776</v>
      </c>
      <c r="AF3" s="299">
        <f t="shared" si="0"/>
        <v>45777</v>
      </c>
      <c r="AG3" s="300">
        <f t="shared" si="0"/>
        <v>45778</v>
      </c>
      <c r="AH3" s="299">
        <f t="shared" si="0"/>
        <v>45779</v>
      </c>
      <c r="AI3" s="221" t="str">
        <f>'Setting key Duty'!$C7</f>
        <v>DM</v>
      </c>
      <c r="AJ3" s="222" t="str">
        <f>'Setting key Duty'!$C8</f>
        <v>CS1</v>
      </c>
      <c r="AK3" s="223" t="str">
        <f>'Setting key Duty'!$C9</f>
        <v>CS2</v>
      </c>
      <c r="AL3" s="302" t="str">
        <f>'Setting key Duty'!$C11</f>
        <v>SB1</v>
      </c>
      <c r="AM3" s="302" t="str">
        <f>'Setting key Duty'!$C12</f>
        <v>SB2</v>
      </c>
      <c r="AN3" s="302" t="str">
        <f>'Setting key Duty'!$C13</f>
        <v>AE</v>
      </c>
      <c r="AO3" s="302" t="str">
        <f>'Setting key Duty'!C14</f>
        <v>EM</v>
      </c>
      <c r="AP3" s="223"/>
      <c r="AQ3" s="223" t="s">
        <v>22</v>
      </c>
      <c r="AR3" s="223" t="s">
        <v>23</v>
      </c>
      <c r="AS3" s="223" t="s">
        <v>24</v>
      </c>
      <c r="AT3" s="223" t="s">
        <v>25</v>
      </c>
      <c r="AU3" s="223" t="s">
        <v>26</v>
      </c>
      <c r="AV3" s="223" t="s">
        <v>27</v>
      </c>
      <c r="AW3" s="223" t="s">
        <v>28</v>
      </c>
      <c r="AX3" s="223" t="s">
        <v>29</v>
      </c>
      <c r="AY3" s="223" t="s">
        <v>30</v>
      </c>
      <c r="AZ3" s="223" t="s">
        <v>31</v>
      </c>
      <c r="BA3" s="302" t="s">
        <v>32</v>
      </c>
      <c r="BB3" s="302" t="s">
        <v>33</v>
      </c>
      <c r="BC3" s="302" t="s">
        <v>34</v>
      </c>
      <c r="BD3" s="302" t="s">
        <v>35</v>
      </c>
      <c r="BE3" s="302" t="s">
        <v>36</v>
      </c>
      <c r="BF3" s="302" t="s">
        <v>37</v>
      </c>
      <c r="BG3" s="302" t="s">
        <v>38</v>
      </c>
      <c r="BH3" s="302" t="s">
        <v>39</v>
      </c>
      <c r="BI3" s="302" t="s">
        <v>40</v>
      </c>
      <c r="BJ3" s="302" t="s">
        <v>41</v>
      </c>
      <c r="BK3" s="302" t="s">
        <v>42</v>
      </c>
      <c r="BL3" s="302" t="str">
        <f>'Setting key Duty'!C52</f>
        <v>Field Camp</v>
      </c>
      <c r="BM3" s="302" t="s">
        <v>43</v>
      </c>
      <c r="BN3" s="302" t="str">
        <f>'Setting key Duty'!$C15</f>
        <v>Block</v>
      </c>
      <c r="BO3" s="302" t="str">
        <f>'Setting key Duty'!C17</f>
        <v>Reserve</v>
      </c>
      <c r="BP3" s="302" t="str">
        <f>'Setting key Duty'!$C22</f>
        <v>AL</v>
      </c>
      <c r="BQ3" s="297"/>
    </row>
    <row r="4" ht="18" customHeight="1" spans="1:69">
      <c r="A4" s="303"/>
      <c r="B4" s="260" t="s">
        <v>156</v>
      </c>
      <c r="C4" s="305" t="str">
        <f t="shared" ref="C4:AH4" si="1">TEXT(C3,"ddd")</f>
        <v>Tue</v>
      </c>
      <c r="D4" s="305" t="str">
        <f t="shared" si="1"/>
        <v>Wed</v>
      </c>
      <c r="E4" s="305" t="str">
        <f t="shared" si="1"/>
        <v>Thu</v>
      </c>
      <c r="F4" s="305" t="str">
        <f t="shared" si="1"/>
        <v>Fri</v>
      </c>
      <c r="G4" s="305" t="str">
        <f t="shared" si="1"/>
        <v>Sat</v>
      </c>
      <c r="H4" s="305" t="str">
        <f t="shared" si="1"/>
        <v>Sun</v>
      </c>
      <c r="I4" s="305" t="str">
        <f t="shared" si="1"/>
        <v>Mon</v>
      </c>
      <c r="J4" s="305" t="str">
        <f t="shared" si="1"/>
        <v>Tue</v>
      </c>
      <c r="K4" s="305" t="str">
        <f t="shared" si="1"/>
        <v>Wed</v>
      </c>
      <c r="L4" s="305" t="str">
        <f t="shared" si="1"/>
        <v>Thu</v>
      </c>
      <c r="M4" s="305" t="str">
        <f t="shared" si="1"/>
        <v>Fri</v>
      </c>
      <c r="N4" s="305" t="str">
        <f t="shared" si="1"/>
        <v>Sat</v>
      </c>
      <c r="O4" s="305" t="str">
        <f t="shared" si="1"/>
        <v>Sun</v>
      </c>
      <c r="P4" s="305" t="str">
        <f t="shared" si="1"/>
        <v>Mon</v>
      </c>
      <c r="Q4" s="305" t="str">
        <f t="shared" si="1"/>
        <v>Tue</v>
      </c>
      <c r="R4" s="305" t="str">
        <f t="shared" si="1"/>
        <v>Wed</v>
      </c>
      <c r="S4" s="305" t="str">
        <f t="shared" si="1"/>
        <v>Thu</v>
      </c>
      <c r="T4" s="304" t="str">
        <f t="shared" si="1"/>
        <v>Fri</v>
      </c>
      <c r="U4" s="305" t="str">
        <f t="shared" si="1"/>
        <v>Sat</v>
      </c>
      <c r="V4" s="305" t="str">
        <f t="shared" si="1"/>
        <v>Sun</v>
      </c>
      <c r="W4" s="305" t="str">
        <f t="shared" si="1"/>
        <v>Mon</v>
      </c>
      <c r="X4" s="305" t="str">
        <f t="shared" si="1"/>
        <v>Tue</v>
      </c>
      <c r="Y4" s="305" t="str">
        <f t="shared" si="1"/>
        <v>Wed</v>
      </c>
      <c r="Z4" s="305" t="str">
        <f t="shared" si="1"/>
        <v>Thu</v>
      </c>
      <c r="AA4" s="305" t="str">
        <f t="shared" si="1"/>
        <v>Fri</v>
      </c>
      <c r="AB4" s="305" t="str">
        <f t="shared" si="1"/>
        <v>Sat</v>
      </c>
      <c r="AC4" s="305" t="str">
        <f t="shared" si="1"/>
        <v>Sun</v>
      </c>
      <c r="AD4" s="305" t="str">
        <f t="shared" si="1"/>
        <v>Mon</v>
      </c>
      <c r="AE4" s="305" t="str">
        <f t="shared" si="1"/>
        <v>Tue</v>
      </c>
      <c r="AF4" s="305" t="str">
        <f t="shared" si="1"/>
        <v>Wed</v>
      </c>
      <c r="AG4" s="304" t="str">
        <f t="shared" si="1"/>
        <v>Thu</v>
      </c>
      <c r="AH4" s="305" t="str">
        <f t="shared" si="1"/>
        <v>Fri</v>
      </c>
      <c r="AI4" s="227" t="str">
        <f>'Setting key Duty'!$B7</f>
        <v>DM</v>
      </c>
      <c r="AJ4" s="228" t="str">
        <f>'Setting key Duty'!$B8</f>
        <v>CS1</v>
      </c>
      <c r="AK4" s="229" t="str">
        <f>'Setting key Duty'!$B9</f>
        <v>CS2</v>
      </c>
      <c r="AL4" s="307" t="str">
        <f>'Setting key Duty'!$B11</f>
        <v>SB1</v>
      </c>
      <c r="AM4" s="307" t="str">
        <f>'Setting key Duty'!$B12</f>
        <v>SB2</v>
      </c>
      <c r="AN4" s="307" t="str">
        <f>'Setting key Duty'!$B13</f>
        <v>AE</v>
      </c>
      <c r="AO4" s="307" t="str">
        <f>'Setting key Duty'!B14</f>
        <v>EM</v>
      </c>
      <c r="AP4" s="307"/>
      <c r="AQ4" s="307"/>
      <c r="AR4" s="307"/>
      <c r="AS4" s="307"/>
      <c r="AT4" s="307"/>
      <c r="AU4" s="307"/>
      <c r="AV4" s="307"/>
      <c r="AW4" s="307"/>
      <c r="AX4" s="307"/>
      <c r="AY4" s="307"/>
      <c r="AZ4" s="307" t="s">
        <v>45</v>
      </c>
      <c r="BA4" s="307" t="s">
        <v>46</v>
      </c>
      <c r="BB4" s="307"/>
      <c r="BC4" s="307" t="s">
        <v>47</v>
      </c>
      <c r="BD4" s="307"/>
      <c r="BE4" s="307" t="s">
        <v>48</v>
      </c>
      <c r="BF4" s="307"/>
      <c r="BG4" s="307" t="s">
        <v>49</v>
      </c>
      <c r="BH4" s="307" t="s">
        <v>50</v>
      </c>
      <c r="BI4" s="307"/>
      <c r="BJ4" s="307" t="s">
        <v>51</v>
      </c>
      <c r="BK4" s="307"/>
      <c r="BL4" s="307" t="str">
        <f>'Setting key Duty'!B52</f>
        <v>$FC</v>
      </c>
      <c r="BM4" s="307"/>
      <c r="BN4" s="307">
        <f>'Setting key Duty'!$B15</f>
        <v>0</v>
      </c>
      <c r="BO4" s="307" t="str">
        <f>'Setting key Duty'!B17</f>
        <v>RESERVE</v>
      </c>
      <c r="BP4" s="307" t="str">
        <f>'Setting key Duty'!$B22</f>
        <v>AL</v>
      </c>
      <c r="BQ4" s="308"/>
    </row>
    <row r="5" ht="19.5" customHeight="1" spans="1:69">
      <c r="A5" s="309"/>
      <c r="B5" s="373" t="s">
        <v>119</v>
      </c>
      <c r="C5" s="197" t="s">
        <v>96</v>
      </c>
      <c r="D5" s="197" t="s">
        <v>350</v>
      </c>
      <c r="E5" s="197"/>
      <c r="F5" s="197" t="s">
        <v>376</v>
      </c>
      <c r="G5" s="197"/>
      <c r="H5" s="197"/>
      <c r="I5" s="197" t="s">
        <v>376</v>
      </c>
      <c r="J5" s="197" t="s">
        <v>376</v>
      </c>
      <c r="K5" s="197" t="s">
        <v>376</v>
      </c>
      <c r="L5" s="197" t="s">
        <v>376</v>
      </c>
      <c r="M5" s="197" t="s">
        <v>376</v>
      </c>
      <c r="N5" s="197"/>
      <c r="O5" s="197"/>
      <c r="P5" s="197" t="s">
        <v>376</v>
      </c>
      <c r="Q5" s="197" t="s">
        <v>376</v>
      </c>
      <c r="R5" s="197" t="s">
        <v>376</v>
      </c>
      <c r="S5" s="197" t="s">
        <v>376</v>
      </c>
      <c r="U5" s="197"/>
      <c r="V5" s="197"/>
      <c r="W5" s="197" t="s">
        <v>56</v>
      </c>
      <c r="X5" s="197"/>
      <c r="Z5" s="197" t="s">
        <v>58</v>
      </c>
      <c r="AA5" s="197" t="s">
        <v>350</v>
      </c>
      <c r="AB5" s="197"/>
      <c r="AC5" s="197" t="s">
        <v>56</v>
      </c>
      <c r="AD5" s="197"/>
      <c r="AE5" s="197" t="s">
        <v>59</v>
      </c>
      <c r="AF5" s="106"/>
      <c r="AG5" s="197" t="s">
        <v>56</v>
      </c>
      <c r="AH5" s="196"/>
      <c r="AI5" s="311"/>
      <c r="AJ5" s="312"/>
      <c r="AK5" s="311"/>
      <c r="AL5" s="313"/>
      <c r="AM5" s="313"/>
      <c r="AN5" s="313"/>
      <c r="AO5" s="313"/>
      <c r="AP5" s="238"/>
      <c r="AQ5" s="313">
        <f t="shared" ref="AQ5:AQ40" si="2">SUMPRODUCT(--WEEKDAY(C$3:AG$3,2)&lt;6,--((C5:AG5="DM"))+(C5:AG5="CS1")+((C5:AG5="CS2"))+(C5:AG5="SB1")+(C5:AG5="AE")+(C5:AG5="EM"))</f>
        <v>0</v>
      </c>
      <c r="AR5" s="238"/>
      <c r="AS5" s="238">
        <f t="shared" ref="AS5:AS40" si="3">SUMPRODUCT(--WEEKDAY(C$3:AG$3,2)&gt;5,--((C5:AG5="DM"))+(C5:AG5="CS1")+((C5:AG5="CS2"))+(C5:AG5="SB1")+(C5:AG5="AE")+(C5:AG5="EM"))</f>
        <v>0</v>
      </c>
      <c r="AT5" s="238"/>
      <c r="AU5" s="238">
        <f t="shared" ref="AU5:AU40" si="4">(AQ5-AR5)/2+(AS5-AT5)</f>
        <v>0</v>
      </c>
      <c r="AV5" s="238">
        <f t="shared" ref="AV5:AV40" si="5">AI5+AJ5+AK5+AL5+AN5+AO5</f>
        <v>0</v>
      </c>
      <c r="AW5" s="238">
        <f>BG5+BH5+BJ5+BE5+BC5+BA5+BL5</f>
        <v>0</v>
      </c>
      <c r="AX5" s="238" t="e">
        <f>AU5+$AY$10</f>
        <v>#VALUE!</v>
      </c>
      <c r="AY5" s="313" t="e">
        <f>(BJ5*('Setting key Duty'!$I$8+'Setting key Duty'!$I$12))+(BH5*'Setting key Duty'!$I$9)+(BC5*('Setting key Duty'!$I$13+'Setting key Duty'!$I$9))+(BA5*('Setting key Duty'!$I$13+'Setting key Duty'!$I$12+'Setting key Duty'!$I$11))+(BE5*('Setting key Duty'!$I$8+'Setting key Duty'!$I$9+'Setting key Duty'!$I$12))</f>
        <v>#VALUE!</v>
      </c>
      <c r="AZ5" s="313">
        <f>COUNTIF(D5:AA5,"*BRT*")</f>
        <v>0</v>
      </c>
      <c r="BA5" s="313">
        <f>COUNTIF(A5:AI5,"*$BTP*")</f>
        <v>0</v>
      </c>
      <c r="BB5" s="313" t="e">
        <f>BA5*('Setting key Duty'!$I$13+'Setting key Duty'!$I$12+'Setting key Duty'!$I$11)</f>
        <v>#VALUE!</v>
      </c>
      <c r="BC5" s="313">
        <f>COUNTIF(A5:AI5,"*$L*")</f>
        <v>0</v>
      </c>
      <c r="BD5" s="313" t="e">
        <f>BC5*('Setting key Duty'!$I$13+'Setting key Duty'!$I$9)</f>
        <v>#VALUE!</v>
      </c>
      <c r="BE5" s="313">
        <f>COUNTIF(A5:AI5,"*$M*")</f>
        <v>0</v>
      </c>
      <c r="BF5" s="313">
        <f>BE5*('Setting key Duty'!$I$8+'Setting key Duty'!$I$9+'Setting key Duty'!$I$12)</f>
        <v>0</v>
      </c>
      <c r="BG5" s="313">
        <f>COUNTIF(AI5,"*$N*")</f>
        <v>0</v>
      </c>
      <c r="BH5" s="313">
        <f>COUNTIF(AI5,"*$PM*")</f>
        <v>0</v>
      </c>
      <c r="BI5" s="313">
        <f>BH5*('Setting key Duty'!$I$9)</f>
        <v>0</v>
      </c>
      <c r="BJ5" s="313">
        <f>COUNTIF(A5:AI5,"*$AM*")</f>
        <v>0</v>
      </c>
      <c r="BK5" s="313">
        <f>BJ5*('Setting key Duty'!$I$12+'Setting key Duty'!$I$8)</f>
        <v>0</v>
      </c>
      <c r="BL5" s="313">
        <f>COUNTIF(D5:AI5,"*$FC*")</f>
        <v>0</v>
      </c>
      <c r="BM5" s="313">
        <f>BL5*('Setting key Duty'!$J$11+'Setting key Duty'!$I$8)</f>
        <v>0</v>
      </c>
      <c r="BN5" s="313">
        <f>COUNTIF($D5:$AA5,BN$4)</f>
        <v>0</v>
      </c>
      <c r="BO5" s="313">
        <f>COUNTIF($D5:$AA5,BO$4)</f>
        <v>2</v>
      </c>
      <c r="BP5" s="313">
        <f>COUNTIF($D5:$AA5,BP$4)</f>
        <v>0</v>
      </c>
      <c r="BQ5" s="314"/>
    </row>
    <row r="6" ht="36" customHeight="1" spans="1:69">
      <c r="A6" s="309"/>
      <c r="B6" s="374" t="s">
        <v>60</v>
      </c>
      <c r="C6" s="197"/>
      <c r="D6" s="197"/>
      <c r="E6" s="197" t="s">
        <v>56</v>
      </c>
      <c r="F6" s="197"/>
      <c r="G6" s="197"/>
      <c r="H6" s="197"/>
      <c r="I6" s="197" t="s">
        <v>350</v>
      </c>
      <c r="J6" s="197"/>
      <c r="K6" s="197" t="s">
        <v>58</v>
      </c>
      <c r="M6" s="317" t="s">
        <v>349</v>
      </c>
      <c r="N6" s="197"/>
      <c r="O6" s="197"/>
      <c r="P6" s="197" t="s">
        <v>55</v>
      </c>
      <c r="Q6" s="197"/>
      <c r="R6" s="197" t="s">
        <v>56</v>
      </c>
      <c r="T6" s="350" t="s">
        <v>59</v>
      </c>
      <c r="U6" s="197"/>
      <c r="V6" s="197" t="s">
        <v>56</v>
      </c>
      <c r="X6" s="197"/>
      <c r="Z6" s="197" t="s">
        <v>57</v>
      </c>
      <c r="AA6" s="197"/>
      <c r="AB6" s="197" t="s">
        <v>59</v>
      </c>
      <c r="AC6" s="197"/>
      <c r="AD6" s="317"/>
      <c r="AF6" s="106"/>
      <c r="AG6" s="197"/>
      <c r="AH6" s="197" t="s">
        <v>350</v>
      </c>
      <c r="AI6" s="311">
        <f t="shared" ref="AI6:AO6" si="6">COUNTIF($D6:$AE6,AI$4)</f>
        <v>1</v>
      </c>
      <c r="AJ6" s="312">
        <f t="shared" si="6"/>
        <v>3</v>
      </c>
      <c r="AK6" s="311">
        <f t="shared" si="6"/>
        <v>2</v>
      </c>
      <c r="AL6" s="313">
        <f t="shared" si="6"/>
        <v>1</v>
      </c>
      <c r="AM6" s="313">
        <f t="shared" si="6"/>
        <v>0</v>
      </c>
      <c r="AN6" s="313">
        <f t="shared" si="6"/>
        <v>0</v>
      </c>
      <c r="AO6" s="313">
        <f t="shared" si="6"/>
        <v>0</v>
      </c>
      <c r="AP6" s="238"/>
      <c r="AQ6" s="313">
        <f t="shared" si="2"/>
        <v>0</v>
      </c>
      <c r="AR6" s="238"/>
      <c r="AS6" s="238">
        <f t="shared" si="3"/>
        <v>0</v>
      </c>
      <c r="AT6" s="238"/>
      <c r="AU6" s="238">
        <f t="shared" si="4"/>
        <v>0</v>
      </c>
      <c r="AV6" s="238">
        <f t="shared" si="5"/>
        <v>7</v>
      </c>
      <c r="AW6" s="238" t="e">
        <f>AU6+AY6</f>
        <v>#VALUE!</v>
      </c>
      <c r="AX6" s="238" t="e">
        <f>AU6+AY6</f>
        <v>#VALUE!</v>
      </c>
      <c r="AY6" s="313" t="e">
        <f>(BJ6*('Setting key Duty'!$I$8+'Setting key Duty'!$I$12))+(BH6*'Setting key Duty'!$I$9)+(BC6*('Setting key Duty'!$I$13+'Setting key Duty'!$I$9))+(BA6*('Setting key Duty'!$I$13+'Setting key Duty'!$I$12+'Setting key Duty'!$I$11))+(BE6*('Setting key Duty'!$I$8+'Setting key Duty'!$I$9+'Setting key Duty'!$I$12))</f>
        <v>#VALUE!</v>
      </c>
      <c r="AZ6" s="313">
        <f>COUNTIF(D6:AE6,"*BRT*")</f>
        <v>0</v>
      </c>
      <c r="BA6" s="313">
        <f>COUNTIF(A6:AI6,"*$BTP*")</f>
        <v>0</v>
      </c>
      <c r="BB6" s="313" t="e">
        <f>BA6*('Setting key Duty'!$I$13+'Setting key Duty'!$I$12+'Setting key Duty'!$I$11)</f>
        <v>#VALUE!</v>
      </c>
      <c r="BC6" s="313">
        <f>COUNTIF(A6:AI6,"*$L*")</f>
        <v>0</v>
      </c>
      <c r="BD6" s="313" t="e">
        <f>BC6*('Setting key Duty'!$I$13+'Setting key Duty'!$I$9)</f>
        <v>#VALUE!</v>
      </c>
      <c r="BE6" s="313">
        <f>COUNTIF(A6:AI6,"*$M*")</f>
        <v>0</v>
      </c>
      <c r="BF6" s="313">
        <f>BE6*('Setting key Duty'!$I$8+'Setting key Duty'!$I$9+'Setting key Duty'!$I$12)</f>
        <v>0</v>
      </c>
      <c r="BG6" s="313">
        <f>COUNTIF(AE6:AI6,"*$N*")</f>
        <v>0</v>
      </c>
      <c r="BH6" s="313">
        <f>COUNTIF(AE6:AI6,"*$PM*")</f>
        <v>0</v>
      </c>
      <c r="BI6" s="313">
        <f>BH6*('Setting key Duty'!$I$9)</f>
        <v>0</v>
      </c>
      <c r="BJ6" s="313">
        <f>COUNTIF(A6:AI6,"*$AM*")</f>
        <v>0</v>
      </c>
      <c r="BK6" s="313">
        <f>BJ6*('Setting key Duty'!$I$12+'Setting key Duty'!$I$8)</f>
        <v>0</v>
      </c>
      <c r="BL6" s="313">
        <f>COUNTIF(D6:AI6,"*$FC*")</f>
        <v>0</v>
      </c>
      <c r="BM6" s="313">
        <f>BL6*('Setting key Duty'!$J$11+'Setting key Duty'!$I$8)</f>
        <v>0</v>
      </c>
      <c r="BN6" s="313">
        <f>COUNTIF($D6:$AE6,BN$4)</f>
        <v>0</v>
      </c>
      <c r="BO6" s="313">
        <f>COUNTIF($D6:$AE6,BO$4)</f>
        <v>1</v>
      </c>
      <c r="BP6" s="313">
        <f>COUNTIF($D6:$AE6,BP$4)</f>
        <v>1</v>
      </c>
      <c r="BQ6" s="314"/>
    </row>
    <row r="7" ht="19.5" customHeight="1" spans="1:69">
      <c r="A7" s="309"/>
      <c r="B7" s="322" t="s">
        <v>211</v>
      </c>
      <c r="C7" s="197" t="s">
        <v>96</v>
      </c>
      <c r="D7" s="197"/>
      <c r="E7" s="197" t="s">
        <v>350</v>
      </c>
      <c r="F7" s="197"/>
      <c r="G7" s="317"/>
      <c r="H7" s="317" t="s">
        <v>57</v>
      </c>
      <c r="J7" s="197" t="s">
        <v>56</v>
      </c>
      <c r="K7" s="197"/>
      <c r="L7" s="197" t="s">
        <v>57</v>
      </c>
      <c r="M7" s="197"/>
      <c r="N7" s="197"/>
      <c r="O7" s="197"/>
      <c r="P7" s="197" t="s">
        <v>59</v>
      </c>
      <c r="Q7" s="197"/>
      <c r="R7" s="197" t="s">
        <v>350</v>
      </c>
      <c r="S7" s="197"/>
      <c r="T7" s="350" t="s">
        <v>57</v>
      </c>
      <c r="U7" s="197"/>
      <c r="V7" s="197" t="s">
        <v>57</v>
      </c>
      <c r="W7" s="197"/>
      <c r="X7" s="197"/>
      <c r="AA7" s="197"/>
      <c r="AB7" s="197"/>
      <c r="AC7" s="197"/>
      <c r="AD7" s="197"/>
      <c r="AE7" s="197"/>
      <c r="AF7" s="197" t="s">
        <v>57</v>
      </c>
      <c r="AH7" s="197"/>
      <c r="AI7" s="311" t="e">
        <f>COUNTIF(#REF!,AI$4)</f>
        <v>#REF!</v>
      </c>
      <c r="AJ7" s="312" t="e">
        <f>COUNTIF(#REF!,AJ$4)</f>
        <v>#REF!</v>
      </c>
      <c r="AK7" s="311" t="e">
        <f>COUNTIF(#REF!,AK$4)</f>
        <v>#REF!</v>
      </c>
      <c r="AL7" s="313" t="e">
        <f>COUNTIF(#REF!,AL$4)</f>
        <v>#REF!</v>
      </c>
      <c r="AM7" s="313" t="e">
        <f>COUNTIF(#REF!,AM$4)</f>
        <v>#REF!</v>
      </c>
      <c r="AN7" s="313" t="e">
        <f>COUNTIF(#REF!,AN$4)</f>
        <v>#REF!</v>
      </c>
      <c r="AO7" s="313" t="e">
        <f>COUNTIF(#REF!,AO$4)</f>
        <v>#REF!</v>
      </c>
      <c r="AP7" s="238"/>
      <c r="AQ7" s="313">
        <f t="shared" si="2"/>
        <v>0</v>
      </c>
      <c r="AR7" s="238"/>
      <c r="AS7" s="238">
        <f t="shared" si="3"/>
        <v>0</v>
      </c>
      <c r="AT7" s="238"/>
      <c r="AU7" s="238">
        <f t="shared" si="4"/>
        <v>0</v>
      </c>
      <c r="AV7" s="238" t="e">
        <f t="shared" si="5"/>
        <v>#REF!</v>
      </c>
      <c r="AW7" s="238">
        <f t="shared" ref="AW7:AW40" si="7">BG7+BH7+BJ7+BE7+BC7+BA7+BL7</f>
        <v>0</v>
      </c>
      <c r="AX7" s="238" t="e">
        <f>AU7+AY7</f>
        <v>#VALUE!</v>
      </c>
      <c r="AY7" s="313" t="e">
        <f>(BJ7*('Setting key Duty'!$I$8+'Setting key Duty'!$I$12))+(BH7*'Setting key Duty'!$I$9)+(BC7*('Setting key Duty'!$I$13+'Setting key Duty'!$I$9))+(BA7*('Setting key Duty'!$I$13+'Setting key Duty'!$I$12+'Setting key Duty'!$I$11))+(BE7*('Setting key Duty'!$I$8+'Setting key Duty'!$I$9+'Setting key Duty'!$I$12))</f>
        <v>#VALUE!</v>
      </c>
      <c r="AZ7" s="313" t="e">
        <f>COUNTIF(#REF!,"*BRT*")</f>
        <v>#REF!</v>
      </c>
      <c r="BA7" s="313">
        <f>COUNTIF(A7:AI7,"*$BTP*")</f>
        <v>0</v>
      </c>
      <c r="BB7" s="313" t="e">
        <f>BA7*('Setting key Duty'!$I$13+'Setting key Duty'!$I$12+'Setting key Duty'!$I$11)</f>
        <v>#VALUE!</v>
      </c>
      <c r="BC7" s="313">
        <f>COUNTIF(A7:AI7,"*$L*")</f>
        <v>0</v>
      </c>
      <c r="BD7" s="313" t="e">
        <f>BC7*('Setting key Duty'!$I$13+'Setting key Duty'!$I$9)</f>
        <v>#VALUE!</v>
      </c>
      <c r="BE7" s="313">
        <f>COUNTIF(A7:AI7,"*$M*")</f>
        <v>0</v>
      </c>
      <c r="BF7" s="313">
        <f>BE7*('Setting key Duty'!$I$8+'Setting key Duty'!$I$9+'Setting key Duty'!$I$12)</f>
        <v>0</v>
      </c>
      <c r="BG7" s="313">
        <f>COUNTIF(A7:AI7,"*$N*")</f>
        <v>0</v>
      </c>
      <c r="BH7" s="313">
        <f>COUNTIF(AF7:AI7,"*$PM*")</f>
        <v>0</v>
      </c>
      <c r="BI7" s="313">
        <f>BH7*('Setting key Duty'!$I$9)</f>
        <v>0</v>
      </c>
      <c r="BJ7" s="313">
        <f>COUNTIF(A7:AI7,"*$AM*")</f>
        <v>0</v>
      </c>
      <c r="BK7" s="313">
        <f>BJ7*('Setting key Duty'!$I$12+'Setting key Duty'!$I$8)</f>
        <v>0</v>
      </c>
      <c r="BL7" s="313">
        <f>COUNTIF(D7:AI7,"*$FC*")</f>
        <v>0</v>
      </c>
      <c r="BM7" s="313">
        <f>BL7*('Setting key Duty'!$J$11+'Setting key Duty'!$I$8)</f>
        <v>0</v>
      </c>
      <c r="BN7" s="313" t="e">
        <f>COUNTIF(#REF!,BN$4)</f>
        <v>#REF!</v>
      </c>
      <c r="BO7" s="313" t="e">
        <f>COUNTIF(#REF!,BO$4)</f>
        <v>#REF!</v>
      </c>
      <c r="BP7" s="313" t="e">
        <f>COUNTIF(#REF!,BP$4)</f>
        <v>#REF!</v>
      </c>
      <c r="BQ7" s="314"/>
    </row>
    <row r="8" ht="19.5" customHeight="1" spans="1:69">
      <c r="A8" s="309"/>
      <c r="B8" s="334" t="s">
        <v>63</v>
      </c>
      <c r="C8" s="197"/>
      <c r="D8" s="197"/>
      <c r="E8" s="197" t="s">
        <v>55</v>
      </c>
      <c r="F8" s="197"/>
      <c r="G8" s="197" t="s">
        <v>56</v>
      </c>
      <c r="I8" s="197" t="s">
        <v>56</v>
      </c>
      <c r="J8" s="197"/>
      <c r="K8" s="321" t="s">
        <v>61</v>
      </c>
      <c r="L8" s="197"/>
      <c r="M8" s="317" t="s">
        <v>349</v>
      </c>
      <c r="O8" s="317"/>
      <c r="P8" s="197" t="s">
        <v>58</v>
      </c>
      <c r="R8" s="321"/>
      <c r="S8" s="106"/>
      <c r="T8" s="381"/>
      <c r="U8" s="317"/>
      <c r="X8" s="197" t="s">
        <v>57</v>
      </c>
      <c r="Z8" s="197" t="s">
        <v>350</v>
      </c>
      <c r="AB8" s="197"/>
      <c r="AC8" s="197" t="s">
        <v>57</v>
      </c>
      <c r="AD8" s="197"/>
      <c r="AE8" s="197" t="s">
        <v>56</v>
      </c>
      <c r="AF8" s="197"/>
      <c r="AG8" s="197"/>
      <c r="AH8" s="197"/>
      <c r="AI8" s="311"/>
      <c r="AJ8" s="312"/>
      <c r="AK8" s="311"/>
      <c r="AL8" s="313"/>
      <c r="AM8" s="313"/>
      <c r="AN8" s="313"/>
      <c r="AO8" s="313"/>
      <c r="AP8" s="238"/>
      <c r="AQ8" s="313">
        <f t="shared" si="2"/>
        <v>0</v>
      </c>
      <c r="AR8" s="238"/>
      <c r="AS8" s="238">
        <f t="shared" si="3"/>
        <v>0</v>
      </c>
      <c r="AT8" s="238"/>
      <c r="AU8" s="238">
        <f t="shared" si="4"/>
        <v>0</v>
      </c>
      <c r="AV8" s="238">
        <f t="shared" si="5"/>
        <v>0</v>
      </c>
      <c r="AW8" s="238">
        <f t="shared" si="7"/>
        <v>0</v>
      </c>
      <c r="AX8" s="238">
        <f>AU8+AY8</f>
        <v>0</v>
      </c>
      <c r="AY8" s="313"/>
      <c r="AZ8" s="313"/>
      <c r="BA8" s="313"/>
      <c r="BB8" s="313"/>
      <c r="BC8" s="313"/>
      <c r="BD8" s="313"/>
      <c r="BE8" s="313"/>
      <c r="BF8" s="313"/>
      <c r="BG8" s="313"/>
      <c r="BH8" s="313"/>
      <c r="BI8" s="313"/>
      <c r="BJ8" s="313"/>
      <c r="BK8" s="313"/>
      <c r="BL8" s="313"/>
      <c r="BM8" s="313"/>
      <c r="BN8" s="313"/>
      <c r="BO8" s="313"/>
      <c r="BP8" s="313"/>
      <c r="BQ8" s="314"/>
    </row>
    <row r="9" ht="19.5" customHeight="1" spans="1:69">
      <c r="A9" s="309"/>
      <c r="B9" s="327" t="s">
        <v>377</v>
      </c>
      <c r="C9" s="197"/>
      <c r="D9" s="197" t="s">
        <v>56</v>
      </c>
      <c r="E9" s="197"/>
      <c r="F9" s="317"/>
      <c r="G9" s="197"/>
      <c r="H9" s="197"/>
      <c r="I9" s="197"/>
      <c r="K9" s="317" t="s">
        <v>57</v>
      </c>
      <c r="L9" s="197" t="s">
        <v>350</v>
      </c>
      <c r="M9" s="317" t="s">
        <v>349</v>
      </c>
      <c r="N9" s="197" t="s">
        <v>57</v>
      </c>
      <c r="O9" s="4"/>
      <c r="Q9" s="197"/>
      <c r="R9" s="197" t="s">
        <v>350</v>
      </c>
      <c r="S9" s="197"/>
      <c r="T9" s="197" t="s">
        <v>350</v>
      </c>
      <c r="U9" s="317"/>
      <c r="V9" s="197"/>
      <c r="W9" s="197" t="s">
        <v>350</v>
      </c>
      <c r="X9" s="317"/>
      <c r="Y9" s="197" t="s">
        <v>57</v>
      </c>
      <c r="AB9" s="197" t="s">
        <v>56</v>
      </c>
      <c r="AC9" s="197"/>
      <c r="AD9" s="197" t="s">
        <v>57</v>
      </c>
      <c r="AE9" s="197"/>
      <c r="AF9" s="197"/>
      <c r="AH9" s="197" t="s">
        <v>350</v>
      </c>
      <c r="AI9" s="311"/>
      <c r="AJ9" s="312"/>
      <c r="AK9" s="311"/>
      <c r="AL9" s="313"/>
      <c r="AM9" s="313"/>
      <c r="AN9" s="313"/>
      <c r="AO9" s="313"/>
      <c r="AP9" s="238"/>
      <c r="AQ9" s="313">
        <f t="shared" si="2"/>
        <v>0</v>
      </c>
      <c r="AR9" s="238"/>
      <c r="AS9" s="238">
        <f t="shared" si="3"/>
        <v>0</v>
      </c>
      <c r="AT9" s="238"/>
      <c r="AU9" s="238">
        <f t="shared" si="4"/>
        <v>0</v>
      </c>
      <c r="AV9" s="238">
        <f t="shared" si="5"/>
        <v>0</v>
      </c>
      <c r="AW9" s="238">
        <f t="shared" si="7"/>
        <v>0</v>
      </c>
      <c r="AX9" s="238" t="e">
        <f>AU9+AY9</f>
        <v>#VALUE!</v>
      </c>
      <c r="AY9" s="313" t="e">
        <f>(BJ9*('Setting key Duty'!$I$8+'Setting key Duty'!$I$12))+(BH9*'Setting key Duty'!$I$9)+(BC9*('Setting key Duty'!$I$13+'Setting key Duty'!$I$9))+(BA9*('Setting key Duty'!$I$13+'Setting key Duty'!$I$12+'Setting key Duty'!$I$11))+(BE9*('Setting key Duty'!$I$8+'Setting key Duty'!$I$9+'Setting key Duty'!$I$12))</f>
        <v>#VALUE!</v>
      </c>
      <c r="AZ9" s="313">
        <f>COUNTIF(D9:Z9,"*BRT*")</f>
        <v>0</v>
      </c>
      <c r="BA9" s="313">
        <f t="shared" ref="BA9:BA23" si="8">COUNTIF(A9:AI9,"*$BTP*")</f>
        <v>0</v>
      </c>
      <c r="BB9" s="313" t="e">
        <f>BA9*('Setting key Duty'!$I$13+'Setting key Duty'!$I$12+'Setting key Duty'!$I$11)</f>
        <v>#VALUE!</v>
      </c>
      <c r="BC9" s="313">
        <f>COUNTIF(A9:AI9,"*$L*")</f>
        <v>0</v>
      </c>
      <c r="BD9" s="313" t="e">
        <f>BC9*('Setting key Duty'!$I$13+'Setting key Duty'!$I$9)</f>
        <v>#VALUE!</v>
      </c>
      <c r="BE9" s="313">
        <f>COUNTIF(A9:AI9,"*$M*")</f>
        <v>0</v>
      </c>
      <c r="BF9" s="313">
        <f>BE9*('Setting key Duty'!$I$8+'Setting key Duty'!$I$9+'Setting key Duty'!$I$12)</f>
        <v>0</v>
      </c>
      <c r="BG9" s="313">
        <f>COUNTIF(AI9,"*$N*")</f>
        <v>0</v>
      </c>
      <c r="BH9" s="313">
        <f>COUNTIF(AI9,"*$PM*")</f>
        <v>0</v>
      </c>
      <c r="BI9" s="313">
        <f>BH9*('Setting key Duty'!$I$9)</f>
        <v>0</v>
      </c>
      <c r="BJ9" s="313">
        <f>COUNTIF(A9:AI9,"*$AM*")</f>
        <v>0</v>
      </c>
      <c r="BK9" s="313">
        <f>BJ9*('Setting key Duty'!$I$12+'Setting key Duty'!$I$8)</f>
        <v>0</v>
      </c>
      <c r="BL9" s="313">
        <f>COUNTIF(D9:AI9,"*$FC*")</f>
        <v>0</v>
      </c>
      <c r="BM9" s="313">
        <f>BL9*('Setting key Duty'!$J$11+'Setting key Duty'!$I$8)</f>
        <v>0</v>
      </c>
      <c r="BN9" s="313">
        <f>COUNTIF($D9:$Z9,BN$4)</f>
        <v>0</v>
      </c>
      <c r="BO9" s="313">
        <f>COUNTIF($D9:$Z9,BO$4)</f>
        <v>4</v>
      </c>
      <c r="BP9" s="313">
        <f>COUNTIF($D9:$Z9,BP$4)</f>
        <v>0</v>
      </c>
      <c r="BQ9" s="314"/>
    </row>
    <row r="10" ht="19.5" customHeight="1" spans="1:69">
      <c r="A10" s="309"/>
      <c r="B10" s="328" t="s">
        <v>99</v>
      </c>
      <c r="C10" s="197" t="s">
        <v>54</v>
      </c>
      <c r="D10" s="197" t="s">
        <v>54</v>
      </c>
      <c r="E10" s="197" t="s">
        <v>54</v>
      </c>
      <c r="F10" s="317"/>
      <c r="H10" s="324" t="s">
        <v>56</v>
      </c>
      <c r="I10" s="197"/>
      <c r="J10" s="197"/>
      <c r="K10" s="321" t="s">
        <v>61</v>
      </c>
      <c r="L10" s="106"/>
      <c r="M10" s="317" t="s">
        <v>349</v>
      </c>
      <c r="N10" s="197"/>
      <c r="O10" s="197" t="s">
        <v>378</v>
      </c>
      <c r="Q10" s="197" t="s">
        <v>57</v>
      </c>
      <c r="R10" s="317"/>
      <c r="S10" s="350" t="s">
        <v>59</v>
      </c>
      <c r="T10" s="196"/>
      <c r="V10" s="197"/>
      <c r="W10" s="197"/>
      <c r="X10" s="197"/>
      <c r="Y10" s="197" t="s">
        <v>56</v>
      </c>
      <c r="Z10" s="317"/>
      <c r="AA10" s="197" t="s">
        <v>57</v>
      </c>
      <c r="AC10" s="197"/>
      <c r="AD10" s="197" t="s">
        <v>350</v>
      </c>
      <c r="AE10" s="197"/>
      <c r="AG10" s="197" t="s">
        <v>65</v>
      </c>
      <c r="AI10" s="311"/>
      <c r="AJ10" s="312"/>
      <c r="AK10" s="311"/>
      <c r="AL10" s="313"/>
      <c r="AM10" s="313"/>
      <c r="AN10" s="313"/>
      <c r="AO10" s="313"/>
      <c r="AP10" s="238"/>
      <c r="AQ10" s="313">
        <f t="shared" si="2"/>
        <v>0</v>
      </c>
      <c r="AR10" s="238"/>
      <c r="AS10" s="238">
        <f t="shared" si="3"/>
        <v>0</v>
      </c>
      <c r="AT10" s="238"/>
      <c r="AU10" s="238">
        <f t="shared" si="4"/>
        <v>0</v>
      </c>
      <c r="AV10" s="238">
        <f t="shared" si="5"/>
        <v>0</v>
      </c>
      <c r="AW10" s="238">
        <f t="shared" si="7"/>
        <v>0</v>
      </c>
      <c r="AX10" s="238" t="e">
        <f>AU10+$AY$10</f>
        <v>#VALUE!</v>
      </c>
      <c r="AY10" s="313" t="e">
        <f>(BJ10*('Setting key Duty'!$I$8+'Setting key Duty'!$I$12))+(BH10*'Setting key Duty'!$I$9)+(BC10*('Setting key Duty'!$I$13+'Setting key Duty'!$I$9))+(BA10*('Setting key Duty'!$I$13+'Setting key Duty'!$I$12+'Setting key Duty'!$I$11))+(BE10*('Setting key Duty'!$I$8+'Setting key Duty'!$I$9+'Setting key Duty'!$I$12))</f>
        <v>#VALUE!</v>
      </c>
      <c r="AZ10" s="313">
        <f>COUNTIF(C10:AC10,"*BRT*")</f>
        <v>0</v>
      </c>
      <c r="BA10" s="313">
        <f t="shared" si="8"/>
        <v>0</v>
      </c>
      <c r="BB10" s="313" t="e">
        <f>BA10*('Setting key Duty'!$I$13+'Setting key Duty'!$I$12+'Setting key Duty'!$I$11)</f>
        <v>#VALUE!</v>
      </c>
      <c r="BC10" s="313">
        <f>COUNTIF(D10:AI10,"*$L*")</f>
        <v>0</v>
      </c>
      <c r="BD10" s="313" t="e">
        <f>BC10*('Setting key Duty'!$I$13+'Setting key Duty'!$I$9)</f>
        <v>#VALUE!</v>
      </c>
      <c r="BE10" s="313">
        <f>COUNTIF(D10:AI10,"*$M*")</f>
        <v>0</v>
      </c>
      <c r="BF10" s="313">
        <f>BE10*('Setting key Duty'!$I$8+'Setting key Duty'!$I$9+'Setting key Duty'!$I$12)</f>
        <v>0</v>
      </c>
      <c r="BG10" s="313">
        <f>COUNTIF(D10:AI10,"*$N*")</f>
        <v>0</v>
      </c>
      <c r="BH10" s="313">
        <f>COUNTIF(D10:AI10,"*$PM*")</f>
        <v>0</v>
      </c>
      <c r="BI10" s="313">
        <f>BH10*('Setting key Duty'!$I$9)</f>
        <v>0</v>
      </c>
      <c r="BJ10" s="313">
        <f>COUNTIF(D10:AI10,"*$AM*")</f>
        <v>0</v>
      </c>
      <c r="BK10" s="313">
        <f>BJ10*('Setting key Duty'!$I$12+'Setting key Duty'!$I$8)</f>
        <v>0</v>
      </c>
      <c r="BL10" s="313">
        <f>COUNTIF(C10:AI10,"*$FC*")</f>
        <v>0</v>
      </c>
      <c r="BM10" s="313">
        <f>BL10*('Setting key Duty'!$J$11+'Setting key Duty'!$I$8)</f>
        <v>0</v>
      </c>
      <c r="BN10" s="313">
        <f>COUNTIF($C10:$AG10,BN$4)</f>
        <v>0</v>
      </c>
      <c r="BO10" s="313">
        <f>COUNTIF($C10:$AG10,BO$4)</f>
        <v>1</v>
      </c>
      <c r="BP10" s="313">
        <f>COUNTIF($D10:$AE10,BP$4)</f>
        <v>0</v>
      </c>
      <c r="BQ10" s="314"/>
    </row>
    <row r="11" ht="19.5" customHeight="1" spans="1:69">
      <c r="A11" s="309"/>
      <c r="B11" s="315" t="s">
        <v>70</v>
      </c>
      <c r="C11" s="197"/>
      <c r="D11" s="197" t="s">
        <v>58</v>
      </c>
      <c r="E11" s="197"/>
      <c r="F11" s="197" t="s">
        <v>350</v>
      </c>
      <c r="G11" s="197"/>
      <c r="H11" s="197"/>
      <c r="J11" s="317" t="s">
        <v>58</v>
      </c>
      <c r="K11" s="197"/>
      <c r="L11" s="197" t="s">
        <v>56</v>
      </c>
      <c r="M11" s="317"/>
      <c r="N11" s="106"/>
      <c r="O11" s="197" t="s">
        <v>57</v>
      </c>
      <c r="P11" s="197"/>
      <c r="Q11" s="197" t="s">
        <v>350</v>
      </c>
      <c r="R11" s="197"/>
      <c r="S11" s="197" t="s">
        <v>349</v>
      </c>
      <c r="T11" s="196"/>
      <c r="V11" s="197"/>
      <c r="W11" s="197" t="s">
        <v>57</v>
      </c>
      <c r="Y11" s="197"/>
      <c r="AA11" s="197"/>
      <c r="AB11" s="197"/>
      <c r="AC11" s="197" t="s">
        <v>59</v>
      </c>
      <c r="AD11" s="197"/>
      <c r="AE11" s="197"/>
      <c r="AG11" s="197"/>
      <c r="AH11" s="197"/>
      <c r="AI11" s="311"/>
      <c r="AJ11" s="312"/>
      <c r="AK11" s="311"/>
      <c r="AL11" s="313"/>
      <c r="AM11" s="313"/>
      <c r="AN11" s="313"/>
      <c r="AO11" s="313"/>
      <c r="AP11" s="238"/>
      <c r="AQ11" s="313">
        <f t="shared" si="2"/>
        <v>0</v>
      </c>
      <c r="AR11" s="238"/>
      <c r="AS11" s="238">
        <f t="shared" si="3"/>
        <v>0</v>
      </c>
      <c r="AT11" s="238"/>
      <c r="AU11" s="238">
        <f t="shared" si="4"/>
        <v>0</v>
      </c>
      <c r="AV11" s="238">
        <f t="shared" si="5"/>
        <v>0</v>
      </c>
      <c r="AW11" s="238">
        <f t="shared" si="7"/>
        <v>0</v>
      </c>
      <c r="AX11" s="238" t="e">
        <f t="shared" ref="AX11:AX16" si="9">AU11+AY11</f>
        <v>#VALUE!</v>
      </c>
      <c r="AY11" s="313" t="e">
        <f>(BJ11*('Setting key Duty'!$I$8+'Setting key Duty'!$I$12))+(BH11*'Setting key Duty'!$I$9)+(BC11*('Setting key Duty'!$I$13+'Setting key Duty'!$I$9))+(BA11*('Setting key Duty'!$I$13+'Setting key Duty'!$I$12+'Setting key Duty'!$I$11))+(BE11*('Setting key Duty'!$I$8+'Setting key Duty'!$I$9+'Setting key Duty'!$I$12))</f>
        <v>#VALUE!</v>
      </c>
      <c r="AZ11" s="313">
        <f>COUNTIF(D11:AC11,"*BRT*")</f>
        <v>0</v>
      </c>
      <c r="BA11" s="313">
        <f t="shared" si="8"/>
        <v>0</v>
      </c>
      <c r="BB11" s="313" t="e">
        <f>BA11*('Setting key Duty'!$I$13+'Setting key Duty'!$I$12+'Setting key Duty'!$I$11)</f>
        <v>#VALUE!</v>
      </c>
      <c r="BC11" s="313">
        <f>COUNTIF(A11:AI11,"*$L*")</f>
        <v>0</v>
      </c>
      <c r="BD11" s="313" t="e">
        <f>BC11*('Setting key Duty'!$I$13+'Setting key Duty'!$I$9)</f>
        <v>#VALUE!</v>
      </c>
      <c r="BE11" s="313">
        <f>COUNTIF(A11:AI11,"*$M*")</f>
        <v>0</v>
      </c>
      <c r="BF11" s="313">
        <f>BE11*('Setting key Duty'!$I$8+'Setting key Duty'!$I$9+'Setting key Duty'!$I$12)</f>
        <v>0</v>
      </c>
      <c r="BG11" s="313">
        <f>COUNTIF(AF11:AI11,"*$N*")</f>
        <v>0</v>
      </c>
      <c r="BH11" s="313">
        <f>COUNTIF(AF11:AI11,"*$PM*")</f>
        <v>0</v>
      </c>
      <c r="BI11" s="313">
        <f>BH11*('Setting key Duty'!$I$9)</f>
        <v>0</v>
      </c>
      <c r="BJ11" s="313">
        <f>COUNTIF(A11:AI11,"*$AM*")</f>
        <v>0</v>
      </c>
      <c r="BK11" s="313">
        <f>BJ11*('Setting key Duty'!$I$12+'Setting key Duty'!$I$8)</f>
        <v>0</v>
      </c>
      <c r="BL11" s="313">
        <f>COUNTIF(D11:AI11,"*$FC*")</f>
        <v>0</v>
      </c>
      <c r="BM11" s="313">
        <f>BL11*('Setting key Duty'!$J$11+'Setting key Duty'!$I$8)</f>
        <v>0</v>
      </c>
      <c r="BN11" s="313">
        <f>COUNTIF($D11:$AE11,BN$4)</f>
        <v>0</v>
      </c>
      <c r="BO11" s="313">
        <f>COUNTIF($D11:$AE11,BO$4)</f>
        <v>2</v>
      </c>
      <c r="BP11" s="313">
        <f>COUNTIF($D11:$AE11,BP$4)</f>
        <v>0</v>
      </c>
      <c r="BQ11" s="314"/>
    </row>
    <row r="12" ht="19.5" customHeight="1" spans="1:69">
      <c r="A12" s="309"/>
      <c r="B12" s="329" t="s">
        <v>72</v>
      </c>
      <c r="C12" s="197"/>
      <c r="D12" s="197"/>
      <c r="E12" s="197" t="s">
        <v>58</v>
      </c>
      <c r="F12" s="197"/>
      <c r="G12" s="197"/>
      <c r="H12" s="197"/>
      <c r="I12" s="197"/>
      <c r="J12" s="197"/>
      <c r="K12" s="317" t="s">
        <v>56</v>
      </c>
      <c r="L12" s="197"/>
      <c r="M12" s="197" t="s">
        <v>349</v>
      </c>
      <c r="N12" s="197"/>
      <c r="O12" s="197" t="s">
        <v>56</v>
      </c>
      <c r="P12" s="197"/>
      <c r="Q12" s="197" t="s">
        <v>59</v>
      </c>
      <c r="R12" s="197"/>
      <c r="S12" s="197"/>
      <c r="T12" s="197"/>
      <c r="U12" s="197"/>
      <c r="V12" s="197"/>
      <c r="W12" s="317" t="s">
        <v>59</v>
      </c>
      <c r="Y12" s="197" t="s">
        <v>58</v>
      </c>
      <c r="AA12" s="197"/>
      <c r="AB12" s="197"/>
      <c r="AC12" s="197"/>
      <c r="AD12" s="197" t="s">
        <v>58</v>
      </c>
      <c r="AE12" s="197"/>
      <c r="AF12" s="197"/>
      <c r="AG12" s="197"/>
      <c r="AH12" s="197"/>
      <c r="AI12" s="311"/>
      <c r="AJ12" s="312"/>
      <c r="AK12" s="311"/>
      <c r="AL12" s="313"/>
      <c r="AM12" s="313"/>
      <c r="AN12" s="313"/>
      <c r="AO12" s="313"/>
      <c r="AP12" s="238"/>
      <c r="AQ12" s="313">
        <f t="shared" si="2"/>
        <v>0</v>
      </c>
      <c r="AR12" s="238"/>
      <c r="AS12" s="238">
        <f t="shared" si="3"/>
        <v>0</v>
      </c>
      <c r="AT12" s="238"/>
      <c r="AU12" s="238">
        <f t="shared" si="4"/>
        <v>0</v>
      </c>
      <c r="AV12" s="238">
        <f t="shared" si="5"/>
        <v>0</v>
      </c>
      <c r="AW12" s="238">
        <f t="shared" si="7"/>
        <v>0</v>
      </c>
      <c r="AX12" s="238" t="e">
        <f t="shared" si="9"/>
        <v>#VALUE!</v>
      </c>
      <c r="AY12" s="313" t="e">
        <f>(BJ12*('Setting key Duty'!$I$8+'Setting key Duty'!$I$12))+(BH12*'Setting key Duty'!$I$9)+(BC12*('Setting key Duty'!$I$13+'Setting key Duty'!$I$9))+(BA12*('Setting key Duty'!$I$13+'Setting key Duty'!$I$12+'Setting key Duty'!$I$11))+(BE12*('Setting key Duty'!$I$8+'Setting key Duty'!$I$9+'Setting key Duty'!$I$12))</f>
        <v>#VALUE!</v>
      </c>
      <c r="AZ12" s="313">
        <f>COUNTIF(D12:Y12,"*BRT*")</f>
        <v>0</v>
      </c>
      <c r="BA12" s="313">
        <f t="shared" si="8"/>
        <v>0</v>
      </c>
      <c r="BB12" s="313" t="e">
        <f>BA12*('Setting key Duty'!$I$13+'Setting key Duty'!$I$12+'Setting key Duty'!$I$11)</f>
        <v>#VALUE!</v>
      </c>
      <c r="BC12" s="313">
        <f>COUNTIF(A12:AI12,"*$L*")</f>
        <v>0</v>
      </c>
      <c r="BD12" s="313" t="e">
        <f>BC12*('Setting key Duty'!$I$13+'Setting key Duty'!$I$9)</f>
        <v>#VALUE!</v>
      </c>
      <c r="BE12" s="313">
        <f>COUNTIF(A12:AI12,"*$M*")</f>
        <v>0</v>
      </c>
      <c r="BF12" s="313">
        <f>BE12*('Setting key Duty'!$I$8+'Setting key Duty'!$I$9+'Setting key Duty'!$I$12)</f>
        <v>0</v>
      </c>
      <c r="BG12" s="313">
        <f>COUNTIF(AI12,"*$N*")</f>
        <v>0</v>
      </c>
      <c r="BH12" s="313">
        <f>COUNTIF(AI12,"*$PM*")</f>
        <v>0</v>
      </c>
      <c r="BI12" s="313">
        <f>BH12*('Setting key Duty'!$I$9)</f>
        <v>0</v>
      </c>
      <c r="BJ12" s="313">
        <f>COUNTIF(A12:AI12,"*$AM*")</f>
        <v>0</v>
      </c>
      <c r="BK12" s="313">
        <f>BJ12*('Setting key Duty'!$I$12+'Setting key Duty'!$I$8)</f>
        <v>0</v>
      </c>
      <c r="BL12" s="313">
        <f>COUNTIF(D12:AI12,"*$FC*")</f>
        <v>0</v>
      </c>
      <c r="BM12" s="313">
        <f>BL12*('Setting key Duty'!$J$11+'Setting key Duty'!$I$8)</f>
        <v>0</v>
      </c>
      <c r="BN12" s="313">
        <f>COUNTIF($D12:$Y12,BN$4)</f>
        <v>0</v>
      </c>
      <c r="BO12" s="313">
        <f>COUNTIF($D12:$Y12,BO$4)</f>
        <v>0</v>
      </c>
      <c r="BP12" s="313">
        <f>COUNTIF($D12:$Y12,BP$4)</f>
        <v>0</v>
      </c>
      <c r="BQ12" s="314"/>
    </row>
    <row r="13" ht="24" customHeight="1" spans="1:69">
      <c r="A13" s="309"/>
      <c r="B13" s="335" t="s">
        <v>353</v>
      </c>
      <c r="C13" s="197" t="s">
        <v>350</v>
      </c>
      <c r="D13" s="197"/>
      <c r="F13" s="197" t="s">
        <v>57</v>
      </c>
      <c r="H13" s="197"/>
      <c r="I13" s="317" t="s">
        <v>57</v>
      </c>
      <c r="J13" s="317"/>
      <c r="K13" s="197" t="s">
        <v>350</v>
      </c>
      <c r="L13" s="197"/>
      <c r="M13" s="317"/>
      <c r="N13" s="197" t="s">
        <v>378</v>
      </c>
      <c r="O13" s="197"/>
      <c r="P13" s="197" t="s">
        <v>57</v>
      </c>
      <c r="R13" s="197"/>
      <c r="S13" s="197" t="s">
        <v>349</v>
      </c>
      <c r="T13" s="196" t="s">
        <v>56</v>
      </c>
      <c r="U13" s="197"/>
      <c r="V13" s="197"/>
      <c r="X13" s="197" t="s">
        <v>56</v>
      </c>
      <c r="Z13" s="197"/>
      <c r="AA13" s="197"/>
      <c r="AB13" s="197"/>
      <c r="AC13" s="197" t="s">
        <v>350</v>
      </c>
      <c r="AD13" s="197"/>
      <c r="AE13" s="197"/>
      <c r="AF13" s="106"/>
      <c r="AG13" s="197"/>
      <c r="AH13" s="197" t="s">
        <v>57</v>
      </c>
      <c r="AI13" s="311">
        <f t="shared" ref="AI13:AO13" si="10">COUNTIF($C13:$AB13,AI$4)</f>
        <v>3</v>
      </c>
      <c r="AJ13" s="312">
        <f t="shared" si="10"/>
        <v>2</v>
      </c>
      <c r="AK13" s="311">
        <f t="shared" si="10"/>
        <v>0</v>
      </c>
      <c r="AL13" s="313">
        <f t="shared" si="10"/>
        <v>0</v>
      </c>
      <c r="AM13" s="313">
        <f t="shared" si="10"/>
        <v>0</v>
      </c>
      <c r="AN13" s="313">
        <f t="shared" si="10"/>
        <v>0</v>
      </c>
      <c r="AO13" s="313">
        <f t="shared" si="10"/>
        <v>1</v>
      </c>
      <c r="AP13" s="238"/>
      <c r="AQ13" s="313">
        <f t="shared" si="2"/>
        <v>0</v>
      </c>
      <c r="AR13" s="238"/>
      <c r="AS13" s="238">
        <f t="shared" si="3"/>
        <v>0</v>
      </c>
      <c r="AT13" s="238"/>
      <c r="AU13" s="238">
        <f t="shared" si="4"/>
        <v>0</v>
      </c>
      <c r="AV13" s="238">
        <f t="shared" si="5"/>
        <v>6</v>
      </c>
      <c r="AW13" s="238">
        <f t="shared" si="7"/>
        <v>0</v>
      </c>
      <c r="AX13" s="238" t="e">
        <f t="shared" si="9"/>
        <v>#VALUE!</v>
      </c>
      <c r="AY13" s="313" t="e">
        <f>(BJ13*('Setting key Duty'!$I$8+'Setting key Duty'!$I$12))+(BH13*'Setting key Duty'!$I$9)+(BC13*('Setting key Duty'!$I$13+'Setting key Duty'!$I$9))+(BA13*('Setting key Duty'!$I$13+'Setting key Duty'!$I$12+'Setting key Duty'!$I$11))+(BE13*('Setting key Duty'!$I$8+'Setting key Duty'!$I$9+'Setting key Duty'!$I$12))</f>
        <v>#VALUE!</v>
      </c>
      <c r="AZ13" s="313">
        <f>COUNTIF(C13:AB13,"*BRT*")</f>
        <v>0</v>
      </c>
      <c r="BA13" s="313">
        <f t="shared" si="8"/>
        <v>0</v>
      </c>
      <c r="BB13" s="313" t="e">
        <f>BA13*('Setting key Duty'!$I$13+'Setting key Duty'!$I$12+'Setting key Duty'!$I$11)</f>
        <v>#VALUE!</v>
      </c>
      <c r="BC13" s="313">
        <f>COUNTIF(A13:AI13,"*$L*")</f>
        <v>0</v>
      </c>
      <c r="BD13" s="313" t="e">
        <f>BC13*('Setting key Duty'!$I$13+'Setting key Duty'!$I$9)</f>
        <v>#VALUE!</v>
      </c>
      <c r="BE13" s="313">
        <f>COUNTIF(A13:AI13,"*$M*")</f>
        <v>0</v>
      </c>
      <c r="BF13" s="313">
        <f>BE13*('Setting key Duty'!$I$8+'Setting key Duty'!$I$9+'Setting key Duty'!$I$12)</f>
        <v>0</v>
      </c>
      <c r="BG13" s="313">
        <f>COUNTIF(A13:AI13,"*$N*")</f>
        <v>0</v>
      </c>
      <c r="BH13" s="313">
        <f>COUNTIF(AI13,"*$PM*")</f>
        <v>0</v>
      </c>
      <c r="BI13" s="313">
        <f>BH13*('Setting key Duty'!$I$9)</f>
        <v>0</v>
      </c>
      <c r="BJ13" s="313">
        <f>COUNTIF(A13:AI13,"*$AM*")</f>
        <v>0</v>
      </c>
      <c r="BK13" s="313">
        <f>BJ13*('Setting key Duty'!$I$12+'Setting key Duty'!$I$8)</f>
        <v>0</v>
      </c>
      <c r="BL13" s="313">
        <f>COUNTIF(C13:AI13,"*$FC*")</f>
        <v>0</v>
      </c>
      <c r="BM13" s="313">
        <f>BL13*('Setting key Duty'!$J$11+'Setting key Duty'!$I$8)</f>
        <v>0</v>
      </c>
      <c r="BN13" s="313">
        <f>COUNTIF($C13:$AB13,BN$4)</f>
        <v>0</v>
      </c>
      <c r="BO13" s="313">
        <f>COUNTIF($C13:$AB13,BO$4)</f>
        <v>2</v>
      </c>
      <c r="BP13" s="313">
        <f>COUNTIF($C13:$AB13,BP$4)</f>
        <v>0</v>
      </c>
      <c r="BQ13" s="314"/>
    </row>
    <row r="14" ht="37.5" customHeight="1" spans="1:69">
      <c r="A14" s="309"/>
      <c r="B14" s="329" t="s">
        <v>224</v>
      </c>
      <c r="C14" s="197"/>
      <c r="D14" s="197" t="s">
        <v>59</v>
      </c>
      <c r="E14" s="197"/>
      <c r="F14" s="197"/>
      <c r="G14" s="197" t="s">
        <v>57</v>
      </c>
      <c r="H14" s="382"/>
      <c r="I14" s="197"/>
      <c r="J14" s="197" t="s">
        <v>162</v>
      </c>
      <c r="K14" s="197" t="s">
        <v>379</v>
      </c>
      <c r="L14" s="197"/>
      <c r="M14" s="197"/>
      <c r="N14" s="197"/>
      <c r="O14" s="197"/>
      <c r="P14" s="197" t="s">
        <v>380</v>
      </c>
      <c r="Q14" s="197" t="s">
        <v>380</v>
      </c>
      <c r="R14" s="197" t="s">
        <v>380</v>
      </c>
      <c r="S14" s="197" t="s">
        <v>162</v>
      </c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 t="s">
        <v>350</v>
      </c>
      <c r="AG14" s="197"/>
      <c r="AH14" s="197"/>
      <c r="AI14" s="311">
        <f t="shared" ref="AI14:AO14" si="11">COUNTIF($D14:$AC14,AI$4)</f>
        <v>1</v>
      </c>
      <c r="AJ14" s="312">
        <f t="shared" si="11"/>
        <v>0</v>
      </c>
      <c r="AK14" s="311">
        <f t="shared" si="11"/>
        <v>1</v>
      </c>
      <c r="AL14" s="313">
        <f t="shared" si="11"/>
        <v>0</v>
      </c>
      <c r="AM14" s="313">
        <f t="shared" si="11"/>
        <v>0</v>
      </c>
      <c r="AN14" s="313">
        <f t="shared" si="11"/>
        <v>0</v>
      </c>
      <c r="AO14" s="313">
        <f t="shared" si="11"/>
        <v>0</v>
      </c>
      <c r="AP14" s="238"/>
      <c r="AQ14" s="313">
        <f t="shared" si="2"/>
        <v>0</v>
      </c>
      <c r="AR14" s="238"/>
      <c r="AS14" s="238">
        <f t="shared" si="3"/>
        <v>0</v>
      </c>
      <c r="AT14" s="238"/>
      <c r="AU14" s="238">
        <f t="shared" si="4"/>
        <v>0</v>
      </c>
      <c r="AV14" s="238">
        <f t="shared" si="5"/>
        <v>2</v>
      </c>
      <c r="AW14" s="238">
        <f t="shared" si="7"/>
        <v>0</v>
      </c>
      <c r="AX14" s="238" t="e">
        <f t="shared" si="9"/>
        <v>#VALUE!</v>
      </c>
      <c r="AY14" s="313" t="e">
        <f>(BJ14*('Setting key Duty'!$I$8+'Setting key Duty'!$I$12))+(BH14*'Setting key Duty'!$I$9)+(BC14*('Setting key Duty'!$I$13+'Setting key Duty'!$I$9))+(BA14*('Setting key Duty'!$I$13+'Setting key Duty'!$I$12+'Setting key Duty'!$I$11))+(BE14*('Setting key Duty'!$I$8+'Setting key Duty'!$I$9+'Setting key Duty'!$I$12))</f>
        <v>#VALUE!</v>
      </c>
      <c r="AZ14" s="313">
        <f>COUNTIF(C14:AC14,"*BRT*")</f>
        <v>0</v>
      </c>
      <c r="BA14" s="313">
        <f t="shared" si="8"/>
        <v>0</v>
      </c>
      <c r="BB14" s="313" t="e">
        <f>BA14*('Setting key Duty'!$I$13+'Setting key Duty'!$I$12+'Setting key Duty'!$I$11)</f>
        <v>#VALUE!</v>
      </c>
      <c r="BC14" s="313">
        <f>COUNTIF(A14:AI14,"*$L*")</f>
        <v>0</v>
      </c>
      <c r="BD14" s="313" t="e">
        <f>BC14*('Setting key Duty'!$I$13+'Setting key Duty'!$I$9)</f>
        <v>#VALUE!</v>
      </c>
      <c r="BE14" s="313">
        <f>COUNTIF(A14:AI14,"*$M*")</f>
        <v>0</v>
      </c>
      <c r="BF14" s="313">
        <f>BE14*('Setting key Duty'!$I$8+'Setting key Duty'!$I$9+'Setting key Duty'!$I$12)</f>
        <v>0</v>
      </c>
      <c r="BG14" s="313">
        <f>COUNTIF(AI14,"*$N*")</f>
        <v>0</v>
      </c>
      <c r="BH14" s="313">
        <f>COUNTIF(AI14,"*$PM*")</f>
        <v>0</v>
      </c>
      <c r="BI14" s="313">
        <f>BH14*('Setting key Duty'!$I$9)</f>
        <v>0</v>
      </c>
      <c r="BJ14" s="313">
        <f>COUNTIF(A14:AI14,"*$AM*")</f>
        <v>0</v>
      </c>
      <c r="BK14" s="313">
        <f>BJ14*('Setting key Duty'!$I$12+'Setting key Duty'!$I$8)</f>
        <v>0</v>
      </c>
      <c r="BL14" s="313">
        <f>COUNTIF(C14:AI14,"*$FC*")</f>
        <v>0</v>
      </c>
      <c r="BM14" s="313">
        <f>BL14*('Setting key Duty'!$J$11+'Setting key Duty'!$I$8)</f>
        <v>0</v>
      </c>
      <c r="BN14" s="313">
        <f>COUNTIF($C14:$AC14,BN$4)</f>
        <v>0</v>
      </c>
      <c r="BO14" s="313">
        <f>COUNTIF($C14:$AC14,BO$4)</f>
        <v>0</v>
      </c>
      <c r="BP14" s="313">
        <f>COUNTIF($C14:$AC14,BP$4)</f>
        <v>0</v>
      </c>
      <c r="BQ14" s="314"/>
    </row>
    <row r="15" ht="19.5" customHeight="1" spans="1:69">
      <c r="A15" s="309"/>
      <c r="B15" s="315" t="s">
        <v>226</v>
      </c>
      <c r="C15" s="197" t="s">
        <v>55</v>
      </c>
      <c r="D15" s="197"/>
      <c r="E15" s="197"/>
      <c r="F15" s="197"/>
      <c r="G15" s="197"/>
      <c r="H15" s="197"/>
      <c r="I15" s="197"/>
      <c r="J15" s="197" t="s">
        <v>162</v>
      </c>
      <c r="K15" s="197" t="s">
        <v>379</v>
      </c>
      <c r="L15" s="197"/>
      <c r="M15" s="317" t="s">
        <v>349</v>
      </c>
      <c r="N15" s="197"/>
      <c r="O15" s="197"/>
      <c r="P15" s="197" t="s">
        <v>380</v>
      </c>
      <c r="Q15" s="197" t="s">
        <v>380</v>
      </c>
      <c r="R15" s="197" t="s">
        <v>380</v>
      </c>
      <c r="S15" s="197" t="s">
        <v>162</v>
      </c>
      <c r="T15" s="197"/>
      <c r="U15" s="197"/>
      <c r="V15" s="197"/>
      <c r="W15" s="197"/>
      <c r="X15" s="197"/>
      <c r="Y15" s="197"/>
      <c r="Z15" s="197" t="s">
        <v>381</v>
      </c>
      <c r="AA15" s="197"/>
      <c r="AB15" s="197"/>
      <c r="AC15" s="197"/>
      <c r="AD15" s="197"/>
      <c r="AE15" s="197"/>
      <c r="AF15" s="197"/>
      <c r="AG15" s="197"/>
      <c r="AH15" s="197"/>
      <c r="AI15" s="311">
        <f t="shared" ref="AI15:AO15" si="12">COUNTIF($D15:$AA15,AI$4)</f>
        <v>0</v>
      </c>
      <c r="AJ15" s="312">
        <f t="shared" si="12"/>
        <v>0</v>
      </c>
      <c r="AK15" s="311">
        <f t="shared" si="12"/>
        <v>0</v>
      </c>
      <c r="AL15" s="313">
        <f t="shared" si="12"/>
        <v>0</v>
      </c>
      <c r="AM15" s="313">
        <f t="shared" si="12"/>
        <v>0</v>
      </c>
      <c r="AN15" s="313">
        <f t="shared" si="12"/>
        <v>0</v>
      </c>
      <c r="AO15" s="313">
        <f t="shared" si="12"/>
        <v>0</v>
      </c>
      <c r="AP15" s="238"/>
      <c r="AQ15" s="313">
        <f t="shared" si="2"/>
        <v>0</v>
      </c>
      <c r="AR15" s="238"/>
      <c r="AS15" s="238">
        <f t="shared" si="3"/>
        <v>0</v>
      </c>
      <c r="AT15" s="238"/>
      <c r="AU15" s="238">
        <f t="shared" si="4"/>
        <v>0</v>
      </c>
      <c r="AV15" s="238">
        <f t="shared" si="5"/>
        <v>0</v>
      </c>
      <c r="AW15" s="238">
        <f t="shared" si="7"/>
        <v>0</v>
      </c>
      <c r="AX15" s="238" t="e">
        <f t="shared" si="9"/>
        <v>#VALUE!</v>
      </c>
      <c r="AY15" s="313" t="e">
        <f>(BJ15*('Setting key Duty'!$I$8+'Setting key Duty'!$I$12))+(BH15*'Setting key Duty'!$I$9)+(BC15*('Setting key Duty'!$I$13+'Setting key Duty'!$I$9))+(BA15*('Setting key Duty'!$I$13+'Setting key Duty'!$I$12+'Setting key Duty'!$I$11))+(BE15*('Setting key Duty'!$I$8+'Setting key Duty'!$I$9+'Setting key Duty'!$I$12))</f>
        <v>#VALUE!</v>
      </c>
      <c r="AZ15" s="313">
        <f>COUNTIF(D15:AA15,"*BRT*")</f>
        <v>0</v>
      </c>
      <c r="BA15" s="313">
        <f t="shared" si="8"/>
        <v>0</v>
      </c>
      <c r="BB15" s="313" t="e">
        <f>BA15*('Setting key Duty'!$I$13+'Setting key Duty'!$I$12+'Setting key Duty'!$I$11)</f>
        <v>#VALUE!</v>
      </c>
      <c r="BC15" s="313">
        <f>COUNTIF(A15:AI15,"*$L*")</f>
        <v>0</v>
      </c>
      <c r="BD15" s="313" t="e">
        <f>BC15*('Setting key Duty'!$I$13+'Setting key Duty'!$I$9)</f>
        <v>#VALUE!</v>
      </c>
      <c r="BE15" s="313">
        <f>COUNTIF(A15:AI15,"*$M*")</f>
        <v>0</v>
      </c>
      <c r="BF15" s="313">
        <f>BE15*('Setting key Duty'!$I$8+'Setting key Duty'!$I$9+'Setting key Duty'!$I$12)</f>
        <v>0</v>
      </c>
      <c r="BG15" s="313">
        <f>COUNTIF(A15:AI15,"*$N*")</f>
        <v>0</v>
      </c>
      <c r="BH15" s="313">
        <f>COUNTIF(AI15,"*$PM*")</f>
        <v>0</v>
      </c>
      <c r="BI15" s="313">
        <f>BH15*('Setting key Duty'!$I$9)</f>
        <v>0</v>
      </c>
      <c r="BJ15" s="313">
        <f>COUNTIF(A15:AI15,"*$AM*")</f>
        <v>0</v>
      </c>
      <c r="BK15" s="313">
        <f>BJ15*('Setting key Duty'!$I$12+'Setting key Duty'!$I$8)</f>
        <v>0</v>
      </c>
      <c r="BL15" s="313">
        <f>COUNTIF(D15:AI15,"*$FC*")</f>
        <v>0</v>
      </c>
      <c r="BM15" s="313">
        <f>BL15*('Setting key Duty'!$J$11+'Setting key Duty'!$I$8)</f>
        <v>0</v>
      </c>
      <c r="BN15" s="313">
        <f>COUNTIF($D15:$AA15,BN$4)</f>
        <v>0</v>
      </c>
      <c r="BO15" s="313">
        <f>COUNTIF($D15:$AA15,BO$4)</f>
        <v>0</v>
      </c>
      <c r="BP15" s="313">
        <f>COUNTIF($D15:$AA15,BP$4)</f>
        <v>0</v>
      </c>
      <c r="BQ15" s="314"/>
    </row>
    <row r="16" ht="19.5" customHeight="1" spans="1:69">
      <c r="A16" s="309"/>
      <c r="B16" s="334" t="s">
        <v>286</v>
      </c>
      <c r="C16" s="197" t="s">
        <v>57</v>
      </c>
      <c r="D16" s="197"/>
      <c r="E16" s="197" t="s">
        <v>350</v>
      </c>
      <c r="F16" s="324"/>
      <c r="G16" s="324"/>
      <c r="H16" s="324"/>
      <c r="I16" s="197" t="s">
        <v>350</v>
      </c>
      <c r="J16" s="317" t="s">
        <v>57</v>
      </c>
      <c r="L16" s="317"/>
      <c r="M16" s="317" t="s">
        <v>57</v>
      </c>
      <c r="N16" s="197"/>
      <c r="P16" s="197"/>
      <c r="Q16" s="197"/>
      <c r="R16" s="321" t="s">
        <v>57</v>
      </c>
      <c r="S16" s="197"/>
      <c r="T16" s="196"/>
      <c r="U16" s="197" t="s">
        <v>57</v>
      </c>
      <c r="V16" s="197"/>
      <c r="W16" s="197" t="s">
        <v>58</v>
      </c>
      <c r="Y16" s="197" t="s">
        <v>61</v>
      </c>
      <c r="Z16" s="197"/>
      <c r="AA16" s="197"/>
      <c r="AB16" s="106"/>
      <c r="AD16" s="197"/>
      <c r="AE16" s="197"/>
      <c r="AF16" s="197"/>
      <c r="AG16" s="197" t="s">
        <v>57</v>
      </c>
      <c r="AH16" s="197"/>
      <c r="AI16" s="311">
        <f t="shared" ref="AI16:AO16" si="13">COUNTIF($C16:$AF16,AI$4)</f>
        <v>5</v>
      </c>
      <c r="AJ16" s="312">
        <f t="shared" si="13"/>
        <v>0</v>
      </c>
      <c r="AK16" s="311">
        <f t="shared" si="13"/>
        <v>0</v>
      </c>
      <c r="AL16" s="313">
        <f t="shared" si="13"/>
        <v>1</v>
      </c>
      <c r="AM16" s="313">
        <f t="shared" si="13"/>
        <v>0</v>
      </c>
      <c r="AN16" s="313">
        <f t="shared" si="13"/>
        <v>0</v>
      </c>
      <c r="AO16" s="313">
        <f t="shared" si="13"/>
        <v>0</v>
      </c>
      <c r="AP16" s="238"/>
      <c r="AQ16" s="313">
        <f t="shared" si="2"/>
        <v>0</v>
      </c>
      <c r="AR16" s="238"/>
      <c r="AS16" s="238">
        <f t="shared" si="3"/>
        <v>0</v>
      </c>
      <c r="AT16" s="238"/>
      <c r="AU16" s="238">
        <f t="shared" si="4"/>
        <v>0</v>
      </c>
      <c r="AV16" s="238">
        <f t="shared" si="5"/>
        <v>6</v>
      </c>
      <c r="AW16" s="238">
        <f t="shared" si="7"/>
        <v>0</v>
      </c>
      <c r="AX16" s="238" t="e">
        <f t="shared" si="9"/>
        <v>#VALUE!</v>
      </c>
      <c r="AY16" s="313" t="e">
        <f>(BJ16*('Setting key Duty'!$I$8+'Setting key Duty'!$I$12))+(BH16*'Setting key Duty'!$I$9)+(BC16*('Setting key Duty'!$I$13+'Setting key Duty'!$I$9))+(BA16*('Setting key Duty'!$I$13+'Setting key Duty'!$I$12+'Setting key Duty'!$I$11))+(BE16*('Setting key Duty'!$I$8+'Setting key Duty'!$I$9+'Setting key Duty'!$I$12))</f>
        <v>#VALUE!</v>
      </c>
      <c r="AZ16" s="313">
        <f>COUNTIF(C16:AC16,"*BRT*")</f>
        <v>0</v>
      </c>
      <c r="BA16" s="313">
        <f t="shared" si="8"/>
        <v>0</v>
      </c>
      <c r="BB16" s="313" t="e">
        <f>BA16*('Setting key Duty'!$I$13+'Setting key Duty'!$I$12+'Setting key Duty'!$I$11)</f>
        <v>#VALUE!</v>
      </c>
      <c r="BC16" s="313">
        <f>COUNTIF(I16:AI16,"*$L*")</f>
        <v>0</v>
      </c>
      <c r="BD16" s="313" t="e">
        <f>BC16*('Setting key Duty'!$I$13+'Setting key Duty'!$I$9)</f>
        <v>#VALUE!</v>
      </c>
      <c r="BE16" s="313">
        <f>COUNTIF(I16:AI16,"*$M*")</f>
        <v>0</v>
      </c>
      <c r="BF16" s="313">
        <f>BE16*('Setting key Duty'!$I$8+'Setting key Duty'!$I$9+'Setting key Duty'!$I$12)</f>
        <v>0</v>
      </c>
      <c r="BG16" s="313">
        <f>COUNTIF(I16:AI16,"*$N*")</f>
        <v>0</v>
      </c>
      <c r="BH16" s="313">
        <f>COUNTIF(I16:AI16,"*$PM*")</f>
        <v>0</v>
      </c>
      <c r="BI16" s="313">
        <f>BH16*('Setting key Duty'!$I$9)</f>
        <v>0</v>
      </c>
      <c r="BJ16" s="313">
        <f>COUNTIF(I16:AI16,"*$AM*")</f>
        <v>0</v>
      </c>
      <c r="BK16" s="313">
        <f>BJ16*('Setting key Duty'!$I$12+'Setting key Duty'!$I$8)</f>
        <v>0</v>
      </c>
      <c r="BL16" s="313">
        <f>COUNTIF(C16:AI16,"*$FC*")</f>
        <v>0</v>
      </c>
      <c r="BM16" s="313">
        <f>BL16*('Setting key Duty'!$J$11+'Setting key Duty'!$I$8)</f>
        <v>0</v>
      </c>
      <c r="BN16" s="313">
        <f>COUNTIF($C16:$AF16,BN$4)</f>
        <v>0</v>
      </c>
      <c r="BO16" s="313">
        <f>COUNTIF($C16:$AF16,BO$4)</f>
        <v>2</v>
      </c>
      <c r="BP16" s="313">
        <f>COUNTIF($I16:$AE16,BP$4)</f>
        <v>0</v>
      </c>
      <c r="BQ16" s="314"/>
    </row>
    <row r="17" ht="19.5" customHeight="1" spans="1:69">
      <c r="A17" s="309"/>
      <c r="B17" s="329" t="s">
        <v>289</v>
      </c>
      <c r="C17" s="197" t="s">
        <v>59</v>
      </c>
      <c r="D17" s="197"/>
      <c r="E17" s="197" t="s">
        <v>59</v>
      </c>
      <c r="F17" s="197"/>
      <c r="H17" s="197"/>
      <c r="I17" s="197" t="s">
        <v>59</v>
      </c>
      <c r="J17" s="317"/>
      <c r="M17" s="106"/>
      <c r="N17" s="317"/>
      <c r="P17" s="317"/>
      <c r="Q17" s="317" t="s">
        <v>58</v>
      </c>
      <c r="R17" s="197"/>
      <c r="S17" s="197"/>
      <c r="T17" s="196"/>
      <c r="U17" s="317"/>
      <c r="V17" s="106"/>
      <c r="W17" s="197"/>
      <c r="X17" s="197" t="s">
        <v>59</v>
      </c>
      <c r="Y17" s="197"/>
      <c r="Z17" s="197" t="s">
        <v>59</v>
      </c>
      <c r="AA17" s="197"/>
      <c r="AB17" s="197"/>
      <c r="AC17" s="197"/>
      <c r="AD17" s="197" t="s">
        <v>59</v>
      </c>
      <c r="AE17" s="197"/>
      <c r="AF17" s="197" t="s">
        <v>350</v>
      </c>
      <c r="AG17" s="317"/>
      <c r="AI17" s="311"/>
      <c r="AJ17" s="312"/>
      <c r="AK17" s="311"/>
      <c r="AL17" s="313"/>
      <c r="AM17" s="313"/>
      <c r="AN17" s="313"/>
      <c r="AO17" s="313"/>
      <c r="AP17" s="238"/>
      <c r="AQ17" s="313">
        <f t="shared" si="2"/>
        <v>0</v>
      </c>
      <c r="AR17" s="238"/>
      <c r="AS17" s="238">
        <f t="shared" si="3"/>
        <v>0</v>
      </c>
      <c r="AT17" s="238"/>
      <c r="AU17" s="238">
        <f t="shared" si="4"/>
        <v>0</v>
      </c>
      <c r="AV17" s="238">
        <f t="shared" si="5"/>
        <v>0</v>
      </c>
      <c r="AW17" s="238">
        <f t="shared" si="7"/>
        <v>0</v>
      </c>
      <c r="AX17" s="238" t="e">
        <f>AU17+$AY$10</f>
        <v>#VALUE!</v>
      </c>
      <c r="AY17" s="313" t="e">
        <f>(BJ17*('Setting key Duty'!$I$8+'Setting key Duty'!$I$12))+(BH17*'Setting key Duty'!$I$9)+(BC17*('Setting key Duty'!$I$13+'Setting key Duty'!$I$9))+(BA17*('Setting key Duty'!$I$13+'Setting key Duty'!$I$12+'Setting key Duty'!$I$11))+(BE17*('Setting key Duty'!$I$8+'Setting key Duty'!$I$9+'Setting key Duty'!$I$12))</f>
        <v>#VALUE!</v>
      </c>
      <c r="AZ17" s="313">
        <f>COUNTIF(D17:AA17,"*BRT*")</f>
        <v>0</v>
      </c>
      <c r="BA17" s="313">
        <f t="shared" si="8"/>
        <v>0</v>
      </c>
      <c r="BB17" s="313" t="e">
        <f>BA17*('Setting key Duty'!$I$13+'Setting key Duty'!$I$12+'Setting key Duty'!$I$11)</f>
        <v>#VALUE!</v>
      </c>
      <c r="BC17" s="313">
        <f t="shared" ref="BC17:BC23" si="14">COUNTIF(A17:AI17,"*$L*")</f>
        <v>0</v>
      </c>
      <c r="BD17" s="313" t="e">
        <f>BC17*('Setting key Duty'!$I$13+'Setting key Duty'!$I$9)</f>
        <v>#VALUE!</v>
      </c>
      <c r="BE17" s="313">
        <f t="shared" ref="BE17:BE23" si="15">COUNTIF(A17:AI17,"*$M*")</f>
        <v>0</v>
      </c>
      <c r="BF17" s="313">
        <f>BE17*('Setting key Duty'!$I$8+'Setting key Duty'!$I$9+'Setting key Duty'!$I$12)</f>
        <v>0</v>
      </c>
      <c r="BG17" s="313">
        <f>COUNTIF(AI17,"*$N*")</f>
        <v>0</v>
      </c>
      <c r="BH17" s="313">
        <f>COUNTIF(AI17,"*$PM*")</f>
        <v>0</v>
      </c>
      <c r="BI17" s="313">
        <f>BH17*('Setting key Duty'!$I$9)</f>
        <v>0</v>
      </c>
      <c r="BJ17" s="313">
        <f t="shared" ref="BJ17:BJ23" si="16">COUNTIF(A17:AI17,"*$AM*")</f>
        <v>0</v>
      </c>
      <c r="BK17" s="313">
        <f>BJ17*('Setting key Duty'!$I$12+'Setting key Duty'!$I$8)</f>
        <v>0</v>
      </c>
      <c r="BL17" s="313">
        <f>COUNTIF(D17:AI17,"*$FC*")</f>
        <v>0</v>
      </c>
      <c r="BM17" s="313">
        <f>BL17*('Setting key Duty'!$J$11+'Setting key Duty'!$I$8)</f>
        <v>0</v>
      </c>
      <c r="BN17" s="313">
        <f>COUNTIF($D17:$AA17,BN$4)</f>
        <v>0</v>
      </c>
      <c r="BO17" s="313">
        <f>COUNTIF($D17:$AA17,BO$4)</f>
        <v>0</v>
      </c>
      <c r="BP17" s="313">
        <f>COUNTIF($D17:$AA17,BP$4)</f>
        <v>0</v>
      </c>
      <c r="BQ17" s="314"/>
    </row>
    <row r="18" ht="19.5" customHeight="1" spans="1:69">
      <c r="A18" s="309"/>
      <c r="B18" s="373" t="s">
        <v>121</v>
      </c>
      <c r="C18" s="197" t="s">
        <v>350</v>
      </c>
      <c r="D18" s="197"/>
      <c r="E18" s="197" t="s">
        <v>55</v>
      </c>
      <c r="F18" s="197" t="s">
        <v>55</v>
      </c>
      <c r="H18" s="197" t="s">
        <v>350</v>
      </c>
      <c r="I18" s="197"/>
      <c r="K18" s="317" t="s">
        <v>59</v>
      </c>
      <c r="L18" s="197"/>
      <c r="M18" s="317" t="s">
        <v>59</v>
      </c>
      <c r="N18" s="197"/>
      <c r="P18" s="197"/>
      <c r="Q18" s="197" t="s">
        <v>350</v>
      </c>
      <c r="S18" s="197" t="s">
        <v>56</v>
      </c>
      <c r="T18" s="196"/>
      <c r="U18" s="197" t="s">
        <v>56</v>
      </c>
      <c r="V18" s="197"/>
      <c r="W18" s="197"/>
      <c r="X18" s="197" t="s">
        <v>58</v>
      </c>
      <c r="Z18" s="197"/>
      <c r="AA18" s="197" t="s">
        <v>59</v>
      </c>
      <c r="AB18" s="197"/>
      <c r="AC18" s="197"/>
      <c r="AD18" s="197"/>
      <c r="AG18" s="317" t="s">
        <v>59</v>
      </c>
      <c r="AH18" s="197"/>
      <c r="AI18" s="311"/>
      <c r="AJ18" s="312"/>
      <c r="AK18" s="311"/>
      <c r="AL18" s="313"/>
      <c r="AM18" s="313"/>
      <c r="AN18" s="313"/>
      <c r="AO18" s="313"/>
      <c r="AP18" s="238"/>
      <c r="AQ18" s="313">
        <f t="shared" si="2"/>
        <v>0</v>
      </c>
      <c r="AR18" s="238"/>
      <c r="AS18" s="238">
        <f t="shared" si="3"/>
        <v>0</v>
      </c>
      <c r="AT18" s="238"/>
      <c r="AU18" s="238">
        <f t="shared" si="4"/>
        <v>0</v>
      </c>
      <c r="AV18" s="238">
        <f t="shared" si="5"/>
        <v>0</v>
      </c>
      <c r="AW18" s="238">
        <f t="shared" si="7"/>
        <v>0</v>
      </c>
      <c r="AX18" s="238" t="e">
        <f>AU18+$AY$10</f>
        <v>#VALUE!</v>
      </c>
      <c r="AY18" s="313" t="e">
        <f>(BJ18*('Setting key Duty'!$I$8+'Setting key Duty'!$I$12))+(BH18*'Setting key Duty'!$I$9)+(BC18*('Setting key Duty'!$I$13+'Setting key Duty'!$I$9))+(BA18*('Setting key Duty'!$I$13+'Setting key Duty'!$I$12+'Setting key Duty'!$I$11))+(BE18*('Setting key Duty'!$I$8+'Setting key Duty'!$I$9+'Setting key Duty'!$I$12))</f>
        <v>#VALUE!</v>
      </c>
      <c r="AZ18" s="313">
        <f>COUNTIF(D18:Y18,"*BRT*")</f>
        <v>0</v>
      </c>
      <c r="BA18" s="313">
        <f t="shared" si="8"/>
        <v>0</v>
      </c>
      <c r="BB18" s="313" t="e">
        <f>BA18*('Setting key Duty'!$I$13+'Setting key Duty'!$I$12+'Setting key Duty'!$I$11)</f>
        <v>#VALUE!</v>
      </c>
      <c r="BC18" s="313">
        <f t="shared" si="14"/>
        <v>0</v>
      </c>
      <c r="BD18" s="313" t="e">
        <f>BC18*('Setting key Duty'!$I$13+'Setting key Duty'!$I$9)</f>
        <v>#VALUE!</v>
      </c>
      <c r="BE18" s="313">
        <f t="shared" si="15"/>
        <v>0</v>
      </c>
      <c r="BF18" s="313">
        <f>BE18*('Setting key Duty'!$I$8+'Setting key Duty'!$I$9+'Setting key Duty'!$I$12)</f>
        <v>0</v>
      </c>
      <c r="BG18" s="313">
        <f>COUNTIF(AI18,"*$N*")</f>
        <v>0</v>
      </c>
      <c r="BH18" s="313">
        <f>COUNTIF(AI18,"*$PM*")</f>
        <v>0</v>
      </c>
      <c r="BI18" s="313">
        <f>BH18*('Setting key Duty'!$I$9)</f>
        <v>0</v>
      </c>
      <c r="BJ18" s="313">
        <f t="shared" si="16"/>
        <v>0</v>
      </c>
      <c r="BK18" s="313">
        <f>BJ18*('Setting key Duty'!$I$12+'Setting key Duty'!$I$8)</f>
        <v>0</v>
      </c>
      <c r="BL18" s="313">
        <f>COUNTIF(D18:AI18,"*$FC*")</f>
        <v>0</v>
      </c>
      <c r="BM18" s="313">
        <f>BL18*('Setting key Duty'!$J$11+'Setting key Duty'!$I$8)</f>
        <v>0</v>
      </c>
      <c r="BN18" s="313">
        <f>COUNTIF($D18:$Y18,BN$4)</f>
        <v>0</v>
      </c>
      <c r="BO18" s="313">
        <f>COUNTIF($D18:$Y18,BO$4)</f>
        <v>2</v>
      </c>
      <c r="BP18" s="313">
        <f>COUNTIF($D18:$Y18,BP$4)</f>
        <v>2</v>
      </c>
      <c r="BQ18" s="314"/>
    </row>
    <row r="19" ht="26.25" customHeight="1" spans="1:69">
      <c r="A19" s="309"/>
      <c r="B19" s="333" t="s">
        <v>300</v>
      </c>
      <c r="C19" s="197" t="s">
        <v>229</v>
      </c>
      <c r="D19" s="197" t="s">
        <v>229</v>
      </c>
      <c r="E19" s="197"/>
      <c r="F19" s="317" t="s">
        <v>56</v>
      </c>
      <c r="G19" s="197"/>
      <c r="H19" s="197"/>
      <c r="I19" s="197"/>
      <c r="J19" s="197" t="s">
        <v>162</v>
      </c>
      <c r="K19" s="197" t="s">
        <v>379</v>
      </c>
      <c r="L19" s="197"/>
      <c r="M19" s="197"/>
      <c r="N19" s="197"/>
      <c r="O19" s="197"/>
      <c r="P19" s="197" t="s">
        <v>380</v>
      </c>
      <c r="Q19" s="197" t="s">
        <v>380</v>
      </c>
      <c r="R19" s="197" t="s">
        <v>380</v>
      </c>
      <c r="S19" s="197" t="s">
        <v>162</v>
      </c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 t="s">
        <v>350</v>
      </c>
      <c r="AF19" s="197"/>
      <c r="AG19" s="197"/>
      <c r="AH19" s="197"/>
      <c r="AI19" s="311"/>
      <c r="AJ19" s="312"/>
      <c r="AK19" s="311"/>
      <c r="AL19" s="313"/>
      <c r="AM19" s="313"/>
      <c r="AN19" s="313"/>
      <c r="AO19" s="313"/>
      <c r="AP19" s="238"/>
      <c r="AQ19" s="313">
        <f t="shared" si="2"/>
        <v>0</v>
      </c>
      <c r="AR19" s="238"/>
      <c r="AS19" s="238">
        <f t="shared" si="3"/>
        <v>0</v>
      </c>
      <c r="AT19" s="238"/>
      <c r="AU19" s="238">
        <f t="shared" si="4"/>
        <v>0</v>
      </c>
      <c r="AV19" s="238">
        <f t="shared" si="5"/>
        <v>0</v>
      </c>
      <c r="AW19" s="238">
        <f t="shared" si="7"/>
        <v>0</v>
      </c>
      <c r="AX19" s="238" t="e">
        <f>AU19+AY19</f>
        <v>#VALUE!</v>
      </c>
      <c r="AY19" s="313" t="e">
        <f>(BJ19*('Setting key Duty'!$I$8+'Setting key Duty'!$I$12))+(BH19*'Setting key Duty'!$I$9)+(BC19*('Setting key Duty'!$I$13+'Setting key Duty'!$I$9))+(BA19*('Setting key Duty'!$I$13+'Setting key Duty'!$I$12+'Setting key Duty'!$I$11))+(BE19*('Setting key Duty'!$I$8+'Setting key Duty'!$I$9+'Setting key Duty'!$I$12))</f>
        <v>#VALUE!</v>
      </c>
      <c r="AZ19" s="313">
        <f>COUNTIF(E19:AA19,"*BRT*")</f>
        <v>0</v>
      </c>
      <c r="BA19" s="313">
        <f t="shared" si="8"/>
        <v>0</v>
      </c>
      <c r="BB19" s="313" t="e">
        <f>BA19*('Setting key Duty'!$I$13+'Setting key Duty'!$I$12+'Setting key Duty'!$I$11)</f>
        <v>#VALUE!</v>
      </c>
      <c r="BC19" s="313">
        <f t="shared" si="14"/>
        <v>0</v>
      </c>
      <c r="BD19" s="313" t="e">
        <f>BC19*('Setting key Duty'!$I$13+'Setting key Duty'!$I$9)</f>
        <v>#VALUE!</v>
      </c>
      <c r="BE19" s="313">
        <f t="shared" si="15"/>
        <v>0</v>
      </c>
      <c r="BF19" s="313">
        <f>BE19*('Setting key Duty'!$I$8+'Setting key Duty'!$I$9+'Setting key Duty'!$I$12)</f>
        <v>0</v>
      </c>
      <c r="BG19" s="313">
        <f>COUNTIF(AG19:AI19,"*$N*")</f>
        <v>0</v>
      </c>
      <c r="BH19" s="313">
        <f>COUNTIF(AG19:AI19,"*$PM*")</f>
        <v>0</v>
      </c>
      <c r="BI19" s="313">
        <f>BH19*('Setting key Duty'!$I$9)</f>
        <v>0</v>
      </c>
      <c r="BJ19" s="313">
        <f t="shared" si="16"/>
        <v>0</v>
      </c>
      <c r="BK19" s="313">
        <f>BJ19*('Setting key Duty'!$I$12+'Setting key Duty'!$I$8)</f>
        <v>0</v>
      </c>
      <c r="BL19" s="313">
        <f>COUNTIF(E19:AI19,"*$FC*")</f>
        <v>0</v>
      </c>
      <c r="BM19" s="313">
        <f>BL19*('Setting key Duty'!$J$11+'Setting key Duty'!$I$8)</f>
        <v>0</v>
      </c>
      <c r="BN19" s="313">
        <f>COUNTIF($E19:$AA19,BN$4)</f>
        <v>0</v>
      </c>
      <c r="BO19" s="313">
        <f>COUNTIF($E19:$AA19,BO$4)</f>
        <v>0</v>
      </c>
      <c r="BP19" s="313">
        <f>COUNTIF($E19:$AA19,BP$4)</f>
        <v>0</v>
      </c>
      <c r="BQ19" s="314"/>
    </row>
    <row r="20" ht="19.5" customHeight="1" spans="1:69">
      <c r="A20" s="309"/>
      <c r="B20" s="329" t="s">
        <v>382</v>
      </c>
      <c r="C20" s="197" t="s">
        <v>56</v>
      </c>
      <c r="D20" s="197"/>
      <c r="E20" s="197" t="s">
        <v>57</v>
      </c>
      <c r="G20" s="317"/>
      <c r="H20" s="197" t="s">
        <v>350</v>
      </c>
      <c r="I20" s="317"/>
      <c r="J20" s="197" t="s">
        <v>162</v>
      </c>
      <c r="K20" s="197" t="s">
        <v>379</v>
      </c>
      <c r="L20" s="197"/>
      <c r="M20" s="197" t="s">
        <v>69</v>
      </c>
      <c r="N20" s="197"/>
      <c r="O20" s="197"/>
      <c r="P20" s="197" t="s">
        <v>380</v>
      </c>
      <c r="Q20" s="197" t="s">
        <v>380</v>
      </c>
      <c r="R20" s="197" t="s">
        <v>380</v>
      </c>
      <c r="S20" s="197" t="s">
        <v>162</v>
      </c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 t="s">
        <v>58</v>
      </c>
      <c r="AG20" s="197"/>
      <c r="AH20" s="197"/>
      <c r="AI20" s="311"/>
      <c r="AJ20" s="312"/>
      <c r="AK20" s="311"/>
      <c r="AL20" s="313"/>
      <c r="AM20" s="313"/>
      <c r="AN20" s="313"/>
      <c r="AO20" s="313"/>
      <c r="AP20" s="238"/>
      <c r="AQ20" s="313">
        <f t="shared" si="2"/>
        <v>0</v>
      </c>
      <c r="AR20" s="238"/>
      <c r="AS20" s="238">
        <f t="shared" si="3"/>
        <v>0</v>
      </c>
      <c r="AT20" s="238"/>
      <c r="AU20" s="238">
        <f t="shared" si="4"/>
        <v>0</v>
      </c>
      <c r="AV20" s="238">
        <f t="shared" si="5"/>
        <v>0</v>
      </c>
      <c r="AW20" s="238">
        <f t="shared" si="7"/>
        <v>0</v>
      </c>
      <c r="AX20" s="238" t="e">
        <f>AU20+AY20</f>
        <v>#VALUE!</v>
      </c>
      <c r="AY20" s="313" t="e">
        <f>(BJ20*('Setting key Duty'!$I$8+'Setting key Duty'!$I$12))+(BH20*'Setting key Duty'!$I$9)+(BC20*('Setting key Duty'!$I$13+'Setting key Duty'!$I$9))+(BA20*('Setting key Duty'!$I$13+'Setting key Duty'!$I$12+'Setting key Duty'!$I$11))+(BE20*('Setting key Duty'!$I$8+'Setting key Duty'!$I$9+'Setting key Duty'!$I$12))</f>
        <v>#VALUE!</v>
      </c>
      <c r="AZ20" s="313">
        <f>COUNTIF(D20:AC20,"*BRT*")</f>
        <v>0</v>
      </c>
      <c r="BA20" s="313">
        <f t="shared" si="8"/>
        <v>0</v>
      </c>
      <c r="BB20" s="313" t="e">
        <f>BA20*('Setting key Duty'!$I$13+'Setting key Duty'!$I$12+'Setting key Duty'!$I$11)</f>
        <v>#VALUE!</v>
      </c>
      <c r="BC20" s="313">
        <f t="shared" si="14"/>
        <v>0</v>
      </c>
      <c r="BD20" s="313" t="e">
        <f>BC20*('Setting key Duty'!$I$13+'Setting key Duty'!$I$9)</f>
        <v>#VALUE!</v>
      </c>
      <c r="BE20" s="313">
        <f t="shared" si="15"/>
        <v>0</v>
      </c>
      <c r="BF20" s="313">
        <f>BE20*('Setting key Duty'!$I$8+'Setting key Duty'!$I$9+'Setting key Duty'!$I$12)</f>
        <v>0</v>
      </c>
      <c r="BG20" s="313">
        <f>COUNTIF(AF20:AI20,"*$N*")</f>
        <v>0</v>
      </c>
      <c r="BH20" s="313">
        <f>COUNTIF(AF20:AI20,"*$PM*")</f>
        <v>0</v>
      </c>
      <c r="BI20" s="313">
        <f>BH20*('Setting key Duty'!$I$9)</f>
        <v>0</v>
      </c>
      <c r="BJ20" s="313">
        <f t="shared" si="16"/>
        <v>0</v>
      </c>
      <c r="BK20" s="313">
        <f>BJ20*('Setting key Duty'!$I$12+'Setting key Duty'!$I$8)</f>
        <v>0</v>
      </c>
      <c r="BL20" s="313">
        <f>COUNTIF(D20:AI20,"*$FC*")</f>
        <v>0</v>
      </c>
      <c r="BM20" s="313">
        <f>BL20*('Setting key Duty'!$J$11+'Setting key Duty'!$I$8)</f>
        <v>0</v>
      </c>
      <c r="BN20" s="313">
        <f>COUNTIF($D20:$AE20,BN$4)</f>
        <v>0</v>
      </c>
      <c r="BO20" s="313">
        <f>COUNTIF($D20:$AE20,BO$4)</f>
        <v>1</v>
      </c>
      <c r="BP20" s="313">
        <f>COUNTIF($D20:$AE20,BP$4)</f>
        <v>0</v>
      </c>
      <c r="BQ20" s="314"/>
    </row>
    <row r="21" ht="30.75" customHeight="1" spans="1:69">
      <c r="A21" s="309"/>
      <c r="B21" s="315" t="s">
        <v>302</v>
      </c>
      <c r="C21" s="197"/>
      <c r="D21" s="197" t="s">
        <v>350</v>
      </c>
      <c r="E21" s="197" t="s">
        <v>383</v>
      </c>
      <c r="F21" s="197" t="s">
        <v>376</v>
      </c>
      <c r="G21" s="197" t="s">
        <v>376</v>
      </c>
      <c r="H21" s="197" t="s">
        <v>376</v>
      </c>
      <c r="I21" s="197" t="s">
        <v>376</v>
      </c>
      <c r="J21" s="197" t="s">
        <v>376</v>
      </c>
      <c r="K21" s="197" t="s">
        <v>376</v>
      </c>
      <c r="L21" s="197" t="s">
        <v>376</v>
      </c>
      <c r="M21" s="197" t="s">
        <v>376</v>
      </c>
      <c r="N21" s="197" t="s">
        <v>59</v>
      </c>
      <c r="O21" s="197" t="s">
        <v>376</v>
      </c>
      <c r="P21" s="197" t="s">
        <v>376</v>
      </c>
      <c r="Q21" s="197" t="s">
        <v>376</v>
      </c>
      <c r="R21" s="197" t="s">
        <v>376</v>
      </c>
      <c r="S21" s="197" t="s">
        <v>376</v>
      </c>
      <c r="T21" s="197"/>
      <c r="U21" s="317" t="s">
        <v>59</v>
      </c>
      <c r="V21" s="197"/>
      <c r="W21" s="197"/>
      <c r="X21" s="197"/>
      <c r="Y21" s="197" t="s">
        <v>384</v>
      </c>
      <c r="Z21" s="331"/>
      <c r="AA21" s="197" t="s">
        <v>58</v>
      </c>
      <c r="AC21" s="197"/>
      <c r="AD21" s="197"/>
      <c r="AE21" s="197" t="s">
        <v>385</v>
      </c>
      <c r="AF21" s="197"/>
      <c r="AG21" s="197" t="s">
        <v>350</v>
      </c>
      <c r="AH21" s="106"/>
      <c r="AI21" s="311"/>
      <c r="AJ21" s="312"/>
      <c r="AK21" s="311"/>
      <c r="AL21" s="313"/>
      <c r="AM21" s="313"/>
      <c r="AN21" s="313"/>
      <c r="AO21" s="313"/>
      <c r="AP21" s="238"/>
      <c r="AQ21" s="313">
        <f t="shared" si="2"/>
        <v>0</v>
      </c>
      <c r="AR21" s="238"/>
      <c r="AS21" s="238">
        <f t="shared" si="3"/>
        <v>0</v>
      </c>
      <c r="AT21" s="238"/>
      <c r="AU21" s="238">
        <f t="shared" si="4"/>
        <v>0</v>
      </c>
      <c r="AV21" s="238">
        <f t="shared" si="5"/>
        <v>0</v>
      </c>
      <c r="AW21" s="238">
        <f t="shared" si="7"/>
        <v>3</v>
      </c>
      <c r="AX21" s="238" t="e">
        <f>AU21+$AY$10</f>
        <v>#VALUE!</v>
      </c>
      <c r="AY21" s="313" t="e">
        <f>(BJ21*('Setting key Duty'!$I$8+'Setting key Duty'!$I$12))+(BH21*'Setting key Duty'!$I$9)+(BC21*('Setting key Duty'!$I$13+'Setting key Duty'!$I$9))+(BA21*('Setting key Duty'!$I$13+'Setting key Duty'!$I$12+'Setting key Duty'!$I$11))+(BE21*('Setting key Duty'!$I$8+'Setting key Duty'!$I$9+'Setting key Duty'!$I$12))</f>
        <v>#VALUE!</v>
      </c>
      <c r="AZ21" s="313">
        <f>COUNTIF(D21:AA21,"*BRT*")</f>
        <v>0</v>
      </c>
      <c r="BA21" s="313">
        <f t="shared" si="8"/>
        <v>0</v>
      </c>
      <c r="BB21" s="313" t="e">
        <f>BA21*('Setting key Duty'!$I$13+'Setting key Duty'!$I$12+'Setting key Duty'!$I$11)</f>
        <v>#VALUE!</v>
      </c>
      <c r="BC21" s="313">
        <f t="shared" si="14"/>
        <v>0</v>
      </c>
      <c r="BD21" s="313" t="e">
        <f>BC21*('Setting key Duty'!$I$13+'Setting key Duty'!$I$9)</f>
        <v>#VALUE!</v>
      </c>
      <c r="BE21" s="313">
        <f t="shared" si="15"/>
        <v>1</v>
      </c>
      <c r="BF21" s="313">
        <f>BE21*('Setting key Duty'!$I$8+'Setting key Duty'!$I$9+'Setting key Duty'!$I$12)</f>
        <v>0.5625</v>
      </c>
      <c r="BG21" s="313">
        <f>COUNTIF(AI21,"*$N*")</f>
        <v>0</v>
      </c>
      <c r="BH21" s="313">
        <f>COUNTIF(AI21,"*$PM*")</f>
        <v>0</v>
      </c>
      <c r="BI21" s="313">
        <f>BH21*('Setting key Duty'!$I$9)</f>
        <v>0</v>
      </c>
      <c r="BJ21" s="313">
        <f t="shared" si="16"/>
        <v>2</v>
      </c>
      <c r="BK21" s="313">
        <f>BJ21*('Setting key Duty'!$I$12+'Setting key Duty'!$I$8)</f>
        <v>0.875</v>
      </c>
      <c r="BL21" s="313">
        <f>COUNTIF(D21:AI21,"*$FC*")</f>
        <v>0</v>
      </c>
      <c r="BM21" s="313">
        <f>BL21*('Setting key Duty'!$J$11+'Setting key Duty'!$I$8)</f>
        <v>0</v>
      </c>
      <c r="BN21" s="313">
        <f>COUNTIF($D21:$AA21,BN$4)</f>
        <v>0</v>
      </c>
      <c r="BO21" s="313">
        <f>COUNTIF($D21:$AA21,BO$4)</f>
        <v>1</v>
      </c>
      <c r="BP21" s="313">
        <f>COUNTIF($D21:$AA21,BP$4)</f>
        <v>0</v>
      </c>
      <c r="BQ21" s="314"/>
    </row>
    <row r="22" ht="27.75" customHeight="1" spans="1:69">
      <c r="A22" s="309"/>
      <c r="B22" s="315" t="s">
        <v>306</v>
      </c>
      <c r="C22" s="197"/>
      <c r="D22" s="197" t="s">
        <v>386</v>
      </c>
      <c r="E22" s="197"/>
      <c r="F22" s="197" t="s">
        <v>350</v>
      </c>
      <c r="G22" s="377"/>
      <c r="H22" s="377" t="s">
        <v>59</v>
      </c>
      <c r="I22" s="317"/>
      <c r="J22" s="197" t="s">
        <v>350</v>
      </c>
      <c r="M22" s="106"/>
      <c r="N22" s="197" t="s">
        <v>350</v>
      </c>
      <c r="P22" s="197" t="s">
        <v>350</v>
      </c>
      <c r="R22" s="197" t="s">
        <v>59</v>
      </c>
      <c r="T22" s="196"/>
      <c r="X22" s="197"/>
      <c r="Y22" s="197" t="s">
        <v>61</v>
      </c>
      <c r="Z22" s="197" t="s">
        <v>387</v>
      </c>
      <c r="AA22" s="197" t="s">
        <v>56</v>
      </c>
      <c r="AC22" s="317"/>
      <c r="AD22" s="197" t="s">
        <v>350</v>
      </c>
      <c r="AF22" s="197" t="s">
        <v>59</v>
      </c>
      <c r="AH22" s="197" t="s">
        <v>56</v>
      </c>
      <c r="AI22" s="311"/>
      <c r="AJ22" s="312"/>
      <c r="AK22" s="311"/>
      <c r="AL22" s="313"/>
      <c r="AM22" s="313"/>
      <c r="AN22" s="313"/>
      <c r="AO22" s="313"/>
      <c r="AP22" s="238"/>
      <c r="AQ22" s="313">
        <f t="shared" si="2"/>
        <v>0</v>
      </c>
      <c r="AR22" s="238"/>
      <c r="AS22" s="238">
        <f t="shared" si="3"/>
        <v>0</v>
      </c>
      <c r="AT22" s="238"/>
      <c r="AU22" s="238">
        <f t="shared" si="4"/>
        <v>0</v>
      </c>
      <c r="AV22" s="238">
        <f t="shared" si="5"/>
        <v>0</v>
      </c>
      <c r="AW22" s="238">
        <f t="shared" si="7"/>
        <v>2</v>
      </c>
      <c r="AX22" s="238" t="e">
        <f>AU22+$AY$10</f>
        <v>#VALUE!</v>
      </c>
      <c r="AY22" s="313" t="e">
        <f>(BJ22*('Setting key Duty'!$I$8+'Setting key Duty'!$I$12))+(BH22*'Setting key Duty'!$I$9)+(BC22*('Setting key Duty'!$I$13+'Setting key Duty'!$I$9))+(BA22*('Setting key Duty'!$I$13+'Setting key Duty'!$I$12+'Setting key Duty'!$I$11))+(BE22*('Setting key Duty'!$I$8+'Setting key Duty'!$I$9+'Setting key Duty'!$I$12))</f>
        <v>#VALUE!</v>
      </c>
      <c r="AZ22" s="313">
        <f>COUNTIF(C22:AA22,"*BRT*")</f>
        <v>0</v>
      </c>
      <c r="BA22" s="313">
        <f t="shared" si="8"/>
        <v>0</v>
      </c>
      <c r="BB22" s="313" t="e">
        <f>BA22*('Setting key Duty'!$I$13+'Setting key Duty'!$I$12+'Setting key Duty'!$I$11)</f>
        <v>#VALUE!</v>
      </c>
      <c r="BC22" s="313">
        <f t="shared" si="14"/>
        <v>0</v>
      </c>
      <c r="BD22" s="313" t="e">
        <f>BC22*('Setting key Duty'!$I$13+'Setting key Duty'!$I$9)</f>
        <v>#VALUE!</v>
      </c>
      <c r="BE22" s="313">
        <f t="shared" si="15"/>
        <v>0</v>
      </c>
      <c r="BF22" s="313">
        <f>BE22*('Setting key Duty'!$I$8+'Setting key Duty'!$I$9+'Setting key Duty'!$I$12)</f>
        <v>0</v>
      </c>
      <c r="BG22" s="313">
        <f>COUNTIF(AI22,"*$N*")</f>
        <v>0</v>
      </c>
      <c r="BH22" s="313">
        <f>COUNTIF(AI22,"*$PM*")</f>
        <v>0</v>
      </c>
      <c r="BI22" s="313">
        <f>BH22*('Setting key Duty'!$I$9)</f>
        <v>0</v>
      </c>
      <c r="BJ22" s="313">
        <f t="shared" si="16"/>
        <v>2</v>
      </c>
      <c r="BK22" s="313">
        <f>BJ22*('Setting key Duty'!$I$12+'Setting key Duty'!$I$8)</f>
        <v>0.875</v>
      </c>
      <c r="BL22" s="313">
        <f>COUNTIF(C22:AI22,"*$FC*")</f>
        <v>0</v>
      </c>
      <c r="BM22" s="313">
        <f>BL22*('Setting key Duty'!$J$11+'Setting key Duty'!$I$8)</f>
        <v>0</v>
      </c>
      <c r="BN22" s="313">
        <f>COUNTIF($C22:$AA22,BN$4)</f>
        <v>0</v>
      </c>
      <c r="BO22" s="313">
        <f>COUNTIF($C22:$AA22,BO$4)</f>
        <v>4</v>
      </c>
      <c r="BP22" s="313">
        <f>COUNTIF($C22:$AA22,BP$4)</f>
        <v>0</v>
      </c>
      <c r="BQ22" s="314"/>
    </row>
    <row r="23" ht="19.5" customHeight="1" spans="1:69">
      <c r="A23" s="309"/>
      <c r="B23" s="375" t="s">
        <v>355</v>
      </c>
      <c r="C23" s="197"/>
      <c r="D23" s="197" t="s">
        <v>57</v>
      </c>
      <c r="E23" s="198"/>
      <c r="F23" s="197" t="s">
        <v>59</v>
      </c>
      <c r="G23" s="197"/>
      <c r="H23" s="197"/>
      <c r="I23" s="106"/>
      <c r="J23" s="197" t="s">
        <v>59</v>
      </c>
      <c r="K23" s="197"/>
      <c r="L23" s="197" t="s">
        <v>350</v>
      </c>
      <c r="M23" s="106"/>
      <c r="N23" s="197" t="s">
        <v>56</v>
      </c>
      <c r="O23" s="197"/>
      <c r="P23" s="197" t="s">
        <v>56</v>
      </c>
      <c r="Q23" s="197"/>
      <c r="R23" s="317"/>
      <c r="S23" s="197"/>
      <c r="T23" s="197"/>
      <c r="U23" s="197"/>
      <c r="V23" s="197"/>
      <c r="W23" s="197" t="s">
        <v>350</v>
      </c>
      <c r="X23" s="197"/>
      <c r="Y23" s="197" t="s">
        <v>59</v>
      </c>
      <c r="Z23" s="197"/>
      <c r="AA23" s="1" t="s">
        <v>55</v>
      </c>
      <c r="AB23" s="317"/>
      <c r="AC23" s="197" t="s">
        <v>350</v>
      </c>
      <c r="AE23" s="197" t="s">
        <v>57</v>
      </c>
      <c r="AF23" s="197"/>
      <c r="AG23" s="197"/>
      <c r="AH23" s="197"/>
      <c r="AI23" s="311"/>
      <c r="AJ23" s="312"/>
      <c r="AK23" s="311"/>
      <c r="AL23" s="313"/>
      <c r="AM23" s="313"/>
      <c r="AN23" s="313"/>
      <c r="AO23" s="313"/>
      <c r="AP23" s="238"/>
      <c r="AQ23" s="313">
        <f t="shared" si="2"/>
        <v>0</v>
      </c>
      <c r="AR23" s="238"/>
      <c r="AS23" s="238">
        <f t="shared" si="3"/>
        <v>0</v>
      </c>
      <c r="AT23" s="238"/>
      <c r="AU23" s="238">
        <f t="shared" si="4"/>
        <v>0</v>
      </c>
      <c r="AV23" s="238">
        <f t="shared" si="5"/>
        <v>0</v>
      </c>
      <c r="AW23" s="238">
        <f t="shared" si="7"/>
        <v>0</v>
      </c>
      <c r="AX23" s="238" t="e">
        <f>AU23+AY23</f>
        <v>#VALUE!</v>
      </c>
      <c r="AY23" s="313" t="e">
        <f>(BJ23*('Setting key Duty'!$I$8+'Setting key Duty'!$I$12))+(BH23*'Setting key Duty'!$I$9)+(BC23*('Setting key Duty'!$I$13+'Setting key Duty'!$I$9))+(BA23*('Setting key Duty'!$I$13+'Setting key Duty'!$I$12+'Setting key Duty'!$I$11))+(BE23*('Setting key Duty'!$I$8+'Setting key Duty'!$I$9+'Setting key Duty'!$I$12))</f>
        <v>#VALUE!</v>
      </c>
      <c r="AZ23" s="313">
        <f>COUNTIF(D23:AB23,"*BRT*")</f>
        <v>0</v>
      </c>
      <c r="BA23" s="313">
        <f t="shared" si="8"/>
        <v>0</v>
      </c>
      <c r="BB23" s="313" t="e">
        <f>BA23*('Setting key Duty'!$I$13+'Setting key Duty'!$I$12+'Setting key Duty'!$I$11)</f>
        <v>#VALUE!</v>
      </c>
      <c r="BC23" s="313">
        <f t="shared" si="14"/>
        <v>0</v>
      </c>
      <c r="BD23" s="313" t="e">
        <f>BC23*('Setting key Duty'!$I$13+'Setting key Duty'!$I$9)</f>
        <v>#VALUE!</v>
      </c>
      <c r="BE23" s="313">
        <f t="shared" si="15"/>
        <v>0</v>
      </c>
      <c r="BF23" s="313">
        <f>BE23*('Setting key Duty'!$I$8+'Setting key Duty'!$I$9+'Setting key Duty'!$I$12)</f>
        <v>0</v>
      </c>
      <c r="BG23" s="313">
        <f>COUNTIF(AF23:AI23,"*$N*")</f>
        <v>0</v>
      </c>
      <c r="BH23" s="313">
        <f>COUNTIF(AF23:AI23,"*$PM*")</f>
        <v>0</v>
      </c>
      <c r="BI23" s="313">
        <f>BH23*('Setting key Duty'!$I$9)</f>
        <v>0</v>
      </c>
      <c r="BJ23" s="313">
        <f t="shared" si="16"/>
        <v>0</v>
      </c>
      <c r="BK23" s="313">
        <f>BJ23*('Setting key Duty'!$I$12+'Setting key Duty'!$I$8)</f>
        <v>0</v>
      </c>
      <c r="BL23" s="313">
        <f>COUNTIF(D23:AI23,"*$FC*")</f>
        <v>0</v>
      </c>
      <c r="BM23" s="313">
        <f>BL23*('Setting key Duty'!$J$11+'Setting key Duty'!$I$8)</f>
        <v>0</v>
      </c>
      <c r="BN23" s="313">
        <f>COUNTIF($D23:$AE23,BN$4)</f>
        <v>0</v>
      </c>
      <c r="BO23" s="313">
        <f>COUNTIF($D23:$AE23,BO$4)</f>
        <v>3</v>
      </c>
      <c r="BP23" s="313">
        <f>COUNTIF($D23:$AE23,BP$4)</f>
        <v>1</v>
      </c>
      <c r="BQ23" s="314"/>
    </row>
    <row r="24" ht="19.5" customHeight="1" spans="1:69">
      <c r="A24" s="309"/>
      <c r="B24" s="328" t="s">
        <v>388</v>
      </c>
      <c r="C24" s="197"/>
      <c r="D24" s="197"/>
      <c r="E24" s="197"/>
      <c r="F24" s="197"/>
      <c r="G24" s="197" t="s">
        <v>59</v>
      </c>
      <c r="H24" s="377"/>
      <c r="I24" s="106"/>
      <c r="J24" s="197"/>
      <c r="K24" s="197"/>
      <c r="L24" s="197"/>
      <c r="M24" s="349" t="s">
        <v>56</v>
      </c>
      <c r="N24" s="197"/>
      <c r="O24" s="197" t="s">
        <v>59</v>
      </c>
      <c r="Q24" s="197" t="s">
        <v>56</v>
      </c>
      <c r="S24" s="197" t="s">
        <v>349</v>
      </c>
      <c r="U24" s="197"/>
      <c r="V24" s="197"/>
      <c r="W24" s="197"/>
      <c r="Z24" s="197"/>
      <c r="AA24" s="197"/>
      <c r="AB24" s="197"/>
      <c r="AC24" s="197"/>
      <c r="AD24" s="197" t="s">
        <v>56</v>
      </c>
      <c r="AE24" s="197"/>
      <c r="AF24" s="197"/>
      <c r="AG24" s="197"/>
      <c r="AH24" s="197"/>
      <c r="AI24" s="311"/>
      <c r="AJ24" s="312"/>
      <c r="AK24" s="311"/>
      <c r="AL24" s="313"/>
      <c r="AM24" s="313"/>
      <c r="AN24" s="313"/>
      <c r="AO24" s="313"/>
      <c r="AP24" s="238"/>
      <c r="AQ24" s="313">
        <f t="shared" si="2"/>
        <v>0</v>
      </c>
      <c r="AR24" s="238"/>
      <c r="AS24" s="238">
        <f t="shared" si="3"/>
        <v>0</v>
      </c>
      <c r="AT24" s="238"/>
      <c r="AU24" s="238">
        <f t="shared" si="4"/>
        <v>0</v>
      </c>
      <c r="AV24" s="238">
        <f t="shared" si="5"/>
        <v>0</v>
      </c>
      <c r="AW24" s="238">
        <f t="shared" si="7"/>
        <v>0</v>
      </c>
      <c r="AX24" s="238" t="e">
        <f>AU24+$AY$10</f>
        <v>#VALUE!</v>
      </c>
      <c r="AY24" s="313" t="e">
        <f>(BJ24*('Setting key Duty'!$I$8+'Setting key Duty'!$I$12))+(BH24*'Setting key Duty'!$I$9)+(BC24*('Setting key Duty'!$I$13+'Setting key Duty'!$I$9))+(BA24*('Setting key Duty'!$I$13+'Setting key Duty'!$I$12+'Setting key Duty'!$I$11))+(BE24*('Setting key Duty'!$I$8+'Setting key Duty'!$I$9+'Setting key Duty'!$I$12))</f>
        <v>#VALUE!</v>
      </c>
      <c r="AZ24" s="313"/>
      <c r="BA24" s="313"/>
      <c r="BB24" s="313"/>
      <c r="BC24" s="313"/>
      <c r="BD24" s="313"/>
      <c r="BE24" s="313"/>
      <c r="BF24" s="313"/>
      <c r="BG24" s="313"/>
      <c r="BH24" s="313"/>
      <c r="BI24" s="313"/>
      <c r="BJ24" s="313"/>
      <c r="BK24" s="313"/>
      <c r="BL24" s="313"/>
      <c r="BM24" s="313"/>
      <c r="BN24" s="313"/>
      <c r="BO24" s="313"/>
      <c r="BP24" s="313"/>
      <c r="BQ24" s="314"/>
    </row>
    <row r="25" ht="19.5" customHeight="1" spans="1:69">
      <c r="A25" s="309"/>
      <c r="B25" s="328" t="s">
        <v>233</v>
      </c>
      <c r="C25" s="197"/>
      <c r="E25" s="197"/>
      <c r="F25" s="197" t="s">
        <v>58</v>
      </c>
      <c r="G25" s="197"/>
      <c r="H25" s="197"/>
      <c r="I25" s="197"/>
      <c r="J25" s="197"/>
      <c r="L25" s="317" t="s">
        <v>59</v>
      </c>
      <c r="M25" s="317" t="s">
        <v>349</v>
      </c>
      <c r="N25" s="383"/>
      <c r="P25" s="197"/>
      <c r="Q25" s="197"/>
      <c r="R25" s="197"/>
      <c r="S25" s="197" t="s">
        <v>57</v>
      </c>
      <c r="T25" s="196"/>
      <c r="U25" s="317"/>
      <c r="V25" s="197" t="s">
        <v>59</v>
      </c>
      <c r="W25" s="197"/>
      <c r="X25" s="197"/>
      <c r="Z25" s="197" t="s">
        <v>56</v>
      </c>
      <c r="AB25" s="197" t="s">
        <v>57</v>
      </c>
      <c r="AD25" s="317"/>
      <c r="AE25" s="197" t="s">
        <v>350</v>
      </c>
      <c r="AF25" s="197"/>
      <c r="AG25" s="197"/>
      <c r="AH25" s="197"/>
      <c r="AI25" s="311"/>
      <c r="AJ25" s="312"/>
      <c r="AK25" s="311"/>
      <c r="AL25" s="313"/>
      <c r="AM25" s="313"/>
      <c r="AN25" s="313"/>
      <c r="AO25" s="313"/>
      <c r="AP25" s="238"/>
      <c r="AQ25" s="313">
        <f t="shared" si="2"/>
        <v>0</v>
      </c>
      <c r="AR25" s="238"/>
      <c r="AS25" s="238">
        <f t="shared" si="3"/>
        <v>0</v>
      </c>
      <c r="AT25" s="238"/>
      <c r="AU25" s="238">
        <f t="shared" si="4"/>
        <v>0</v>
      </c>
      <c r="AV25" s="238">
        <f t="shared" si="5"/>
        <v>0</v>
      </c>
      <c r="AW25" s="238">
        <f t="shared" si="7"/>
        <v>0</v>
      </c>
      <c r="AX25" s="238" t="e">
        <f>AU25+AY25</f>
        <v>#VALUE!</v>
      </c>
      <c r="AY25" s="313" t="e">
        <f>(BJ25*('Setting key Duty'!$I$8+'Setting key Duty'!$I$12))+(BH25*'Setting key Duty'!$I$9)+(BC25*('Setting key Duty'!$I$13+'Setting key Duty'!$I$9))+(BA25*('Setting key Duty'!$I$13+'Setting key Duty'!$I$12+'Setting key Duty'!$I$11))+(BE25*('Setting key Duty'!$I$8+'Setting key Duty'!$I$9+'Setting key Duty'!$I$12))</f>
        <v>#VALUE!</v>
      </c>
      <c r="AZ25" s="313">
        <f>COUNTIF(D25:AA25,"*BRT*")</f>
        <v>0</v>
      </c>
      <c r="BA25" s="313">
        <f t="shared" ref="BA25:BA40" si="17">COUNTIF(A25:AI25,"*$BTP*")</f>
        <v>0</v>
      </c>
      <c r="BB25" s="313" t="e">
        <f>BA25*('Setting key Duty'!$I$13+'Setting key Duty'!$I$12+'Setting key Duty'!$I$11)</f>
        <v>#VALUE!</v>
      </c>
      <c r="BC25" s="313">
        <f>COUNTIF(A25:AI25,"*$L*")</f>
        <v>0</v>
      </c>
      <c r="BD25" s="313" t="e">
        <f>BC25*('Setting key Duty'!$I$13+'Setting key Duty'!$I$9)</f>
        <v>#VALUE!</v>
      </c>
      <c r="BE25" s="313">
        <f>COUNTIF(A25:AI25,"*$M*")</f>
        <v>0</v>
      </c>
      <c r="BF25" s="313">
        <f>BE25*('Setting key Duty'!$I$8+'Setting key Duty'!$I$9+'Setting key Duty'!$I$12)</f>
        <v>0</v>
      </c>
      <c r="BG25" s="313">
        <f>COUNTIF(AI25,"*$N*")</f>
        <v>0</v>
      </c>
      <c r="BH25" s="313">
        <f>COUNTIF(AI25,"*$PM*")</f>
        <v>0</v>
      </c>
      <c r="BI25" s="313">
        <f>BH25*('Setting key Duty'!$I$9)</f>
        <v>0</v>
      </c>
      <c r="BJ25" s="313">
        <f>COUNTIF(A25:AI25,"*$AM*")</f>
        <v>0</v>
      </c>
      <c r="BK25" s="313">
        <f>BJ25*('Setting key Duty'!$I$12+'Setting key Duty'!$I$8)</f>
        <v>0</v>
      </c>
      <c r="BL25" s="313">
        <f>COUNTIF(D25:AI25,"*$FC*")</f>
        <v>0</v>
      </c>
      <c r="BM25" s="313">
        <f>BL25*('Setting key Duty'!$J$11+'Setting key Duty'!$I$8)</f>
        <v>0</v>
      </c>
      <c r="BN25" s="313">
        <f>COUNTIF($D25:$AA25,BN$4)</f>
        <v>0</v>
      </c>
      <c r="BO25" s="313">
        <f>COUNTIF($D25:$AA25,BO$4)</f>
        <v>0</v>
      </c>
      <c r="BP25" s="313">
        <f>COUNTIF($D25:$AA25,BP$4)</f>
        <v>0</v>
      </c>
      <c r="BQ25" s="314"/>
    </row>
    <row r="26" ht="19.5" customHeight="1" spans="1:69">
      <c r="A26" s="309"/>
      <c r="B26" s="376" t="s">
        <v>189</v>
      </c>
      <c r="C26" s="324" t="s">
        <v>69</v>
      </c>
      <c r="D26" s="197"/>
      <c r="E26" s="324" t="s">
        <v>65</v>
      </c>
      <c r="F26" s="324"/>
      <c r="G26" s="324" t="s">
        <v>58</v>
      </c>
      <c r="H26" s="317"/>
      <c r="I26" s="197" t="s">
        <v>65</v>
      </c>
      <c r="J26" s="317"/>
      <c r="K26" s="197"/>
      <c r="L26" s="197"/>
      <c r="M26" s="317" t="s">
        <v>389</v>
      </c>
      <c r="O26" s="317"/>
      <c r="P26" s="197" t="s">
        <v>65</v>
      </c>
      <c r="Q26" s="197"/>
      <c r="S26" s="196" t="s">
        <v>65</v>
      </c>
      <c r="T26" s="196"/>
      <c r="U26" s="197"/>
      <c r="W26" s="197"/>
      <c r="Y26" s="197"/>
      <c r="AA26" s="197" t="s">
        <v>350</v>
      </c>
      <c r="AB26" s="197"/>
      <c r="AC26" s="317" t="s">
        <v>58</v>
      </c>
      <c r="AD26" s="317"/>
      <c r="AF26" s="197" t="s">
        <v>56</v>
      </c>
      <c r="AH26" s="317"/>
      <c r="AI26" s="311"/>
      <c r="AJ26" s="312"/>
      <c r="AK26" s="311"/>
      <c r="AL26" s="313"/>
      <c r="AM26" s="313"/>
      <c r="AN26" s="313"/>
      <c r="AO26" s="313"/>
      <c r="AP26" s="238"/>
      <c r="AQ26" s="313">
        <f t="shared" si="2"/>
        <v>0</v>
      </c>
      <c r="AR26" s="238"/>
      <c r="AS26" s="238">
        <f t="shared" si="3"/>
        <v>0</v>
      </c>
      <c r="AT26" s="238"/>
      <c r="AU26" s="238">
        <f t="shared" si="4"/>
        <v>0</v>
      </c>
      <c r="AV26" s="238">
        <f t="shared" si="5"/>
        <v>0</v>
      </c>
      <c r="AW26" s="238">
        <f t="shared" si="7"/>
        <v>0</v>
      </c>
      <c r="AX26" s="238" t="e">
        <f>AU26+$AY$10</f>
        <v>#VALUE!</v>
      </c>
      <c r="AY26" s="313" t="e">
        <f>(BJ26*('Setting key Duty'!$I$8+'Setting key Duty'!$I$12))+(BH26*'Setting key Duty'!$I$9)+(BC26*('Setting key Duty'!$I$13+'Setting key Duty'!$I$9))+(BA26*('Setting key Duty'!$I$13+'Setting key Duty'!$I$12+'Setting key Duty'!$I$11))+(BE26*('Setting key Duty'!$I$8+'Setting key Duty'!$I$9+'Setting key Duty'!$I$12))</f>
        <v>#VALUE!</v>
      </c>
      <c r="AZ26" s="313">
        <f>COUNTIF(D26:AA26,"*BRT*")</f>
        <v>0</v>
      </c>
      <c r="BA26" s="313">
        <f t="shared" si="17"/>
        <v>0</v>
      </c>
      <c r="BB26" s="313" t="e">
        <f>BA26*('Setting key Duty'!$I$13+'Setting key Duty'!$I$12+'Setting key Duty'!$I$11)</f>
        <v>#VALUE!</v>
      </c>
      <c r="BC26" s="313">
        <f>COUNTIF(A26:AI26,"*$L*")</f>
        <v>0</v>
      </c>
      <c r="BD26" s="313" t="e">
        <f>BC26*('Setting key Duty'!$I$13+'Setting key Duty'!$I$9)</f>
        <v>#VALUE!</v>
      </c>
      <c r="BE26" s="313">
        <f>COUNTIF(A26:AI26,"*$M*")</f>
        <v>0</v>
      </c>
      <c r="BF26" s="313">
        <f>BE26*('Setting key Duty'!$I$8+'Setting key Duty'!$I$9+'Setting key Duty'!$I$12)</f>
        <v>0</v>
      </c>
      <c r="BG26" s="313">
        <f>COUNTIF(AI26,"*$N*")</f>
        <v>0</v>
      </c>
      <c r="BH26" s="313">
        <f>COUNTIF(AI26,"*$PM*")</f>
        <v>0</v>
      </c>
      <c r="BI26" s="313">
        <f>BH26*('Setting key Duty'!$I$9)</f>
        <v>0</v>
      </c>
      <c r="BJ26" s="313">
        <f>COUNTIF(A26:AI26,"*$AM*")</f>
        <v>0</v>
      </c>
      <c r="BK26" s="313">
        <f>BJ26*('Setting key Duty'!$I$12+'Setting key Duty'!$I$8)</f>
        <v>0</v>
      </c>
      <c r="BL26" s="313">
        <f>COUNTIF(D26:AI26,"*$FC*")</f>
        <v>0</v>
      </c>
      <c r="BM26" s="313">
        <f>BL26*('Setting key Duty'!$J$11+'Setting key Duty'!$I$8)</f>
        <v>0</v>
      </c>
      <c r="BN26" s="313">
        <f>COUNTIF($D26:$AA26,BN$4)</f>
        <v>0</v>
      </c>
      <c r="BO26" s="313">
        <f>COUNTIF($D26:$AA26,BO$4)</f>
        <v>1</v>
      </c>
      <c r="BP26" s="313">
        <f>COUNTIF($D26:$AA26,BP$4)</f>
        <v>0</v>
      </c>
      <c r="BQ26" s="314"/>
    </row>
    <row r="27" ht="19.5" customHeight="1" spans="1:69">
      <c r="A27" s="309"/>
      <c r="B27" s="332" t="s">
        <v>191</v>
      </c>
      <c r="C27" s="324" t="s">
        <v>65</v>
      </c>
      <c r="D27" s="106"/>
      <c r="E27" s="197" t="s">
        <v>390</v>
      </c>
      <c r="G27" s="377"/>
      <c r="H27" s="377" t="s">
        <v>58</v>
      </c>
      <c r="I27" s="197"/>
      <c r="J27" s="197" t="s">
        <v>391</v>
      </c>
      <c r="M27" s="197" t="s">
        <v>58</v>
      </c>
      <c r="N27" s="197"/>
      <c r="O27" s="197"/>
      <c r="P27" s="197"/>
      <c r="R27" s="197" t="s">
        <v>392</v>
      </c>
      <c r="S27" s="197"/>
      <c r="T27" s="197" t="s">
        <v>350</v>
      </c>
      <c r="U27" s="197"/>
      <c r="V27" s="197" t="s">
        <v>350</v>
      </c>
      <c r="W27" s="197"/>
      <c r="X27" s="197" t="s">
        <v>393</v>
      </c>
      <c r="Y27" s="384"/>
      <c r="Z27" s="197" t="s">
        <v>65</v>
      </c>
      <c r="AA27" s="197"/>
      <c r="AB27" s="197"/>
      <c r="AC27" s="197"/>
      <c r="AD27" s="317"/>
      <c r="AE27" s="197" t="s">
        <v>394</v>
      </c>
      <c r="AF27" s="317"/>
      <c r="AH27" s="197"/>
      <c r="AI27" s="311"/>
      <c r="AJ27" s="312"/>
      <c r="AK27" s="311"/>
      <c r="AL27" s="313"/>
      <c r="AM27" s="313"/>
      <c r="AN27" s="313"/>
      <c r="AO27" s="313"/>
      <c r="AP27" s="238"/>
      <c r="AQ27" s="313">
        <f t="shared" si="2"/>
        <v>0</v>
      </c>
      <c r="AR27" s="238"/>
      <c r="AS27" s="238">
        <f t="shared" si="3"/>
        <v>0</v>
      </c>
      <c r="AT27" s="238"/>
      <c r="AU27" s="238">
        <f t="shared" si="4"/>
        <v>0</v>
      </c>
      <c r="AV27" s="238">
        <f t="shared" si="5"/>
        <v>0</v>
      </c>
      <c r="AW27" s="238">
        <f t="shared" si="7"/>
        <v>5</v>
      </c>
      <c r="AX27" s="238" t="e">
        <f t="shared" ref="AX27:AX40" si="18">AU27+AY27</f>
        <v>#VALUE!</v>
      </c>
      <c r="AY27" s="313" t="e">
        <f>(BJ27*('Setting key Duty'!$I$8+'Setting key Duty'!$I$12))+(BH27*'Setting key Duty'!$I$9)+(BC27*('Setting key Duty'!$I$13+'Setting key Duty'!$I$9))+(BA27*('Setting key Duty'!$I$13+'Setting key Duty'!$I$12+'Setting key Duty'!$I$11))+(BE27*('Setting key Duty'!$I$8+'Setting key Duty'!$I$9+'Setting key Duty'!$I$12))</f>
        <v>#VALUE!</v>
      </c>
      <c r="AZ27" s="313">
        <f>COUNTIF(C27:W27,"*BRT*")</f>
        <v>0</v>
      </c>
      <c r="BA27" s="313">
        <f t="shared" si="17"/>
        <v>2</v>
      </c>
      <c r="BB27" s="313" t="e">
        <f>BA27*('Setting key Duty'!$I$13+'Setting key Duty'!$I$12+'Setting key Duty'!$I$11)</f>
        <v>#VALUE!</v>
      </c>
      <c r="BC27" s="313">
        <f t="shared" ref="BC27:BC40" si="19">COUNTIF(D27:AI27,"*$L*")</f>
        <v>0</v>
      </c>
      <c r="BD27" s="313" t="e">
        <f>BC27*('Setting key Duty'!$I$13+'Setting key Duty'!$I$9)</f>
        <v>#VALUE!</v>
      </c>
      <c r="BE27" s="313">
        <f t="shared" ref="BE27:BE40" si="20">COUNTIF(D27:AI27,"*$M*")</f>
        <v>2</v>
      </c>
      <c r="BF27" s="313">
        <f>BE27*('Setting key Duty'!$I$8+'Setting key Duty'!$I$9+'Setting key Duty'!$I$12)</f>
        <v>1.125</v>
      </c>
      <c r="BG27" s="313">
        <f t="shared" ref="BG27:BG40" si="21">COUNTIF(D27:AI27,"*$N*")</f>
        <v>0</v>
      </c>
      <c r="BH27" s="313">
        <f t="shared" ref="BH27:BH40" si="22">COUNTIF(D27:AI27,"*$PM*")</f>
        <v>0</v>
      </c>
      <c r="BI27" s="313">
        <f>BH27*('Setting key Duty'!$I$9)</f>
        <v>0</v>
      </c>
      <c r="BJ27" s="313">
        <f t="shared" ref="BJ27:BJ40" si="23">COUNTIF(D27:AI27,"*$AM*")</f>
        <v>1</v>
      </c>
      <c r="BK27" s="313">
        <f>BJ27*('Setting key Duty'!$I$12+'Setting key Duty'!$I$8)</f>
        <v>0.4375</v>
      </c>
      <c r="BL27" s="313">
        <f t="shared" ref="BL27:BL40" si="24">COUNTIF(C27:AI27,"*$FC*")</f>
        <v>0</v>
      </c>
      <c r="BM27" s="313">
        <f>BL27*('Setting key Duty'!$J$11+'Setting key Duty'!$I$8)</f>
        <v>0</v>
      </c>
      <c r="BN27" s="313">
        <f>COUNTIF($C27:$AG27,BN$4)</f>
        <v>0</v>
      </c>
      <c r="BO27" s="313">
        <f>COUNTIF($C27:$AG27,BO$4)</f>
        <v>2</v>
      </c>
      <c r="BP27" s="313">
        <f>COUNTIF($D27:$AD27,BP$4)</f>
        <v>0</v>
      </c>
      <c r="BQ27" s="314"/>
    </row>
    <row r="28" ht="19.5" customHeight="1" spans="1:69">
      <c r="A28" s="309"/>
      <c r="B28" s="315" t="s">
        <v>192</v>
      </c>
      <c r="C28" s="317"/>
      <c r="D28" s="197" t="s">
        <v>390</v>
      </c>
      <c r="F28" s="197"/>
      <c r="G28" s="197" t="s">
        <v>350</v>
      </c>
      <c r="H28" s="377"/>
      <c r="L28" s="197" t="s">
        <v>137</v>
      </c>
      <c r="M28" s="197" t="s">
        <v>350</v>
      </c>
      <c r="N28" s="331"/>
      <c r="O28" s="197" t="s">
        <v>58</v>
      </c>
      <c r="P28" s="197"/>
      <c r="R28" s="317"/>
      <c r="S28" s="197" t="s">
        <v>395</v>
      </c>
      <c r="T28" s="196"/>
      <c r="U28" s="197"/>
      <c r="V28" s="197" t="s">
        <v>350</v>
      </c>
      <c r="W28" s="317"/>
      <c r="Y28" s="197" t="s">
        <v>350</v>
      </c>
      <c r="Z28" s="197" t="s">
        <v>304</v>
      </c>
      <c r="AA28" s="317"/>
      <c r="AC28" s="197" t="s">
        <v>65</v>
      </c>
      <c r="AE28" s="197" t="s">
        <v>297</v>
      </c>
      <c r="AF28" s="317"/>
      <c r="AG28" s="197" t="s">
        <v>350</v>
      </c>
      <c r="AH28" s="317"/>
      <c r="AI28" s="311"/>
      <c r="AJ28" s="312"/>
      <c r="AK28" s="311"/>
      <c r="AL28" s="344"/>
      <c r="AM28" s="344"/>
      <c r="AN28" s="344"/>
      <c r="AO28" s="344"/>
      <c r="AP28" s="246"/>
      <c r="AQ28" s="313">
        <f t="shared" si="2"/>
        <v>0</v>
      </c>
      <c r="AR28" s="238"/>
      <c r="AS28" s="238">
        <f t="shared" si="3"/>
        <v>0</v>
      </c>
      <c r="AT28" s="246"/>
      <c r="AU28" s="238">
        <f t="shared" si="4"/>
        <v>0</v>
      </c>
      <c r="AV28" s="238">
        <f t="shared" si="5"/>
        <v>0</v>
      </c>
      <c r="AW28" s="238">
        <f t="shared" si="7"/>
        <v>5</v>
      </c>
      <c r="AX28" s="238" t="e">
        <f t="shared" si="18"/>
        <v>#VALUE!</v>
      </c>
      <c r="AY28" s="313" t="e">
        <f>(BJ28*('Setting key Duty'!$I$8+'Setting key Duty'!$I$12))+(BH28*'Setting key Duty'!$I$9)+(BC28*('Setting key Duty'!$I$13+'Setting key Duty'!$I$9))+(BA28*('Setting key Duty'!$I$13+'Setting key Duty'!$I$12+'Setting key Duty'!$I$11))+(BE28*('Setting key Duty'!$I$8+'Setting key Duty'!$I$9+'Setting key Duty'!$I$12))</f>
        <v>#VALUE!</v>
      </c>
      <c r="AZ28" s="313">
        <f t="shared" ref="AZ28:AZ40" si="25">COUNTIF(C28:Y28,"*BRT*")</f>
        <v>0</v>
      </c>
      <c r="BA28" s="313">
        <f t="shared" si="17"/>
        <v>1</v>
      </c>
      <c r="BB28" s="313" t="e">
        <f>BA28*('Setting key Duty'!$I$13+'Setting key Duty'!$I$12+'Setting key Duty'!$I$11)</f>
        <v>#VALUE!</v>
      </c>
      <c r="BC28" s="313">
        <f t="shared" si="19"/>
        <v>0</v>
      </c>
      <c r="BD28" s="313" t="e">
        <f>BC28*('Setting key Duty'!$I$13+'Setting key Duty'!$I$9)</f>
        <v>#VALUE!</v>
      </c>
      <c r="BE28" s="313">
        <f t="shared" si="20"/>
        <v>3</v>
      </c>
      <c r="BF28" s="313">
        <f>BE28*('Setting key Duty'!$I$8+'Setting key Duty'!$I$9+'Setting key Duty'!$I$12)</f>
        <v>1.6875</v>
      </c>
      <c r="BG28" s="313">
        <f t="shared" si="21"/>
        <v>0</v>
      </c>
      <c r="BH28" s="313">
        <f t="shared" si="22"/>
        <v>0</v>
      </c>
      <c r="BI28" s="313">
        <f>BH28*('Setting key Duty'!$I$9)</f>
        <v>0</v>
      </c>
      <c r="BJ28" s="313">
        <f t="shared" si="23"/>
        <v>1</v>
      </c>
      <c r="BK28" s="313">
        <f>BJ28*('Setting key Duty'!$I$12+'Setting key Duty'!$I$8)</f>
        <v>0.4375</v>
      </c>
      <c r="BL28" s="313">
        <f t="shared" si="24"/>
        <v>0</v>
      </c>
      <c r="BM28" s="313">
        <f>BL28*('Setting key Duty'!$J$11+'Setting key Duty'!$I$8)</f>
        <v>0</v>
      </c>
      <c r="BN28" s="313">
        <f>COUNTIF($C28:$AF28,BN$4)</f>
        <v>0</v>
      </c>
      <c r="BO28" s="313">
        <f>COUNTIF($C28:$AF28,BO$4)</f>
        <v>4</v>
      </c>
      <c r="BP28" s="313">
        <f>COUNTIF($D28:$AE28,BP$4)</f>
        <v>0</v>
      </c>
      <c r="BQ28" s="345"/>
    </row>
    <row r="29" ht="19.5" customHeight="1" spans="1:69">
      <c r="A29" s="309"/>
      <c r="B29" s="315" t="s">
        <v>193</v>
      </c>
      <c r="C29" s="349" t="s">
        <v>93</v>
      </c>
      <c r="D29" s="324"/>
      <c r="E29" s="349" t="s">
        <v>93</v>
      </c>
      <c r="F29" s="331"/>
      <c r="G29" s="197" t="s">
        <v>350</v>
      </c>
      <c r="H29" s="377"/>
      <c r="I29" s="197" t="s">
        <v>58</v>
      </c>
      <c r="J29" s="317" t="s">
        <v>93</v>
      </c>
      <c r="K29" s="197" t="s">
        <v>396</v>
      </c>
      <c r="M29" s="197" t="s">
        <v>350</v>
      </c>
      <c r="O29" s="197" t="s">
        <v>350</v>
      </c>
      <c r="P29" s="197" t="s">
        <v>397</v>
      </c>
      <c r="Q29" s="197" t="s">
        <v>398</v>
      </c>
      <c r="S29" s="197" t="s">
        <v>93</v>
      </c>
      <c r="T29" s="196"/>
      <c r="U29" s="197" t="s">
        <v>350</v>
      </c>
      <c r="V29" s="197"/>
      <c r="X29" s="349"/>
      <c r="Y29" s="197" t="s">
        <v>93</v>
      </c>
      <c r="Z29" s="197" t="s">
        <v>399</v>
      </c>
      <c r="AA29" s="197" t="s">
        <v>93</v>
      </c>
      <c r="AB29" s="317" t="s">
        <v>58</v>
      </c>
      <c r="AD29" s="197"/>
      <c r="AE29" s="197" t="s">
        <v>400</v>
      </c>
      <c r="AF29" s="197" t="s">
        <v>93</v>
      </c>
      <c r="AG29" s="317"/>
      <c r="AH29" s="317"/>
      <c r="AI29" s="311"/>
      <c r="AJ29" s="312"/>
      <c r="AK29" s="311"/>
      <c r="AL29" s="344"/>
      <c r="AM29" s="344"/>
      <c r="AN29" s="344"/>
      <c r="AO29" s="344"/>
      <c r="AP29" s="246"/>
      <c r="AQ29" s="313">
        <f t="shared" si="2"/>
        <v>0</v>
      </c>
      <c r="AR29" s="238"/>
      <c r="AS29" s="238">
        <f t="shared" si="3"/>
        <v>0</v>
      </c>
      <c r="AT29" s="246"/>
      <c r="AU29" s="238">
        <f t="shared" si="4"/>
        <v>0</v>
      </c>
      <c r="AV29" s="238">
        <f t="shared" si="5"/>
        <v>0</v>
      </c>
      <c r="AW29" s="238">
        <f t="shared" si="7"/>
        <v>5</v>
      </c>
      <c r="AX29" s="238" t="e">
        <f t="shared" si="18"/>
        <v>#VALUE!</v>
      </c>
      <c r="AY29" s="313" t="e">
        <f>(BJ29*('Setting key Duty'!$I$8+'Setting key Duty'!$I$12))+(BH29*'Setting key Duty'!$I$9)+(BC29*('Setting key Duty'!$I$13+'Setting key Duty'!$I$9))+(BA29*('Setting key Duty'!$I$13+'Setting key Duty'!$I$12+'Setting key Duty'!$I$11))+(BE29*('Setting key Duty'!$I$8+'Setting key Duty'!$I$9+'Setting key Duty'!$I$12))</f>
        <v>#VALUE!</v>
      </c>
      <c r="AZ29" s="313">
        <f t="shared" si="25"/>
        <v>0</v>
      </c>
      <c r="BA29" s="313">
        <f t="shared" si="17"/>
        <v>0</v>
      </c>
      <c r="BB29" s="313" t="e">
        <f>BA29*('Setting key Duty'!$I$13+'Setting key Duty'!$I$12+'Setting key Duty'!$I$11)</f>
        <v>#VALUE!</v>
      </c>
      <c r="BC29" s="313">
        <f t="shared" si="19"/>
        <v>0</v>
      </c>
      <c r="BD29" s="313" t="e">
        <f>BC29*('Setting key Duty'!$I$13+'Setting key Duty'!$I$9)</f>
        <v>#VALUE!</v>
      </c>
      <c r="BE29" s="313">
        <f t="shared" si="20"/>
        <v>0</v>
      </c>
      <c r="BF29" s="313">
        <f>BE29*('Setting key Duty'!$I$8+'Setting key Duty'!$I$9+'Setting key Duty'!$I$12)</f>
        <v>0</v>
      </c>
      <c r="BG29" s="313">
        <f t="shared" si="21"/>
        <v>0</v>
      </c>
      <c r="BH29" s="313">
        <f t="shared" si="22"/>
        <v>5</v>
      </c>
      <c r="BI29" s="313">
        <f>BH29*('Setting key Duty'!$I$9)</f>
        <v>0.625</v>
      </c>
      <c r="BJ29" s="313">
        <f t="shared" si="23"/>
        <v>0</v>
      </c>
      <c r="BK29" s="313">
        <f>BJ29*('Setting key Duty'!$I$12+'Setting key Duty'!$I$8)</f>
        <v>0</v>
      </c>
      <c r="BL29" s="313">
        <f t="shared" si="24"/>
        <v>0</v>
      </c>
      <c r="BM29" s="313">
        <f>BL29*('Setting key Duty'!$J$11+'Setting key Duty'!$I$8)</f>
        <v>0</v>
      </c>
      <c r="BN29" s="313">
        <f t="shared" ref="BN29:BN40" si="26">COUNTIF($C29:$AG29,BN$4)</f>
        <v>0</v>
      </c>
      <c r="BO29" s="313">
        <f t="shared" ref="BO29:BO40" si="27">COUNTIF($C29:$AG29,BO$4)</f>
        <v>4</v>
      </c>
      <c r="BP29" s="313">
        <f>COUNTIF($D29:$AE29,BP$4)</f>
        <v>0</v>
      </c>
      <c r="BQ29" s="345"/>
    </row>
    <row r="30" ht="19.5" customHeight="1" spans="1:69">
      <c r="A30" s="309"/>
      <c r="B30" s="315" t="s">
        <v>262</v>
      </c>
      <c r="C30" s="197" t="s">
        <v>71</v>
      </c>
      <c r="D30" s="197" t="s">
        <v>71</v>
      </c>
      <c r="E30" s="197" t="s">
        <v>71</v>
      </c>
      <c r="F30" s="197" t="s">
        <v>71</v>
      </c>
      <c r="G30" s="197" t="s">
        <v>71</v>
      </c>
      <c r="H30" s="197" t="s">
        <v>71</v>
      </c>
      <c r="I30" s="197" t="s">
        <v>71</v>
      </c>
      <c r="J30" s="197" t="s">
        <v>71</v>
      </c>
      <c r="K30" s="197" t="s">
        <v>71</v>
      </c>
      <c r="L30" s="197" t="s">
        <v>71</v>
      </c>
      <c r="M30" s="197" t="s">
        <v>71</v>
      </c>
      <c r="N30" s="197" t="s">
        <v>71</v>
      </c>
      <c r="O30" s="197" t="s">
        <v>71</v>
      </c>
      <c r="P30" s="197" t="s">
        <v>71</v>
      </c>
      <c r="Q30" s="197" t="s">
        <v>71</v>
      </c>
      <c r="R30" s="197" t="s">
        <v>71</v>
      </c>
      <c r="S30" s="197" t="s">
        <v>71</v>
      </c>
      <c r="T30" s="196" t="s">
        <v>71</v>
      </c>
      <c r="U30" s="197" t="s">
        <v>71</v>
      </c>
      <c r="V30" s="197" t="s">
        <v>71</v>
      </c>
      <c r="W30" s="197" t="s">
        <v>71</v>
      </c>
      <c r="X30" s="197" t="s">
        <v>71</v>
      </c>
      <c r="Y30" s="197" t="s">
        <v>71</v>
      </c>
      <c r="Z30" s="197" t="s">
        <v>71</v>
      </c>
      <c r="AA30" s="197" t="s">
        <v>71</v>
      </c>
      <c r="AB30" s="197" t="s">
        <v>71</v>
      </c>
      <c r="AC30" s="197" t="s">
        <v>71</v>
      </c>
      <c r="AD30" s="197" t="s">
        <v>71</v>
      </c>
      <c r="AE30" s="197" t="s">
        <v>71</v>
      </c>
      <c r="AF30" s="197" t="s">
        <v>71</v>
      </c>
      <c r="AG30" s="197" t="s">
        <v>71</v>
      </c>
      <c r="AH30" s="197" t="s">
        <v>71</v>
      </c>
      <c r="AI30" s="311"/>
      <c r="AJ30" s="312"/>
      <c r="AK30" s="311"/>
      <c r="AL30" s="344"/>
      <c r="AM30" s="344"/>
      <c r="AN30" s="344"/>
      <c r="AO30" s="344"/>
      <c r="AP30" s="246"/>
      <c r="AQ30" s="313">
        <f t="shared" si="2"/>
        <v>0</v>
      </c>
      <c r="AR30" s="238"/>
      <c r="AS30" s="238">
        <f t="shared" si="3"/>
        <v>0</v>
      </c>
      <c r="AT30" s="246"/>
      <c r="AU30" s="238">
        <f t="shared" si="4"/>
        <v>0</v>
      </c>
      <c r="AV30" s="238">
        <f t="shared" si="5"/>
        <v>0</v>
      </c>
      <c r="AW30" s="238">
        <f t="shared" si="7"/>
        <v>0</v>
      </c>
      <c r="AX30" s="238" t="e">
        <f t="shared" si="18"/>
        <v>#VALUE!</v>
      </c>
      <c r="AY30" s="313" t="e">
        <f>(BJ30*('Setting key Duty'!$I$8+'Setting key Duty'!$I$12))+(BH30*'Setting key Duty'!$I$9)+(BC30*('Setting key Duty'!$I$13+'Setting key Duty'!$I$9))+(BA30*('Setting key Duty'!$I$13+'Setting key Duty'!$I$12+'Setting key Duty'!$I$11))+(BE30*('Setting key Duty'!$I$8+'Setting key Duty'!$I$9+'Setting key Duty'!$I$12))</f>
        <v>#VALUE!</v>
      </c>
      <c r="AZ30" s="313">
        <f t="shared" si="25"/>
        <v>0</v>
      </c>
      <c r="BA30" s="313">
        <f t="shared" si="17"/>
        <v>0</v>
      </c>
      <c r="BB30" s="313" t="e">
        <f>BA30*('Setting key Duty'!$I$13+'Setting key Duty'!$I$12+'Setting key Duty'!$I$11)</f>
        <v>#VALUE!</v>
      </c>
      <c r="BC30" s="313">
        <f t="shared" si="19"/>
        <v>0</v>
      </c>
      <c r="BD30" s="313" t="e">
        <f>BC30*('Setting key Duty'!$I$13+'Setting key Duty'!$I$9)</f>
        <v>#VALUE!</v>
      </c>
      <c r="BE30" s="313">
        <f t="shared" si="20"/>
        <v>0</v>
      </c>
      <c r="BF30" s="313">
        <f>BE30*('Setting key Duty'!$I$8+'Setting key Duty'!$I$9+'Setting key Duty'!$I$12)</f>
        <v>0</v>
      </c>
      <c r="BG30" s="313">
        <f t="shared" si="21"/>
        <v>0</v>
      </c>
      <c r="BH30" s="313">
        <f t="shared" si="22"/>
        <v>0</v>
      </c>
      <c r="BI30" s="313">
        <f>BH30*('Setting key Duty'!$I$9)</f>
        <v>0</v>
      </c>
      <c r="BJ30" s="313">
        <f t="shared" si="23"/>
        <v>0</v>
      </c>
      <c r="BK30" s="313">
        <f>BJ30*('Setting key Duty'!$I$12+'Setting key Duty'!$I$8)</f>
        <v>0</v>
      </c>
      <c r="BL30" s="313">
        <f t="shared" si="24"/>
        <v>0</v>
      </c>
      <c r="BM30" s="313">
        <f>BL30*('Setting key Duty'!$J$11+'Setting key Duty'!$I$8)</f>
        <v>0</v>
      </c>
      <c r="BN30" s="313">
        <f t="shared" si="26"/>
        <v>0</v>
      </c>
      <c r="BO30" s="313">
        <f t="shared" si="27"/>
        <v>0</v>
      </c>
      <c r="BP30" s="313">
        <f>COUNTIF($D30:$AE30,BP$4)</f>
        <v>0</v>
      </c>
      <c r="BQ30" s="345"/>
    </row>
    <row r="31" ht="19.5" customHeight="1" spans="1:69">
      <c r="A31" s="309"/>
      <c r="B31" s="336" t="s">
        <v>195</v>
      </c>
      <c r="C31" s="197" t="s">
        <v>54</v>
      </c>
      <c r="D31" s="197" t="s">
        <v>54</v>
      </c>
      <c r="E31" s="197" t="s">
        <v>54</v>
      </c>
      <c r="F31" s="197" t="s">
        <v>54</v>
      </c>
      <c r="G31" s="377"/>
      <c r="H31" s="377"/>
      <c r="I31" s="197" t="s">
        <v>54</v>
      </c>
      <c r="K31" s="197" t="s">
        <v>245</v>
      </c>
      <c r="L31" s="198" t="s">
        <v>401</v>
      </c>
      <c r="N31" s="197" t="s">
        <v>58</v>
      </c>
      <c r="O31" s="106"/>
      <c r="P31" s="197"/>
      <c r="Q31" s="197" t="s">
        <v>235</v>
      </c>
      <c r="R31" s="197" t="s">
        <v>58</v>
      </c>
      <c r="S31" s="197"/>
      <c r="T31" s="378"/>
      <c r="U31" s="197"/>
      <c r="V31" s="197" t="s">
        <v>58</v>
      </c>
      <c r="W31" s="331"/>
      <c r="X31" s="197" t="s">
        <v>350</v>
      </c>
      <c r="Z31" s="197" t="s">
        <v>350</v>
      </c>
      <c r="AB31" s="197"/>
      <c r="AD31" s="197" t="s">
        <v>93</v>
      </c>
      <c r="AE31" s="197" t="s">
        <v>402</v>
      </c>
      <c r="AF31" s="197"/>
      <c r="AH31" s="106"/>
      <c r="AI31" s="311"/>
      <c r="AJ31" s="312"/>
      <c r="AK31" s="311"/>
      <c r="AL31" s="344"/>
      <c r="AM31" s="344"/>
      <c r="AN31" s="344"/>
      <c r="AO31" s="344"/>
      <c r="AP31" s="246"/>
      <c r="AQ31" s="313">
        <f t="shared" si="2"/>
        <v>0</v>
      </c>
      <c r="AR31" s="238"/>
      <c r="AS31" s="238">
        <f t="shared" si="3"/>
        <v>0</v>
      </c>
      <c r="AT31" s="246"/>
      <c r="AU31" s="238">
        <f t="shared" si="4"/>
        <v>0</v>
      </c>
      <c r="AV31" s="238">
        <f t="shared" si="5"/>
        <v>0</v>
      </c>
      <c r="AW31" s="238">
        <f t="shared" si="7"/>
        <v>4</v>
      </c>
      <c r="AX31" s="238" t="e">
        <f t="shared" si="18"/>
        <v>#VALUE!</v>
      </c>
      <c r="AY31" s="313" t="e">
        <f>(BJ31*('Setting key Duty'!$I$8+'Setting key Duty'!$I$12))+(BH31*'Setting key Duty'!$I$9)+(BC31*('Setting key Duty'!$I$13+'Setting key Duty'!$I$9))+(BA31*('Setting key Duty'!$I$13+'Setting key Duty'!$I$12+'Setting key Duty'!$I$11))+(BE31*('Setting key Duty'!$I$8+'Setting key Duty'!$I$9+'Setting key Duty'!$I$12))</f>
        <v>#VALUE!</v>
      </c>
      <c r="AZ31" s="313">
        <f t="shared" si="25"/>
        <v>0</v>
      </c>
      <c r="BA31" s="313">
        <f t="shared" si="17"/>
        <v>1</v>
      </c>
      <c r="BB31" s="313" t="e">
        <f>BA31*('Setting key Duty'!$I$13+'Setting key Duty'!$I$12+'Setting key Duty'!$I$11)</f>
        <v>#VALUE!</v>
      </c>
      <c r="BC31" s="313">
        <f t="shared" si="19"/>
        <v>0</v>
      </c>
      <c r="BD31" s="313" t="e">
        <f>BC31*('Setting key Duty'!$I$13+'Setting key Duty'!$I$9)</f>
        <v>#VALUE!</v>
      </c>
      <c r="BE31" s="313">
        <f t="shared" si="20"/>
        <v>0</v>
      </c>
      <c r="BF31" s="313">
        <f>BE31*('Setting key Duty'!$I$8+'Setting key Duty'!$I$9+'Setting key Duty'!$I$12)</f>
        <v>0</v>
      </c>
      <c r="BG31" s="313">
        <f t="shared" si="21"/>
        <v>0</v>
      </c>
      <c r="BH31" s="313">
        <f t="shared" si="22"/>
        <v>1</v>
      </c>
      <c r="BI31" s="313">
        <f>BH31*('Setting key Duty'!$I$9)</f>
        <v>0.125</v>
      </c>
      <c r="BJ31" s="313">
        <f t="shared" si="23"/>
        <v>2</v>
      </c>
      <c r="BK31" s="313">
        <f>BJ31*('Setting key Duty'!$I$12+'Setting key Duty'!$I$8)</f>
        <v>0.875</v>
      </c>
      <c r="BL31" s="313">
        <f t="shared" si="24"/>
        <v>0</v>
      </c>
      <c r="BM31" s="313">
        <f>BL31*('Setting key Duty'!$J$11+'Setting key Duty'!$I$8)</f>
        <v>0</v>
      </c>
      <c r="BN31" s="313">
        <f t="shared" si="26"/>
        <v>0</v>
      </c>
      <c r="BO31" s="313">
        <f t="shared" si="27"/>
        <v>2</v>
      </c>
      <c r="BP31" s="313">
        <f>COUNTIF($D31:$AE31,BP$4)</f>
        <v>0</v>
      </c>
      <c r="BQ31" s="345"/>
    </row>
    <row r="32" ht="19.5" customHeight="1" spans="1:69">
      <c r="A32" s="309"/>
      <c r="B32" s="346" t="s">
        <v>365</v>
      </c>
      <c r="C32" s="317"/>
      <c r="D32" s="317">
        <v>4</v>
      </c>
      <c r="E32" s="106"/>
      <c r="F32" s="197" t="s">
        <v>104</v>
      </c>
      <c r="G32" s="106"/>
      <c r="H32" s="106"/>
      <c r="I32" s="106"/>
      <c r="J32" s="197" t="s">
        <v>385</v>
      </c>
      <c r="L32" s="197" t="s">
        <v>403</v>
      </c>
      <c r="M32" s="197"/>
      <c r="N32" s="197"/>
      <c r="O32" s="324"/>
      <c r="P32" s="349" t="s">
        <v>93</v>
      </c>
      <c r="Q32" s="106"/>
      <c r="S32" s="197" t="s">
        <v>349</v>
      </c>
      <c r="T32" s="196"/>
      <c r="U32" s="197" t="s">
        <v>65</v>
      </c>
      <c r="X32" s="317"/>
      <c r="Y32" s="317" t="s">
        <v>404</v>
      </c>
      <c r="Z32" s="317" t="s">
        <v>404</v>
      </c>
      <c r="AA32" s="317" t="s">
        <v>404</v>
      </c>
      <c r="AB32" s="317" t="s">
        <v>404</v>
      </c>
      <c r="AC32" s="317" t="s">
        <v>404</v>
      </c>
      <c r="AD32" s="317"/>
      <c r="AE32" s="197"/>
      <c r="AF32" s="197" t="s">
        <v>116</v>
      </c>
      <c r="AG32" s="317"/>
      <c r="AH32" s="317"/>
      <c r="AI32" s="311"/>
      <c r="AJ32" s="312"/>
      <c r="AK32" s="311"/>
      <c r="AL32" s="344"/>
      <c r="AM32" s="344"/>
      <c r="AN32" s="344"/>
      <c r="AO32" s="344"/>
      <c r="AP32" s="246"/>
      <c r="AQ32" s="313">
        <f t="shared" si="2"/>
        <v>0</v>
      </c>
      <c r="AR32" s="246"/>
      <c r="AS32" s="238">
        <f t="shared" si="3"/>
        <v>0</v>
      </c>
      <c r="AT32" s="246"/>
      <c r="AU32" s="238">
        <f t="shared" si="4"/>
        <v>0</v>
      </c>
      <c r="AV32" s="238">
        <f t="shared" si="5"/>
        <v>0</v>
      </c>
      <c r="AW32" s="238">
        <f t="shared" si="7"/>
        <v>9</v>
      </c>
      <c r="AX32" s="238" t="e">
        <f t="shared" si="18"/>
        <v>#VALUE!</v>
      </c>
      <c r="AY32" s="313" t="e">
        <f>(BJ32*('Setting key Duty'!$I$8+'Setting key Duty'!$I$12))+(BH32*'Setting key Duty'!$I$9)+(BC32*('Setting key Duty'!$I$13+'Setting key Duty'!$I$9))+(BA32*('Setting key Duty'!$I$13+'Setting key Duty'!$I$12+'Setting key Duty'!$I$11))+(BE32*('Setting key Duty'!$I$8+'Setting key Duty'!$I$9+'Setting key Duty'!$I$12))</f>
        <v>#VALUE!</v>
      </c>
      <c r="AZ32" s="313">
        <f t="shared" si="25"/>
        <v>0</v>
      </c>
      <c r="BA32" s="313">
        <f t="shared" si="17"/>
        <v>1</v>
      </c>
      <c r="BB32" s="313" t="e">
        <f>BA32*('Setting key Duty'!$I$13+'Setting key Duty'!$I$12+'Setting key Duty'!$I$11)</f>
        <v>#VALUE!</v>
      </c>
      <c r="BC32" s="313">
        <f t="shared" si="19"/>
        <v>0</v>
      </c>
      <c r="BD32" s="313" t="e">
        <f>BC32*('Setting key Duty'!$I$13+'Setting key Duty'!$I$9)</f>
        <v>#VALUE!</v>
      </c>
      <c r="BE32" s="313">
        <f t="shared" si="20"/>
        <v>0</v>
      </c>
      <c r="BF32" s="313">
        <f>BE32*('Setting key Duty'!$I$8+'Setting key Duty'!$I$9+'Setting key Duty'!$I$12)</f>
        <v>0</v>
      </c>
      <c r="BG32" s="313">
        <f t="shared" si="21"/>
        <v>0</v>
      </c>
      <c r="BH32" s="313">
        <f t="shared" si="22"/>
        <v>0</v>
      </c>
      <c r="BI32" s="313">
        <f>BH32*('Setting key Duty'!$I$9)</f>
        <v>0</v>
      </c>
      <c r="BJ32" s="313">
        <f t="shared" si="23"/>
        <v>3</v>
      </c>
      <c r="BK32" s="313">
        <f>BJ32*('Setting key Duty'!$I$12+'Setting key Duty'!$I$8)</f>
        <v>1.3125</v>
      </c>
      <c r="BL32" s="313">
        <f t="shared" si="24"/>
        <v>5</v>
      </c>
      <c r="BM32" s="313">
        <f>BL32*('Setting key Duty'!$J$11+'Setting key Duty'!$I$8)</f>
        <v>0.625</v>
      </c>
      <c r="BN32" s="313">
        <f t="shared" si="26"/>
        <v>0</v>
      </c>
      <c r="BO32" s="313">
        <f t="shared" si="27"/>
        <v>0</v>
      </c>
      <c r="BP32" s="313"/>
      <c r="BQ32" s="345"/>
    </row>
    <row r="33" ht="19.5" customHeight="1" spans="1:69">
      <c r="A33" s="309"/>
      <c r="B33" s="347" t="s">
        <v>366</v>
      </c>
      <c r="C33" s="317"/>
      <c r="D33" s="349" t="s">
        <v>93</v>
      </c>
      <c r="E33" s="106"/>
      <c r="F33" s="106"/>
      <c r="G33" s="106"/>
      <c r="H33" s="197" t="s">
        <v>65</v>
      </c>
      <c r="I33" s="106"/>
      <c r="J33" s="197" t="s">
        <v>65</v>
      </c>
      <c r="K33" s="349" t="s">
        <v>93</v>
      </c>
      <c r="L33" s="349" t="s">
        <v>93</v>
      </c>
      <c r="M33" s="155"/>
      <c r="N33" s="197" t="s">
        <v>65</v>
      </c>
      <c r="O33" s="324"/>
      <c r="Q33" s="197"/>
      <c r="R33" s="106"/>
      <c r="S33" s="197" t="s">
        <v>349</v>
      </c>
      <c r="T33" s="197" t="s">
        <v>65</v>
      </c>
      <c r="U33" s="197"/>
      <c r="V33" s="197"/>
      <c r="W33" s="197" t="s">
        <v>65</v>
      </c>
      <c r="X33" s="197"/>
      <c r="Y33" s="197" t="s">
        <v>65</v>
      </c>
      <c r="Z33" s="106"/>
      <c r="AA33" s="106"/>
      <c r="AD33" s="317" t="s">
        <v>65</v>
      </c>
      <c r="AE33" s="197" t="s">
        <v>93</v>
      </c>
      <c r="AF33" s="197" t="s">
        <v>65</v>
      </c>
      <c r="AG33" s="317"/>
      <c r="AH33" s="317"/>
      <c r="AI33" s="311"/>
      <c r="AJ33" s="312"/>
      <c r="AK33" s="311"/>
      <c r="AL33" s="344"/>
      <c r="AM33" s="344"/>
      <c r="AN33" s="344"/>
      <c r="AO33" s="344"/>
      <c r="AP33" s="246"/>
      <c r="AQ33" s="313">
        <f t="shared" si="2"/>
        <v>0</v>
      </c>
      <c r="AR33" s="246"/>
      <c r="AS33" s="238">
        <f t="shared" si="3"/>
        <v>0</v>
      </c>
      <c r="AT33" s="246"/>
      <c r="AU33" s="238">
        <f t="shared" si="4"/>
        <v>0</v>
      </c>
      <c r="AV33" s="238">
        <f t="shared" si="5"/>
        <v>0</v>
      </c>
      <c r="AW33" s="238">
        <f t="shared" si="7"/>
        <v>0</v>
      </c>
      <c r="AX33" s="238" t="e">
        <f t="shared" si="18"/>
        <v>#VALUE!</v>
      </c>
      <c r="AY33" s="313" t="e">
        <f>(BJ33*('Setting key Duty'!$I$8+'Setting key Duty'!$I$12))+(BH33*'Setting key Duty'!$I$9)+(BC33*('Setting key Duty'!$I$13+'Setting key Duty'!$I$9))+(BA33*('Setting key Duty'!$I$13+'Setting key Duty'!$I$12+'Setting key Duty'!$I$11))+(BE33*('Setting key Duty'!$I$8+'Setting key Duty'!$I$9+'Setting key Duty'!$I$12))</f>
        <v>#VALUE!</v>
      </c>
      <c r="AZ33" s="313">
        <f t="shared" si="25"/>
        <v>0</v>
      </c>
      <c r="BA33" s="313">
        <f t="shared" si="17"/>
        <v>0</v>
      </c>
      <c r="BB33" s="313" t="e">
        <f>BA33*('Setting key Duty'!$I$13+'Setting key Duty'!$I$12+'Setting key Duty'!$I$11)</f>
        <v>#VALUE!</v>
      </c>
      <c r="BC33" s="313">
        <f t="shared" si="19"/>
        <v>0</v>
      </c>
      <c r="BD33" s="313" t="e">
        <f>BC33*('Setting key Duty'!$I$13+'Setting key Duty'!$I$9)</f>
        <v>#VALUE!</v>
      </c>
      <c r="BE33" s="313">
        <f t="shared" si="20"/>
        <v>0</v>
      </c>
      <c r="BF33" s="313">
        <f>BE33*('Setting key Duty'!$I$8+'Setting key Duty'!$I$9+'Setting key Duty'!$I$12)</f>
        <v>0</v>
      </c>
      <c r="BG33" s="313">
        <f t="shared" si="21"/>
        <v>0</v>
      </c>
      <c r="BH33" s="313">
        <f t="shared" si="22"/>
        <v>0</v>
      </c>
      <c r="BI33" s="313">
        <f>BH33*('Setting key Duty'!$I$9)</f>
        <v>0</v>
      </c>
      <c r="BJ33" s="313">
        <f t="shared" si="23"/>
        <v>0</v>
      </c>
      <c r="BK33" s="313">
        <f>BJ33*('Setting key Duty'!$I$12+'Setting key Duty'!$I$8)</f>
        <v>0</v>
      </c>
      <c r="BL33" s="313">
        <f t="shared" si="24"/>
        <v>0</v>
      </c>
      <c r="BM33" s="313">
        <f>BL33*('Setting key Duty'!$J$11+'Setting key Duty'!$I$8)</f>
        <v>0</v>
      </c>
      <c r="BN33" s="313">
        <f t="shared" si="26"/>
        <v>0</v>
      </c>
      <c r="BO33" s="313">
        <f t="shared" si="27"/>
        <v>0</v>
      </c>
      <c r="BP33" s="313"/>
      <c r="BQ33" s="345"/>
    </row>
    <row r="34" ht="19.5" customHeight="1" spans="1:69">
      <c r="A34" s="309"/>
      <c r="B34" s="347" t="s">
        <v>367</v>
      </c>
      <c r="C34" s="317"/>
      <c r="D34" s="317">
        <v>4</v>
      </c>
      <c r="F34" s="197" t="s">
        <v>65</v>
      </c>
      <c r="G34" s="106"/>
      <c r="H34" s="106"/>
      <c r="I34" s="106"/>
      <c r="J34" s="197"/>
      <c r="K34" s="324"/>
      <c r="L34" s="324"/>
      <c r="M34" s="197" t="s">
        <v>403</v>
      </c>
      <c r="N34" s="324"/>
      <c r="O34" s="324"/>
      <c r="P34" s="197"/>
      <c r="Q34" s="197" t="s">
        <v>386</v>
      </c>
      <c r="R34" s="197" t="s">
        <v>246</v>
      </c>
      <c r="S34" s="197" t="s">
        <v>349</v>
      </c>
      <c r="T34" s="196"/>
      <c r="U34" s="197"/>
      <c r="V34" s="197"/>
      <c r="W34" s="197" t="s">
        <v>93</v>
      </c>
      <c r="X34" s="321" t="s">
        <v>144</v>
      </c>
      <c r="Z34" s="106"/>
      <c r="AA34" s="197" t="s">
        <v>405</v>
      </c>
      <c r="AB34" s="197" t="s">
        <v>405</v>
      </c>
      <c r="AC34" s="197" t="s">
        <v>405</v>
      </c>
      <c r="AD34" s="197" t="s">
        <v>405</v>
      </c>
      <c r="AE34" s="197" t="s">
        <v>405</v>
      </c>
      <c r="AF34" s="317"/>
      <c r="AG34" s="317"/>
      <c r="AH34" s="317"/>
      <c r="AI34" s="311"/>
      <c r="AJ34" s="312"/>
      <c r="AK34" s="311"/>
      <c r="AL34" s="344"/>
      <c r="AM34" s="344"/>
      <c r="AN34" s="344"/>
      <c r="AO34" s="344"/>
      <c r="AP34" s="246"/>
      <c r="AQ34" s="313">
        <f t="shared" si="2"/>
        <v>0</v>
      </c>
      <c r="AR34" s="246"/>
      <c r="AS34" s="238">
        <f t="shared" si="3"/>
        <v>0</v>
      </c>
      <c r="AT34" s="246"/>
      <c r="AU34" s="238">
        <f t="shared" si="4"/>
        <v>0</v>
      </c>
      <c r="AV34" s="238">
        <f t="shared" si="5"/>
        <v>0</v>
      </c>
      <c r="AW34" s="238">
        <f t="shared" si="7"/>
        <v>9</v>
      </c>
      <c r="AX34" s="238" t="e">
        <f t="shared" si="18"/>
        <v>#VALUE!</v>
      </c>
      <c r="AY34" s="313" t="e">
        <f>(BJ34*('Setting key Duty'!$I$8+'Setting key Duty'!$I$12))+(BH34*'Setting key Duty'!$I$9)+(BC34*('Setting key Duty'!$I$13+'Setting key Duty'!$I$9))+(BA34*('Setting key Duty'!$I$13+'Setting key Duty'!$I$12+'Setting key Duty'!$I$11))+(BE34*('Setting key Duty'!$I$8+'Setting key Duty'!$I$9+'Setting key Duty'!$I$12))</f>
        <v>#VALUE!</v>
      </c>
      <c r="AZ34" s="313">
        <f t="shared" si="25"/>
        <v>0</v>
      </c>
      <c r="BA34" s="313">
        <f t="shared" si="17"/>
        <v>1</v>
      </c>
      <c r="BB34" s="313" t="e">
        <f>BA34*('Setting key Duty'!$I$13+'Setting key Duty'!$I$12+'Setting key Duty'!$I$11)</f>
        <v>#VALUE!</v>
      </c>
      <c r="BC34" s="313">
        <f t="shared" si="19"/>
        <v>0</v>
      </c>
      <c r="BD34" s="313" t="e">
        <f>BC34*('Setting key Duty'!$I$13+'Setting key Duty'!$I$9)</f>
        <v>#VALUE!</v>
      </c>
      <c r="BE34" s="313">
        <f t="shared" si="20"/>
        <v>0</v>
      </c>
      <c r="BF34" s="313">
        <f>BE34*('Setting key Duty'!$I$8+'Setting key Duty'!$I$9+'Setting key Duty'!$I$12)</f>
        <v>0</v>
      </c>
      <c r="BG34" s="313">
        <f t="shared" si="21"/>
        <v>0</v>
      </c>
      <c r="BH34" s="313">
        <f t="shared" si="22"/>
        <v>0</v>
      </c>
      <c r="BI34" s="313">
        <f>BH34*('Setting key Duty'!$I$9)</f>
        <v>0</v>
      </c>
      <c r="BJ34" s="313">
        <f t="shared" si="23"/>
        <v>3</v>
      </c>
      <c r="BK34" s="313">
        <f>BJ34*('Setting key Duty'!$I$12+'Setting key Duty'!$I$8)</f>
        <v>1.3125</v>
      </c>
      <c r="BL34" s="313">
        <f t="shared" si="24"/>
        <v>5</v>
      </c>
      <c r="BM34" s="313">
        <f>BL34*('Setting key Duty'!$J$11+'Setting key Duty'!$I$8)</f>
        <v>0.625</v>
      </c>
      <c r="BN34" s="313">
        <f t="shared" si="26"/>
        <v>0</v>
      </c>
      <c r="BO34" s="313">
        <f t="shared" si="27"/>
        <v>0</v>
      </c>
      <c r="BP34" s="313"/>
      <c r="BQ34" s="345"/>
    </row>
    <row r="35" ht="19.5" customHeight="1" spans="1:69">
      <c r="A35" s="309"/>
      <c r="B35" s="347" t="s">
        <v>368</v>
      </c>
      <c r="C35" s="317"/>
      <c r="D35" s="317">
        <v>4</v>
      </c>
      <c r="F35" s="106"/>
      <c r="G35" s="106"/>
      <c r="H35" s="106"/>
      <c r="I35" s="197" t="s">
        <v>354</v>
      </c>
      <c r="J35" s="317"/>
      <c r="K35" s="197" t="s">
        <v>391</v>
      </c>
      <c r="M35" s="349" t="s">
        <v>93</v>
      </c>
      <c r="N35" s="324"/>
      <c r="O35" s="324"/>
      <c r="P35" s="197" t="s">
        <v>387</v>
      </c>
      <c r="Q35" s="197" t="s">
        <v>93</v>
      </c>
      <c r="R35" s="106"/>
      <c r="S35" s="197" t="s">
        <v>349</v>
      </c>
      <c r="T35" s="196"/>
      <c r="U35" s="197"/>
      <c r="V35" s="197"/>
      <c r="W35" s="197" t="s">
        <v>246</v>
      </c>
      <c r="X35" s="317"/>
      <c r="Y35" s="106"/>
      <c r="Z35" s="197" t="s">
        <v>406</v>
      </c>
      <c r="AA35" s="197" t="s">
        <v>406</v>
      </c>
      <c r="AB35" s="197" t="s">
        <v>406</v>
      </c>
      <c r="AC35" s="197" t="s">
        <v>406</v>
      </c>
      <c r="AD35" s="197" t="s">
        <v>406</v>
      </c>
      <c r="AE35" s="317"/>
      <c r="AF35" s="317"/>
      <c r="AG35" s="317"/>
      <c r="AH35" s="317" t="s">
        <v>65</v>
      </c>
      <c r="AI35" s="311"/>
      <c r="AJ35" s="312"/>
      <c r="AK35" s="311"/>
      <c r="AL35" s="344"/>
      <c r="AM35" s="344"/>
      <c r="AN35" s="344"/>
      <c r="AO35" s="344"/>
      <c r="AP35" s="246"/>
      <c r="AQ35" s="313">
        <f t="shared" si="2"/>
        <v>0</v>
      </c>
      <c r="AR35" s="246"/>
      <c r="AS35" s="238">
        <f t="shared" si="3"/>
        <v>0</v>
      </c>
      <c r="AT35" s="246"/>
      <c r="AU35" s="238">
        <f t="shared" si="4"/>
        <v>0</v>
      </c>
      <c r="AV35" s="238">
        <f t="shared" si="5"/>
        <v>0</v>
      </c>
      <c r="AW35" s="238">
        <f t="shared" si="7"/>
        <v>9</v>
      </c>
      <c r="AX35" s="238" t="e">
        <f t="shared" si="18"/>
        <v>#VALUE!</v>
      </c>
      <c r="AY35" s="313" t="e">
        <f>(BJ35*('Setting key Duty'!$I$8+'Setting key Duty'!$I$12))+(BH35*'Setting key Duty'!$I$9)+(BC35*('Setting key Duty'!$I$13+'Setting key Duty'!$I$9))+(BA35*('Setting key Duty'!$I$13+'Setting key Duty'!$I$12+'Setting key Duty'!$I$11))+(BE35*('Setting key Duty'!$I$8+'Setting key Duty'!$I$9+'Setting key Duty'!$I$12))</f>
        <v>#VALUE!</v>
      </c>
      <c r="AZ35" s="313">
        <f t="shared" si="25"/>
        <v>0</v>
      </c>
      <c r="BA35" s="313">
        <f t="shared" si="17"/>
        <v>1</v>
      </c>
      <c r="BB35" s="313" t="e">
        <f>BA35*('Setting key Duty'!$I$13+'Setting key Duty'!$I$12+'Setting key Duty'!$I$11)</f>
        <v>#VALUE!</v>
      </c>
      <c r="BC35" s="313">
        <f t="shared" si="19"/>
        <v>0</v>
      </c>
      <c r="BD35" s="313" t="e">
        <f>BC35*('Setting key Duty'!$I$13+'Setting key Duty'!$I$9)</f>
        <v>#VALUE!</v>
      </c>
      <c r="BE35" s="313">
        <f t="shared" si="20"/>
        <v>0</v>
      </c>
      <c r="BF35" s="313">
        <f>BE35*('Setting key Duty'!$I$8+'Setting key Duty'!$I$9+'Setting key Duty'!$I$12)</f>
        <v>0</v>
      </c>
      <c r="BG35" s="313">
        <f t="shared" si="21"/>
        <v>0</v>
      </c>
      <c r="BH35" s="313">
        <f t="shared" si="22"/>
        <v>0</v>
      </c>
      <c r="BI35" s="313">
        <f>BH35*('Setting key Duty'!$I$9)</f>
        <v>0</v>
      </c>
      <c r="BJ35" s="313">
        <f t="shared" si="23"/>
        <v>3</v>
      </c>
      <c r="BK35" s="313">
        <f>BJ35*('Setting key Duty'!$I$12+'Setting key Duty'!$I$8)</f>
        <v>1.3125</v>
      </c>
      <c r="BL35" s="313">
        <f t="shared" si="24"/>
        <v>5</v>
      </c>
      <c r="BM35" s="313">
        <f>BL35*('Setting key Duty'!$J$11+'Setting key Duty'!$I$8)</f>
        <v>0.625</v>
      </c>
      <c r="BN35" s="313">
        <f t="shared" si="26"/>
        <v>0</v>
      </c>
      <c r="BO35" s="313">
        <f t="shared" si="27"/>
        <v>0</v>
      </c>
      <c r="BP35" s="313"/>
      <c r="BQ35" s="345"/>
    </row>
    <row r="36" ht="19.5" customHeight="1" spans="1:69">
      <c r="A36" s="309"/>
      <c r="B36" s="347" t="s">
        <v>369</v>
      </c>
      <c r="C36" s="317"/>
      <c r="D36" s="317">
        <v>4</v>
      </c>
      <c r="E36" s="106"/>
      <c r="F36" s="349" t="s">
        <v>93</v>
      </c>
      <c r="G36" s="106"/>
      <c r="H36" s="106"/>
      <c r="I36" s="106"/>
      <c r="J36" s="197" t="s">
        <v>407</v>
      </c>
      <c r="L36" s="198" t="s">
        <v>235</v>
      </c>
      <c r="M36" s="317"/>
      <c r="N36" s="324"/>
      <c r="O36" s="324"/>
      <c r="P36" s="197" t="s">
        <v>106</v>
      </c>
      <c r="Q36" s="197" t="s">
        <v>408</v>
      </c>
      <c r="R36" s="197" t="s">
        <v>93</v>
      </c>
      <c r="S36" s="197" t="s">
        <v>349</v>
      </c>
      <c r="T36" s="196"/>
      <c r="V36" s="197" t="s">
        <v>65</v>
      </c>
      <c r="W36" s="197"/>
      <c r="X36" s="197" t="s">
        <v>93</v>
      </c>
      <c r="Y36" s="321"/>
      <c r="Z36" s="106"/>
      <c r="AA36" s="197" t="s">
        <v>65</v>
      </c>
      <c r="AB36" s="106"/>
      <c r="AC36" s="106"/>
      <c r="AD36" s="197" t="s">
        <v>402</v>
      </c>
      <c r="AF36" s="197" t="s">
        <v>399</v>
      </c>
      <c r="AG36" s="317"/>
      <c r="AH36" s="317"/>
      <c r="AI36" s="311"/>
      <c r="AJ36" s="312"/>
      <c r="AK36" s="311"/>
      <c r="AL36" s="344"/>
      <c r="AM36" s="344"/>
      <c r="AN36" s="344"/>
      <c r="AO36" s="344"/>
      <c r="AP36" s="246"/>
      <c r="AQ36" s="313">
        <f t="shared" si="2"/>
        <v>0</v>
      </c>
      <c r="AR36" s="246"/>
      <c r="AS36" s="238">
        <f t="shared" si="3"/>
        <v>0</v>
      </c>
      <c r="AT36" s="246"/>
      <c r="AU36" s="238">
        <f t="shared" si="4"/>
        <v>0</v>
      </c>
      <c r="AV36" s="238">
        <f t="shared" si="5"/>
        <v>0</v>
      </c>
      <c r="AW36" s="238">
        <f t="shared" si="7"/>
        <v>6</v>
      </c>
      <c r="AX36" s="238" t="e">
        <f t="shared" si="18"/>
        <v>#VALUE!</v>
      </c>
      <c r="AY36" s="313" t="e">
        <f>(BJ36*('Setting key Duty'!$I$8+'Setting key Duty'!$I$12))+(BH36*'Setting key Duty'!$I$9)+(BC36*('Setting key Duty'!$I$13+'Setting key Duty'!$I$9))+(BA36*('Setting key Duty'!$I$13+'Setting key Duty'!$I$12+'Setting key Duty'!$I$11))+(BE36*('Setting key Duty'!$I$8+'Setting key Duty'!$I$9+'Setting key Duty'!$I$12))</f>
        <v>#VALUE!</v>
      </c>
      <c r="AZ36" s="313">
        <f t="shared" si="25"/>
        <v>0</v>
      </c>
      <c r="BA36" s="313">
        <f t="shared" si="17"/>
        <v>1</v>
      </c>
      <c r="BB36" s="313" t="e">
        <f>BA36*('Setting key Duty'!$I$13+'Setting key Duty'!$I$12+'Setting key Duty'!$I$11)</f>
        <v>#VALUE!</v>
      </c>
      <c r="BC36" s="313">
        <f t="shared" si="19"/>
        <v>0</v>
      </c>
      <c r="BD36" s="313" t="e">
        <f>BC36*('Setting key Duty'!$I$13+'Setting key Duty'!$I$9)</f>
        <v>#VALUE!</v>
      </c>
      <c r="BE36" s="313">
        <f t="shared" si="20"/>
        <v>0</v>
      </c>
      <c r="BF36" s="313">
        <f>BE36*('Setting key Duty'!$I$8+'Setting key Duty'!$I$9+'Setting key Duty'!$I$12)</f>
        <v>0</v>
      </c>
      <c r="BG36" s="313">
        <f t="shared" si="21"/>
        <v>0</v>
      </c>
      <c r="BH36" s="313">
        <f t="shared" si="22"/>
        <v>2</v>
      </c>
      <c r="BI36" s="313">
        <f>BH36*('Setting key Duty'!$I$9)</f>
        <v>0.25</v>
      </c>
      <c r="BJ36" s="313">
        <f t="shared" si="23"/>
        <v>3</v>
      </c>
      <c r="BK36" s="313">
        <f>BJ36*('Setting key Duty'!$I$12+'Setting key Duty'!$I$8)</f>
        <v>1.3125</v>
      </c>
      <c r="BL36" s="313">
        <f t="shared" si="24"/>
        <v>0</v>
      </c>
      <c r="BM36" s="313">
        <f>BL36*('Setting key Duty'!$J$11+'Setting key Duty'!$I$8)</f>
        <v>0</v>
      </c>
      <c r="BN36" s="313">
        <f t="shared" si="26"/>
        <v>0</v>
      </c>
      <c r="BO36" s="313">
        <f t="shared" si="27"/>
        <v>0</v>
      </c>
      <c r="BP36" s="313"/>
      <c r="BQ36" s="345"/>
    </row>
    <row r="37" ht="19.5" customHeight="1" spans="1:69">
      <c r="A37" s="309"/>
      <c r="B37" s="347" t="s">
        <v>370</v>
      </c>
      <c r="C37" s="197"/>
      <c r="D37" s="317" t="s">
        <v>65</v>
      </c>
      <c r="E37" s="106"/>
      <c r="F37" s="106"/>
      <c r="G37" s="197" t="s">
        <v>65</v>
      </c>
      <c r="H37" s="106"/>
      <c r="I37" s="349" t="s">
        <v>93</v>
      </c>
      <c r="K37" s="197" t="s">
        <v>65</v>
      </c>
      <c r="M37" s="317"/>
      <c r="N37" s="324"/>
      <c r="O37" s="197" t="s">
        <v>65</v>
      </c>
      <c r="Q37" s="197" t="s">
        <v>65</v>
      </c>
      <c r="R37" s="106"/>
      <c r="S37" s="197" t="s">
        <v>349</v>
      </c>
      <c r="U37" s="197"/>
      <c r="V37" s="197"/>
      <c r="X37" s="197" t="s">
        <v>65</v>
      </c>
      <c r="Y37" s="106"/>
      <c r="Z37" s="197" t="s">
        <v>93</v>
      </c>
      <c r="AA37" s="4" t="s">
        <v>54</v>
      </c>
      <c r="AB37" s="1" t="s">
        <v>54</v>
      </c>
      <c r="AC37" s="1" t="s">
        <v>54</v>
      </c>
      <c r="AD37" s="197"/>
      <c r="AE37" s="197" t="s">
        <v>65</v>
      </c>
      <c r="AF37" s="317"/>
      <c r="AG37" s="317"/>
      <c r="AH37" s="317"/>
      <c r="AI37" s="311"/>
      <c r="AJ37" s="312"/>
      <c r="AK37" s="311"/>
      <c r="AL37" s="344"/>
      <c r="AM37" s="344"/>
      <c r="AN37" s="344"/>
      <c r="AO37" s="344"/>
      <c r="AP37" s="246"/>
      <c r="AQ37" s="313">
        <f t="shared" si="2"/>
        <v>0</v>
      </c>
      <c r="AR37" s="246"/>
      <c r="AS37" s="238">
        <f t="shared" si="3"/>
        <v>0</v>
      </c>
      <c r="AT37" s="246"/>
      <c r="AU37" s="238">
        <f t="shared" si="4"/>
        <v>0</v>
      </c>
      <c r="AV37" s="238">
        <f t="shared" si="5"/>
        <v>0</v>
      </c>
      <c r="AW37" s="238">
        <f t="shared" si="7"/>
        <v>0</v>
      </c>
      <c r="AX37" s="238" t="e">
        <f t="shared" si="18"/>
        <v>#VALUE!</v>
      </c>
      <c r="AY37" s="313" t="e">
        <f>(BJ37*('Setting key Duty'!$I$8+'Setting key Duty'!$I$12))+(BH37*'Setting key Duty'!$I$9)+(BC37*('Setting key Duty'!$I$13+'Setting key Duty'!$I$9))+(BA37*('Setting key Duty'!$I$13+'Setting key Duty'!$I$12+'Setting key Duty'!$I$11))+(BE37*('Setting key Duty'!$I$8+'Setting key Duty'!$I$9+'Setting key Duty'!$I$12))</f>
        <v>#VALUE!</v>
      </c>
      <c r="AZ37" s="313">
        <f t="shared" si="25"/>
        <v>0</v>
      </c>
      <c r="BA37" s="313">
        <f t="shared" si="17"/>
        <v>0</v>
      </c>
      <c r="BB37" s="313" t="e">
        <f>BA37*('Setting key Duty'!$I$13+'Setting key Duty'!$I$12+'Setting key Duty'!$I$11)</f>
        <v>#VALUE!</v>
      </c>
      <c r="BC37" s="313">
        <f t="shared" si="19"/>
        <v>0</v>
      </c>
      <c r="BD37" s="313" t="e">
        <f>BC37*('Setting key Duty'!$I$13+'Setting key Duty'!$I$9)</f>
        <v>#VALUE!</v>
      </c>
      <c r="BE37" s="313">
        <f t="shared" si="20"/>
        <v>0</v>
      </c>
      <c r="BF37" s="313">
        <f>BE37*('Setting key Duty'!$I$8+'Setting key Duty'!$I$9+'Setting key Duty'!$I$12)</f>
        <v>0</v>
      </c>
      <c r="BG37" s="313">
        <f t="shared" si="21"/>
        <v>0</v>
      </c>
      <c r="BH37" s="313">
        <f t="shared" si="22"/>
        <v>0</v>
      </c>
      <c r="BI37" s="313">
        <f>BH37*('Setting key Duty'!$I$9)</f>
        <v>0</v>
      </c>
      <c r="BJ37" s="313">
        <f t="shared" si="23"/>
        <v>0</v>
      </c>
      <c r="BK37" s="313">
        <f>BJ37*('Setting key Duty'!$I$12+'Setting key Duty'!$I$8)</f>
        <v>0</v>
      </c>
      <c r="BL37" s="313">
        <f t="shared" si="24"/>
        <v>0</v>
      </c>
      <c r="BM37" s="313">
        <f>BL37*('Setting key Duty'!$J$11+'Setting key Duty'!$I$8)</f>
        <v>0</v>
      </c>
      <c r="BN37" s="313">
        <f t="shared" si="26"/>
        <v>0</v>
      </c>
      <c r="BO37" s="313">
        <f t="shared" si="27"/>
        <v>0</v>
      </c>
      <c r="BP37" s="313"/>
      <c r="BQ37" s="345"/>
    </row>
    <row r="38" ht="19.5" customHeight="1" spans="1:69">
      <c r="A38" s="309"/>
      <c r="B38" s="347" t="s">
        <v>371</v>
      </c>
      <c r="C38" s="317" t="s">
        <v>409</v>
      </c>
      <c r="D38" s="317" t="s">
        <v>409</v>
      </c>
      <c r="E38" s="317" t="s">
        <v>409</v>
      </c>
      <c r="F38" s="317" t="s">
        <v>409</v>
      </c>
      <c r="G38" s="317" t="s">
        <v>409</v>
      </c>
      <c r="H38" s="317" t="s">
        <v>409</v>
      </c>
      <c r="I38" s="317" t="s">
        <v>409</v>
      </c>
      <c r="J38" s="317" t="s">
        <v>409</v>
      </c>
      <c r="K38" s="317" t="s">
        <v>409</v>
      </c>
      <c r="L38" s="317" t="s">
        <v>409</v>
      </c>
      <c r="M38" s="317" t="s">
        <v>409</v>
      </c>
      <c r="N38" s="317" t="s">
        <v>409</v>
      </c>
      <c r="O38" s="317" t="s">
        <v>409</v>
      </c>
      <c r="P38" s="317" t="s">
        <v>409</v>
      </c>
      <c r="Q38" s="317" t="s">
        <v>409</v>
      </c>
      <c r="R38" s="317" t="s">
        <v>409</v>
      </c>
      <c r="S38" s="197" t="s">
        <v>349</v>
      </c>
      <c r="T38" s="317" t="s">
        <v>409</v>
      </c>
      <c r="U38" s="317" t="s">
        <v>409</v>
      </c>
      <c r="V38" s="317" t="s">
        <v>409</v>
      </c>
      <c r="W38" s="317" t="s">
        <v>409</v>
      </c>
      <c r="X38" s="317" t="s">
        <v>409</v>
      </c>
      <c r="Y38" s="317" t="s">
        <v>409</v>
      </c>
      <c r="Z38" s="317" t="s">
        <v>409</v>
      </c>
      <c r="AA38" s="317" t="s">
        <v>409</v>
      </c>
      <c r="AB38" s="317" t="s">
        <v>409</v>
      </c>
      <c r="AC38" s="317" t="s">
        <v>409</v>
      </c>
      <c r="AD38" s="317" t="s">
        <v>409</v>
      </c>
      <c r="AE38" s="317" t="s">
        <v>409</v>
      </c>
      <c r="AF38" s="317" t="s">
        <v>409</v>
      </c>
      <c r="AG38" s="317" t="s">
        <v>409</v>
      </c>
      <c r="AH38" s="317" t="s">
        <v>409</v>
      </c>
      <c r="AI38" s="311"/>
      <c r="AJ38" s="312"/>
      <c r="AK38" s="311"/>
      <c r="AL38" s="344"/>
      <c r="AM38" s="344"/>
      <c r="AN38" s="344"/>
      <c r="AO38" s="344"/>
      <c r="AP38" s="246"/>
      <c r="AQ38" s="313">
        <f t="shared" si="2"/>
        <v>0</v>
      </c>
      <c r="AR38" s="246"/>
      <c r="AS38" s="238">
        <f t="shared" si="3"/>
        <v>0</v>
      </c>
      <c r="AT38" s="246"/>
      <c r="AU38" s="238">
        <f t="shared" si="4"/>
        <v>0</v>
      </c>
      <c r="AV38" s="238">
        <f t="shared" si="5"/>
        <v>0</v>
      </c>
      <c r="AW38" s="238">
        <f t="shared" si="7"/>
        <v>0</v>
      </c>
      <c r="AX38" s="238" t="e">
        <f t="shared" si="18"/>
        <v>#VALUE!</v>
      </c>
      <c r="AY38" s="313" t="e">
        <f>(BJ38*('Setting key Duty'!$I$8+'Setting key Duty'!$I$12))+(BH38*'Setting key Duty'!$I$9)+(BC38*('Setting key Duty'!$I$13+'Setting key Duty'!$I$9))+(BA38*('Setting key Duty'!$I$13+'Setting key Duty'!$I$12+'Setting key Duty'!$I$11))+(BE38*('Setting key Duty'!$I$8+'Setting key Duty'!$I$9+'Setting key Duty'!$I$12))</f>
        <v>#VALUE!</v>
      </c>
      <c r="AZ38" s="313">
        <f t="shared" si="25"/>
        <v>0</v>
      </c>
      <c r="BA38" s="313">
        <f t="shared" si="17"/>
        <v>0</v>
      </c>
      <c r="BB38" s="313" t="e">
        <f>BA38*('Setting key Duty'!$I$13+'Setting key Duty'!$I$12+'Setting key Duty'!$I$11)</f>
        <v>#VALUE!</v>
      </c>
      <c r="BC38" s="313">
        <f t="shared" si="19"/>
        <v>0</v>
      </c>
      <c r="BD38" s="313" t="e">
        <f>BC38*('Setting key Duty'!$I$13+'Setting key Duty'!$I$9)</f>
        <v>#VALUE!</v>
      </c>
      <c r="BE38" s="313">
        <f t="shared" si="20"/>
        <v>0</v>
      </c>
      <c r="BF38" s="313">
        <f>BE38*('Setting key Duty'!$I$8+'Setting key Duty'!$I$9+'Setting key Duty'!$I$12)</f>
        <v>0</v>
      </c>
      <c r="BG38" s="313">
        <f t="shared" si="21"/>
        <v>0</v>
      </c>
      <c r="BH38" s="313">
        <f t="shared" si="22"/>
        <v>0</v>
      </c>
      <c r="BI38" s="313">
        <f>BH38*('Setting key Duty'!$I$9)</f>
        <v>0</v>
      </c>
      <c r="BJ38" s="313">
        <f t="shared" si="23"/>
        <v>0</v>
      </c>
      <c r="BK38" s="313">
        <f>BJ38*('Setting key Duty'!$I$12+'Setting key Duty'!$I$8)</f>
        <v>0</v>
      </c>
      <c r="BL38" s="313">
        <f t="shared" si="24"/>
        <v>0</v>
      </c>
      <c r="BM38" s="313">
        <f>BL38*('Setting key Duty'!$J$11+'Setting key Duty'!$I$8)</f>
        <v>0</v>
      </c>
      <c r="BN38" s="313">
        <f t="shared" si="26"/>
        <v>0</v>
      </c>
      <c r="BO38" s="313">
        <f t="shared" si="27"/>
        <v>0</v>
      </c>
      <c r="BP38" s="313"/>
      <c r="BQ38" s="345"/>
    </row>
    <row r="39" ht="19.5" customHeight="1" spans="1:69">
      <c r="A39" s="309"/>
      <c r="B39" s="347" t="s">
        <v>410</v>
      </c>
      <c r="C39" s="317"/>
      <c r="D39" s="317"/>
      <c r="E39" s="106"/>
      <c r="F39" s="4">
        <v>1</v>
      </c>
      <c r="G39" s="106"/>
      <c r="H39" s="106"/>
      <c r="I39" s="4">
        <v>2</v>
      </c>
      <c r="J39" s="317"/>
      <c r="K39" s="324"/>
      <c r="L39" s="324">
        <v>3</v>
      </c>
      <c r="M39" s="197" t="s">
        <v>65</v>
      </c>
      <c r="N39" s="324"/>
      <c r="O39" s="324"/>
      <c r="Q39" s="1">
        <v>4</v>
      </c>
      <c r="R39" s="197" t="s">
        <v>65</v>
      </c>
      <c r="S39" s="197" t="s">
        <v>349</v>
      </c>
      <c r="T39" s="350"/>
      <c r="U39" s="106"/>
      <c r="V39" s="317"/>
      <c r="W39" s="197"/>
      <c r="X39" s="317"/>
      <c r="Z39" s="321">
        <v>5</v>
      </c>
      <c r="AA39" s="106"/>
      <c r="AB39" s="197" t="s">
        <v>65</v>
      </c>
      <c r="AE39" s="1">
        <v>6</v>
      </c>
      <c r="AF39" s="317">
        <v>7</v>
      </c>
      <c r="AG39" s="350"/>
      <c r="AH39" s="197" t="s">
        <v>93</v>
      </c>
      <c r="AI39" s="311"/>
      <c r="AJ39" s="312"/>
      <c r="AK39" s="311"/>
      <c r="AL39" s="344"/>
      <c r="AM39" s="344"/>
      <c r="AN39" s="344"/>
      <c r="AO39" s="344"/>
      <c r="AP39" s="246"/>
      <c r="AQ39" s="313">
        <f t="shared" si="2"/>
        <v>0</v>
      </c>
      <c r="AR39" s="246"/>
      <c r="AS39" s="238">
        <f t="shared" si="3"/>
        <v>0</v>
      </c>
      <c r="AT39" s="246"/>
      <c r="AU39" s="238">
        <f t="shared" si="4"/>
        <v>0</v>
      </c>
      <c r="AV39" s="238">
        <f t="shared" si="5"/>
        <v>0</v>
      </c>
      <c r="AW39" s="238">
        <f t="shared" si="7"/>
        <v>0</v>
      </c>
      <c r="AX39" s="238" t="e">
        <f t="shared" si="18"/>
        <v>#VALUE!</v>
      </c>
      <c r="AY39" s="313" t="e">
        <f>(BJ39*('Setting key Duty'!$I$8+'Setting key Duty'!$I$12))+(BH39*'Setting key Duty'!$I$9)+(BC39*('Setting key Duty'!$I$13+'Setting key Duty'!$I$9))+(BA39*('Setting key Duty'!$I$13+'Setting key Duty'!$I$12+'Setting key Duty'!$I$11))+(BE39*('Setting key Duty'!$I$8+'Setting key Duty'!$I$9+'Setting key Duty'!$I$12))</f>
        <v>#VALUE!</v>
      </c>
      <c r="AZ39" s="313">
        <f t="shared" si="25"/>
        <v>0</v>
      </c>
      <c r="BA39" s="313">
        <f t="shared" si="17"/>
        <v>0</v>
      </c>
      <c r="BB39" s="313" t="e">
        <f>BA39*('Setting key Duty'!$I$13+'Setting key Duty'!$I$12+'Setting key Duty'!$I$11)</f>
        <v>#VALUE!</v>
      </c>
      <c r="BC39" s="313">
        <f t="shared" si="19"/>
        <v>0</v>
      </c>
      <c r="BD39" s="313" t="e">
        <f>BC39*('Setting key Duty'!$I$13+'Setting key Duty'!$I$9)</f>
        <v>#VALUE!</v>
      </c>
      <c r="BE39" s="313">
        <f t="shared" si="20"/>
        <v>0</v>
      </c>
      <c r="BF39" s="313">
        <f>BE39*('Setting key Duty'!$I$8+'Setting key Duty'!$I$9+'Setting key Duty'!$I$12)</f>
        <v>0</v>
      </c>
      <c r="BG39" s="313">
        <f t="shared" si="21"/>
        <v>0</v>
      </c>
      <c r="BH39" s="313">
        <f t="shared" si="22"/>
        <v>0</v>
      </c>
      <c r="BI39" s="313">
        <f>BH39*('Setting key Duty'!$I$9)</f>
        <v>0</v>
      </c>
      <c r="BJ39" s="313">
        <f t="shared" si="23"/>
        <v>0</v>
      </c>
      <c r="BK39" s="313">
        <f>BJ39*('Setting key Duty'!$I$12+'Setting key Duty'!$I$8)</f>
        <v>0</v>
      </c>
      <c r="BL39" s="313">
        <f t="shared" si="24"/>
        <v>0</v>
      </c>
      <c r="BM39" s="313">
        <f>BL39*('Setting key Duty'!$J$11+'Setting key Duty'!$I$8)</f>
        <v>0</v>
      </c>
      <c r="BN39" s="313">
        <f t="shared" si="26"/>
        <v>0</v>
      </c>
      <c r="BO39" s="313">
        <f t="shared" si="27"/>
        <v>0</v>
      </c>
      <c r="BP39" s="313"/>
      <c r="BQ39" s="345"/>
    </row>
    <row r="40" ht="19.5" customHeight="1" spans="1:69">
      <c r="A40" s="309"/>
      <c r="B40" s="354"/>
      <c r="C40" s="317"/>
      <c r="D40" s="317"/>
      <c r="E40" s="106"/>
      <c r="F40" s="106"/>
      <c r="G40" s="106"/>
      <c r="H40" s="106"/>
      <c r="I40" s="106"/>
      <c r="J40" s="317"/>
      <c r="K40" s="324"/>
      <c r="L40" s="324"/>
      <c r="M40" s="155"/>
      <c r="N40" s="324"/>
      <c r="O40" s="324"/>
      <c r="P40" s="317"/>
      <c r="Q40" s="106"/>
      <c r="R40" s="106"/>
      <c r="S40" s="106"/>
      <c r="T40" s="350"/>
      <c r="U40" s="106"/>
      <c r="V40" s="317"/>
      <c r="W40" s="106"/>
      <c r="X40" s="317"/>
      <c r="Y40" s="106"/>
      <c r="Z40" s="106"/>
      <c r="AA40" s="106"/>
      <c r="AB40" s="106"/>
      <c r="AC40" s="106"/>
      <c r="AD40" s="317"/>
      <c r="AE40" s="317"/>
      <c r="AF40" s="317"/>
      <c r="AG40" s="350"/>
      <c r="AH40" s="317"/>
      <c r="AI40" s="311"/>
      <c r="AJ40" s="312"/>
      <c r="AK40" s="311"/>
      <c r="AL40" s="344"/>
      <c r="AM40" s="344"/>
      <c r="AN40" s="344"/>
      <c r="AO40" s="344"/>
      <c r="AP40" s="246"/>
      <c r="AQ40" s="313">
        <f t="shared" si="2"/>
        <v>0</v>
      </c>
      <c r="AR40" s="246"/>
      <c r="AS40" s="238">
        <f t="shared" si="3"/>
        <v>0</v>
      </c>
      <c r="AT40" s="246"/>
      <c r="AU40" s="238">
        <f t="shared" si="4"/>
        <v>0</v>
      </c>
      <c r="AV40" s="238">
        <f t="shared" si="5"/>
        <v>0</v>
      </c>
      <c r="AW40" s="238">
        <f t="shared" si="7"/>
        <v>0</v>
      </c>
      <c r="AX40" s="238" t="e">
        <f t="shared" si="18"/>
        <v>#VALUE!</v>
      </c>
      <c r="AY40" s="313" t="e">
        <f>(BJ40*('Setting key Duty'!$I$8+'Setting key Duty'!$I$12))+(BH40*'Setting key Duty'!$I$9)+(BC40*('Setting key Duty'!$I$13+'Setting key Duty'!$I$9))+(BA40*('Setting key Duty'!$I$13+'Setting key Duty'!$I$12+'Setting key Duty'!$I$11))+(BE40*('Setting key Duty'!$I$8+'Setting key Duty'!$I$9+'Setting key Duty'!$I$12))</f>
        <v>#VALUE!</v>
      </c>
      <c r="AZ40" s="313">
        <f t="shared" si="25"/>
        <v>0</v>
      </c>
      <c r="BA40" s="313">
        <f t="shared" si="17"/>
        <v>0</v>
      </c>
      <c r="BB40" s="313" t="e">
        <f>BA40*('Setting key Duty'!$I$13+'Setting key Duty'!$I$12+'Setting key Duty'!$I$11)</f>
        <v>#VALUE!</v>
      </c>
      <c r="BC40" s="313">
        <f t="shared" si="19"/>
        <v>0</v>
      </c>
      <c r="BD40" s="313" t="e">
        <f>BC40*('Setting key Duty'!$I$13+'Setting key Duty'!$I$9)</f>
        <v>#VALUE!</v>
      </c>
      <c r="BE40" s="313">
        <f t="shared" si="20"/>
        <v>0</v>
      </c>
      <c r="BF40" s="313">
        <f>BE40*('Setting key Duty'!$I$8+'Setting key Duty'!$I$9+'Setting key Duty'!$I$12)</f>
        <v>0</v>
      </c>
      <c r="BG40" s="313">
        <f t="shared" si="21"/>
        <v>0</v>
      </c>
      <c r="BH40" s="313">
        <f t="shared" si="22"/>
        <v>0</v>
      </c>
      <c r="BI40" s="313">
        <f>BH40*('Setting key Duty'!$I$9)</f>
        <v>0</v>
      </c>
      <c r="BJ40" s="313">
        <f t="shared" si="23"/>
        <v>0</v>
      </c>
      <c r="BK40" s="313">
        <f>BJ40*('Setting key Duty'!$I$12+'Setting key Duty'!$I$8)</f>
        <v>0</v>
      </c>
      <c r="BL40" s="313">
        <f t="shared" si="24"/>
        <v>0</v>
      </c>
      <c r="BM40" s="313">
        <f>BL40*('Setting key Duty'!$J$11+'Setting key Duty'!$I$8)</f>
        <v>0</v>
      </c>
      <c r="BN40" s="313">
        <f t="shared" si="26"/>
        <v>0</v>
      </c>
      <c r="BO40" s="313">
        <f t="shared" si="27"/>
        <v>0</v>
      </c>
      <c r="BP40" s="313"/>
      <c r="BQ40" s="345"/>
    </row>
    <row r="41" ht="19.5" customHeight="1" spans="1:69">
      <c r="A41" s="309"/>
      <c r="B41" s="354" t="s">
        <v>148</v>
      </c>
      <c r="C41" s="349"/>
      <c r="D41" s="317"/>
      <c r="E41" s="317"/>
      <c r="F41" s="317"/>
      <c r="G41" s="317"/>
      <c r="H41" s="317"/>
      <c r="I41" s="317"/>
      <c r="J41" s="317"/>
      <c r="K41" s="317"/>
      <c r="L41" s="317"/>
      <c r="N41" s="317"/>
      <c r="O41" s="317"/>
      <c r="P41" s="317"/>
      <c r="Q41" s="106"/>
      <c r="R41" s="106"/>
      <c r="S41" s="317"/>
      <c r="T41" s="350"/>
      <c r="U41" s="198"/>
      <c r="V41" s="317"/>
      <c r="W41" s="317"/>
      <c r="X41" s="317"/>
      <c r="Y41" s="356"/>
      <c r="Z41" s="356"/>
      <c r="AA41" s="356"/>
      <c r="AB41" s="356"/>
      <c r="AC41" s="356"/>
      <c r="AD41" s="356"/>
      <c r="AE41" s="317"/>
      <c r="AF41" s="317"/>
      <c r="AG41" s="350"/>
      <c r="AH41" s="317"/>
      <c r="AI41" s="311">
        <f t="shared" ref="AI41:AO41" si="28">COUNTIF($C41:$AG41,AI$4)</f>
        <v>0</v>
      </c>
      <c r="AJ41" s="312">
        <f t="shared" si="28"/>
        <v>0</v>
      </c>
      <c r="AK41" s="311">
        <f t="shared" si="28"/>
        <v>0</v>
      </c>
      <c r="AL41" s="344">
        <f t="shared" si="28"/>
        <v>0</v>
      </c>
      <c r="AM41" s="344">
        <f t="shared" si="28"/>
        <v>0</v>
      </c>
      <c r="AN41" s="344">
        <f t="shared" si="28"/>
        <v>0</v>
      </c>
      <c r="AO41" s="344">
        <f t="shared" si="28"/>
        <v>0</v>
      </c>
      <c r="AP41" s="246"/>
      <c r="AQ41" s="313"/>
      <c r="AR41" s="246"/>
      <c r="AS41" s="238"/>
      <c r="AT41" s="246"/>
      <c r="AU41" s="246"/>
      <c r="AV41" s="238"/>
      <c r="AW41" s="238"/>
      <c r="AX41" s="238"/>
      <c r="AY41" s="313"/>
      <c r="AZ41" s="313"/>
      <c r="BA41" s="313"/>
      <c r="BB41" s="313"/>
      <c r="BC41" s="313"/>
      <c r="BD41" s="313"/>
      <c r="BE41" s="313"/>
      <c r="BF41" s="313"/>
      <c r="BG41" s="313"/>
      <c r="BH41" s="313"/>
      <c r="BI41" s="313"/>
      <c r="BJ41" s="313"/>
      <c r="BK41" s="313"/>
      <c r="BL41" s="313"/>
      <c r="BM41" s="313"/>
      <c r="BN41" s="344"/>
      <c r="BO41" s="344"/>
      <c r="BP41" s="344"/>
      <c r="BQ41" s="345"/>
    </row>
    <row r="42" ht="19.5" customHeight="1" spans="1:69">
      <c r="A42" s="309"/>
      <c r="B42" s="357"/>
      <c r="C42" s="358"/>
      <c r="D42" s="359"/>
      <c r="E42" s="359"/>
      <c r="F42" s="359"/>
      <c r="G42" s="359"/>
      <c r="H42" s="358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  <c r="AA42" s="358"/>
      <c r="AB42" s="358"/>
      <c r="AC42" s="358"/>
      <c r="AD42" s="358"/>
      <c r="AE42" s="358"/>
      <c r="AF42" s="358"/>
      <c r="AG42" s="358"/>
      <c r="AH42" s="360"/>
      <c r="AI42" s="361"/>
      <c r="AJ42" s="362"/>
      <c r="AK42" s="361"/>
      <c r="AL42" s="363"/>
      <c r="AM42" s="363"/>
      <c r="AN42" s="363"/>
      <c r="AO42" s="363"/>
      <c r="AP42" s="253"/>
      <c r="AQ42" s="253"/>
      <c r="AR42" s="253"/>
      <c r="AS42" s="253">
        <f>SUMPRODUCT(--WEEKDAY(C$3:AG$3,2)&gt;5,--((C42:AG42="DM"))+(C42:AG42="CS1")+((C42:AG42="CS2"))+(C42:AG42="SB1")+(C42:AG42="AE")+(C42:AG42="EM"))</f>
        <v>0</v>
      </c>
      <c r="AT42" s="253"/>
      <c r="AU42" s="253">
        <f>(AQ42-AR42)/2+(AS42-AT42)</f>
        <v>0</v>
      </c>
      <c r="AV42" s="253"/>
      <c r="AW42" s="253"/>
      <c r="AX42" s="253"/>
      <c r="AY42" s="363"/>
      <c r="AZ42" s="363"/>
      <c r="BA42" s="363"/>
      <c r="BB42" s="363"/>
      <c r="BC42" s="363"/>
      <c r="BD42" s="363"/>
      <c r="BE42" s="363"/>
      <c r="BF42" s="363"/>
      <c r="BG42" s="363"/>
      <c r="BH42" s="363"/>
      <c r="BI42" s="363"/>
      <c r="BJ42" s="363"/>
      <c r="BK42" s="363"/>
      <c r="BL42" s="363"/>
      <c r="BM42" s="363"/>
      <c r="BN42" s="363"/>
      <c r="BO42" s="363"/>
      <c r="BP42" s="363"/>
      <c r="BQ42" s="364"/>
    </row>
    <row r="43" ht="19.5" customHeight="1" spans="1:69">
      <c r="A43" s="309"/>
      <c r="B43" s="365" t="s">
        <v>57</v>
      </c>
      <c r="C43" s="366" t="str">
        <f>VLOOKUP("DM",C4:C41,1,FALSE)</f>
        <v>DM</v>
      </c>
      <c r="D43" s="366" t="str">
        <f>VLOOKUP("DM",D4:D41,1,FALSE)</f>
        <v>DM</v>
      </c>
      <c r="E43" s="366" t="str">
        <f>VLOOKUP("DM",E1:E41,1,FALSE)</f>
        <v>DM</v>
      </c>
      <c r="F43" s="366" t="str">
        <f t="shared" ref="F43:L43" si="29">VLOOKUP("DM",F4:F41,1,FALSE)</f>
        <v>DM</v>
      </c>
      <c r="G43" s="366" t="str">
        <f t="shared" si="29"/>
        <v>DM</v>
      </c>
      <c r="H43" s="366" t="str">
        <f t="shared" si="29"/>
        <v>DM</v>
      </c>
      <c r="I43" s="366" t="str">
        <f t="shared" si="29"/>
        <v>DM</v>
      </c>
      <c r="J43" s="366" t="str">
        <f t="shared" si="29"/>
        <v>DM</v>
      </c>
      <c r="K43" s="366" t="str">
        <f t="shared" si="29"/>
        <v>DM</v>
      </c>
      <c r="L43" s="366" t="str">
        <f t="shared" si="29"/>
        <v>DM</v>
      </c>
      <c r="M43" s="366" t="str">
        <f>VLOOKUP("DM",M4:M27,1,FALSE)</f>
        <v>DM</v>
      </c>
      <c r="N43" s="366" t="str">
        <f>VLOOKUP("DM",N4:N41,1,FALSE)</f>
        <v>DM</v>
      </c>
      <c r="O43" s="366" t="str">
        <f>VLOOKUP("DM",O4:O41,1,FALSE)</f>
        <v>DM</v>
      </c>
      <c r="P43" s="366" t="str">
        <f>VLOOKUP("DM",P4:P41,1,FALSE)</f>
        <v>DM</v>
      </c>
      <c r="Q43" s="366" t="str">
        <f>VLOOKUP("DM",Q4:Q30,1,FALSE)</f>
        <v>DM</v>
      </c>
      <c r="R43" s="366" t="str">
        <f>VLOOKUP("DM",R4:R25,1,FALSE)</f>
        <v>DM</v>
      </c>
      <c r="S43" s="366" t="str">
        <f>VLOOKUP("DM",S4:S41,1,FALSE)</f>
        <v>DM</v>
      </c>
      <c r="T43" s="366" t="str">
        <f>VLOOKUP("DM",T4:T41,1,FALSE)</f>
        <v>DM</v>
      </c>
      <c r="U43" s="366" t="str">
        <f>VLOOKUP("DM",U4:U41,1,FALSE)</f>
        <v>DM</v>
      </c>
      <c r="V43" s="366" t="str">
        <f>VLOOKUP("DM",V4:V25,1,FALSE)</f>
        <v>DM</v>
      </c>
      <c r="W43" s="366" t="str">
        <f>VLOOKUP("DM",W4:W25,1,FALSE)</f>
        <v>DM</v>
      </c>
      <c r="X43" s="366" t="str">
        <f>VLOOKUP("DM",X4:X41,1,FALSE)</f>
        <v>DM</v>
      </c>
      <c r="Y43" s="366" t="str">
        <f>VLOOKUP("DM",Y4:Y41,1,FALSE)</f>
        <v>DM</v>
      </c>
      <c r="Z43" s="366" t="str">
        <f>VLOOKUP("DM",Z4:Z41,1,FALSE)</f>
        <v>DM</v>
      </c>
      <c r="AA43" s="366" t="str">
        <f>VLOOKUP("DM",AA1:AA41,1,FALSE)</f>
        <v>DM</v>
      </c>
      <c r="AB43" s="366" t="str">
        <f t="shared" ref="AB43:AH43" si="30">VLOOKUP("DM",AB4:AB41,1,FALSE)</f>
        <v>DM</v>
      </c>
      <c r="AC43" s="366" t="str">
        <f t="shared" si="30"/>
        <v>DM</v>
      </c>
      <c r="AD43" s="366" t="str">
        <f t="shared" si="30"/>
        <v>DM</v>
      </c>
      <c r="AE43" s="366" t="str">
        <f t="shared" si="30"/>
        <v>DM</v>
      </c>
      <c r="AF43" s="366" t="str">
        <f t="shared" si="30"/>
        <v>DM</v>
      </c>
      <c r="AG43" s="366" t="str">
        <f t="shared" si="30"/>
        <v>DM</v>
      </c>
      <c r="AH43" s="366" t="str">
        <f t="shared" si="30"/>
        <v>DM</v>
      </c>
      <c r="AI43" s="311"/>
      <c r="AJ43" s="312"/>
      <c r="AK43" s="311"/>
      <c r="AL43" s="313"/>
      <c r="AM43" s="313"/>
      <c r="AN43" s="313"/>
      <c r="AO43" s="313"/>
      <c r="AP43" s="313"/>
      <c r="AQ43" s="313"/>
      <c r="AR43" s="313"/>
      <c r="AS43" s="313"/>
      <c r="AT43" s="313"/>
      <c r="AU43" s="313"/>
      <c r="AV43" s="313"/>
      <c r="AW43" s="313"/>
      <c r="AX43" s="313"/>
      <c r="AY43" s="313"/>
      <c r="AZ43" s="313"/>
      <c r="BA43" s="313"/>
      <c r="BB43" s="313"/>
      <c r="BC43" s="313"/>
      <c r="BD43" s="313"/>
      <c r="BE43" s="313"/>
      <c r="BF43" s="313"/>
      <c r="BG43" s="313"/>
      <c r="BH43" s="313"/>
      <c r="BI43" s="313"/>
      <c r="BJ43" s="313"/>
      <c r="BK43" s="313"/>
      <c r="BL43" s="313"/>
      <c r="BM43" s="313"/>
      <c r="BN43" s="313"/>
      <c r="BO43" s="313"/>
      <c r="BP43" s="313"/>
      <c r="BQ43" s="314"/>
    </row>
    <row r="44" ht="19.5" customHeight="1" spans="1:69">
      <c r="A44" s="309" t="e">
        <f>LTE()</f>
        <v>#NAME?</v>
      </c>
      <c r="B44" s="368" t="s">
        <v>56</v>
      </c>
      <c r="C44" s="366" t="str">
        <f>VLOOKUP("CS1",C5:C41,1,FALSE)</f>
        <v>CS1</v>
      </c>
      <c r="D44" s="366" t="str">
        <f>VLOOKUP("CS1",D1:D41,1,FALSE)</f>
        <v>CS1</v>
      </c>
      <c r="E44" s="366" t="str">
        <f>VLOOKUP("CS1",E1:E41,1,FALSE)</f>
        <v>CS1</v>
      </c>
      <c r="F44" s="366" t="str">
        <f>VLOOKUP("CS1",F8:F41,1,FALSE)</f>
        <v>CS1</v>
      </c>
      <c r="G44" s="366" t="str">
        <f>VLOOKUP("CS1",G8:G41,1,FALSE)</f>
        <v>CS1</v>
      </c>
      <c r="H44" s="366" t="str">
        <f>VLOOKUP("CS1",H6:H41,1,FALSE)</f>
        <v>CS1</v>
      </c>
      <c r="I44" s="366" t="str">
        <f>VLOOKUP("CS1",I7:I41,1,FALSE)</f>
        <v>CS1</v>
      </c>
      <c r="J44" s="366" t="str">
        <f>VLOOKUP("CS1",J4:J41,1,FALSE)</f>
        <v>CS1</v>
      </c>
      <c r="K44" s="366" t="str">
        <f>VLOOKUP("CS1",K1:K41,1,FALSE)</f>
        <v>CS1</v>
      </c>
      <c r="L44" s="366" t="str">
        <f>VLOOKUP("CS1",L1:L41,1,FALSE)</f>
        <v>CS1</v>
      </c>
      <c r="M44" s="366" t="str">
        <f>VLOOKUP("CS1",M7:M27,1,FALSE)</f>
        <v>CS1</v>
      </c>
      <c r="N44" s="366" t="str">
        <f>VLOOKUP("CS1",N6:N41,1,FALSE)</f>
        <v>CS1</v>
      </c>
      <c r="O44" s="366" t="str">
        <f>VLOOKUP("CS1",O1:O41,1,FALSE)</f>
        <v>CS1</v>
      </c>
      <c r="P44" s="366" t="str">
        <f>VLOOKUP("CS1",P5:P41,1,FALSE)</f>
        <v>CS1</v>
      </c>
      <c r="Q44" s="366" t="str">
        <f>VLOOKUP("CS1",Q6:Q30,1,FALSE)</f>
        <v>CS1</v>
      </c>
      <c r="R44" s="366" t="str">
        <f>VLOOKUP("CS1",R6:R25,1,FALSE)</f>
        <v>CS1</v>
      </c>
      <c r="S44" s="366" t="str">
        <f>VLOOKUP("CS1",S7:S41,1,FALSE)</f>
        <v>CS1</v>
      </c>
      <c r="T44" s="366" t="str">
        <f>VLOOKUP("CS1",T1:T41,1,FALSE)</f>
        <v>CS1</v>
      </c>
      <c r="U44" s="366" t="str">
        <f>VLOOKUP("CS1",U6:U41,1,FALSE)</f>
        <v>CS1</v>
      </c>
      <c r="V44" s="366" t="str">
        <f>VLOOKUP("CS1",V1:V25,1,FALSE)</f>
        <v>CS1</v>
      </c>
      <c r="W44" s="366" t="str">
        <f>VLOOKUP("CS1",W1:W25,1,FALSE)</f>
        <v>CS1</v>
      </c>
      <c r="X44" s="366" t="str">
        <f>VLOOKUP("CS1",X1:X41,1,FALSE)</f>
        <v>CS1</v>
      </c>
      <c r="Y44" s="366" t="str">
        <f>VLOOKUP("CS1",Y6:Y41,1,FALSE)</f>
        <v>CS1</v>
      </c>
      <c r="Z44" s="366" t="str">
        <f>VLOOKUP("CS1",Z1:Z41,1,FALSE)</f>
        <v>CS1</v>
      </c>
      <c r="AA44" s="366" t="str">
        <f>VLOOKUP("CS1",AA1:AA41,1,FALSE)</f>
        <v>CS1</v>
      </c>
      <c r="AB44" s="366" t="str">
        <f>VLOOKUP("CS1",AB5:AB41,1,FALSE)</f>
        <v>CS1</v>
      </c>
      <c r="AC44" s="366" t="str">
        <f>VLOOKUP("CS1",AC1:AC41,1,FALSE)</f>
        <v>CS1</v>
      </c>
      <c r="AD44" s="366" t="str">
        <f>VLOOKUP("CS1",AD1:AD41,1,FALSE)</f>
        <v>CS1</v>
      </c>
      <c r="AE44" s="366" t="str">
        <f>VLOOKUP("CS1",AE1:AE41,1,FALSE)</f>
        <v>CS1</v>
      </c>
      <c r="AF44" s="366" t="str">
        <f>VLOOKUP("CS1",AF7:AF41,1,FALSE)</f>
        <v>CS1</v>
      </c>
      <c r="AG44" s="366" t="str">
        <f>VLOOKUP("CS1",AG1:AG41,1,FALSE)</f>
        <v>CS1</v>
      </c>
      <c r="AH44" s="366" t="str">
        <f>VLOOKUP("CS1",AH1:AH41,1,FALSE)</f>
        <v>CS1</v>
      </c>
      <c r="AI44" s="311"/>
      <c r="AJ44" s="312"/>
      <c r="AK44" s="311"/>
      <c r="AL44" s="313"/>
      <c r="AM44" s="313"/>
      <c r="AN44" s="313"/>
      <c r="AO44" s="313"/>
      <c r="AP44" s="313"/>
      <c r="AQ44" s="313"/>
      <c r="AR44" s="313"/>
      <c r="AS44" s="313"/>
      <c r="AT44" s="313"/>
      <c r="AU44" s="313"/>
      <c r="AV44" s="313"/>
      <c r="AW44" s="313"/>
      <c r="AX44" s="313"/>
      <c r="AY44" s="313"/>
      <c r="AZ44" s="313"/>
      <c r="BA44" s="313"/>
      <c r="BB44" s="313"/>
      <c r="BC44" s="313"/>
      <c r="BD44" s="313"/>
      <c r="BE44" s="313"/>
      <c r="BF44" s="313"/>
      <c r="BG44" s="313"/>
      <c r="BH44" s="313"/>
      <c r="BI44" s="313"/>
      <c r="BJ44" s="313"/>
      <c r="BK44" s="313"/>
      <c r="BL44" s="313"/>
      <c r="BM44" s="313"/>
      <c r="BN44" s="313"/>
      <c r="BO44" s="313"/>
      <c r="BP44" s="313"/>
      <c r="BQ44" s="314"/>
    </row>
    <row r="45" ht="19.5" customHeight="1" spans="1:69">
      <c r="A45" s="309"/>
      <c r="B45" s="369" t="s">
        <v>59</v>
      </c>
      <c r="C45" s="366" t="str">
        <f>VLOOKUP("CS2",C6:C41,1,FALSE)</f>
        <v>CS2</v>
      </c>
      <c r="D45" s="366" t="str">
        <f>VLOOKUP("CS2",D9:D41,1,FALSE)</f>
        <v>CS2</v>
      </c>
      <c r="E45" s="366" t="str">
        <f>VLOOKUP("CS2",E8:E41,1,FALSE)</f>
        <v>CS2</v>
      </c>
      <c r="F45" s="366" t="str">
        <f>VLOOKUP("CS2",F8:F41,1,FALSE)</f>
        <v>CS2</v>
      </c>
      <c r="G45" s="366" t="str">
        <f>VLOOKUP("CS2",G1:G41,1,FALSE)</f>
        <v>CS2</v>
      </c>
      <c r="H45" s="366" t="str">
        <f>VLOOKUP("CS2",H1:H41,1,FALSE)</f>
        <v>CS2</v>
      </c>
      <c r="I45" s="366" t="str">
        <f>VLOOKUP("CS2",I7:I41,1,FALSE)</f>
        <v>CS2</v>
      </c>
      <c r="J45" s="366" t="str">
        <f>VLOOKUP("CS2",J4:J41,1,FALSE)</f>
        <v>CS2</v>
      </c>
      <c r="K45" s="366" t="str">
        <f>VLOOKUP("CS2",K5:K41,1,FALSE)</f>
        <v>CS2</v>
      </c>
      <c r="L45" s="366" t="str">
        <f>VLOOKUP("CS2",L4:L41,1,FALSE)</f>
        <v>CS2</v>
      </c>
      <c r="M45" s="366" t="str">
        <f>VLOOKUP("CS2",M1:M27,1,FALSE)</f>
        <v>CS2</v>
      </c>
      <c r="N45" s="366" t="str">
        <f>VLOOKUP("CS2",N1:N41,1,FALSE)</f>
        <v>CS2</v>
      </c>
      <c r="O45" s="366" t="str">
        <f>VLOOKUP("CS2",O6:O41,1,FALSE)</f>
        <v>CS2</v>
      </c>
      <c r="P45" s="366" t="str">
        <f>VLOOKUP("CS2",P1:P41,1,FALSE)</f>
        <v>CS2</v>
      </c>
      <c r="Q45" s="366" t="str">
        <f>VLOOKUP("CS2",Q6:Q30,1,FALSE)</f>
        <v>CS2</v>
      </c>
      <c r="R45" s="366" t="str">
        <f>VLOOKUP("CS2",R6:R25,1,FALSE)</f>
        <v>CS2</v>
      </c>
      <c r="S45" s="366" t="str">
        <f>VLOOKUP("CS2",S1:S41,1,FALSE)</f>
        <v>CS2</v>
      </c>
      <c r="T45" s="366" t="str">
        <f>VLOOKUP("CS2",T1:T41,1,FALSE)</f>
        <v>CS2</v>
      </c>
      <c r="U45" s="366" t="str">
        <f>VLOOKUP("CS2",U1:U41,1,FALSE)</f>
        <v>CS2</v>
      </c>
      <c r="V45" s="366" t="str">
        <f>VLOOKUP("CS2",V1:V25,1,FALSE)</f>
        <v>CS2</v>
      </c>
      <c r="W45" s="366" t="str">
        <f>VLOOKUP("CS2",W11:W25,1,FALSE)</f>
        <v>CS2</v>
      </c>
      <c r="X45" s="366" t="str">
        <f>VLOOKUP("CS2",X8:X41,1,FALSE)</f>
        <v>CS2</v>
      </c>
      <c r="Y45" s="366" t="str">
        <f>VLOOKUP("CS2",Y6:Y41,1,FALSE)</f>
        <v>CS2</v>
      </c>
      <c r="Z45" s="366" t="str">
        <f>VLOOKUP("CS2",Z6:Z41,1,FALSE)</f>
        <v>CS2</v>
      </c>
      <c r="AA45" s="366" t="str">
        <f>VLOOKUP("CS2",AA1:AA41,1,FALSE)</f>
        <v>CS2</v>
      </c>
      <c r="AB45" s="366" t="str">
        <f>VLOOKUP("CS2",AB1:AB41,1,FALSE)</f>
        <v>CS2</v>
      </c>
      <c r="AC45" s="366" t="str">
        <f>VLOOKUP("CS2",AC8:AC41,1,FALSE)</f>
        <v>CS2</v>
      </c>
      <c r="AD45" s="366" t="str">
        <f>VLOOKUP("CS2",AD1:AD41,1,FALSE)</f>
        <v>CS2</v>
      </c>
      <c r="AE45" s="366" t="str">
        <f>VLOOKUP("CS2",AE1:AE41,1,FALSE)</f>
        <v>CS2</v>
      </c>
      <c r="AF45" s="366" t="str">
        <f>VLOOKUP("CS2",AF1:AF41,1,FALSE)</f>
        <v>CS2</v>
      </c>
      <c r="AG45" s="366" t="str">
        <f>VLOOKUP("CS2",AG7:AG41,1,FALSE)</f>
        <v>CS2</v>
      </c>
      <c r="AH45" s="366" t="e">
        <f>VLOOKUP("CS2",AH7:AH41,1,FALSE)</f>
        <v>#N/A</v>
      </c>
      <c r="AI45" s="311"/>
      <c r="AJ45" s="312"/>
      <c r="AK45" s="311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  <c r="BN45" s="313"/>
      <c r="BO45" s="313"/>
      <c r="BP45" s="313"/>
      <c r="BQ45" s="314"/>
    </row>
    <row r="46" ht="19.5" customHeight="1" spans="1:69">
      <c r="A46" s="309"/>
      <c r="B46" s="370" t="s">
        <v>58</v>
      </c>
      <c r="C46" s="366" t="e">
        <f>VLOOKUP("SB1",C6:C41,1,FALSE)</f>
        <v>#N/A</v>
      </c>
      <c r="D46" s="366" t="str">
        <f>VLOOKUP("SB1",D3:D41,1,FALSE)</f>
        <v>SB1</v>
      </c>
      <c r="E46" s="366" t="str">
        <f>VLOOKUP("SB1",E1:E41,1,FALSE)</f>
        <v>SB1</v>
      </c>
      <c r="F46" s="366" t="str">
        <f>VLOOKUP("SB1",F8:F41,1,FALSE)</f>
        <v>SB1</v>
      </c>
      <c r="G46" s="366" t="str">
        <f>VLOOKUP("SB1",G5:G41,1,FALSE)</f>
        <v>SB1</v>
      </c>
      <c r="H46" s="366" t="str">
        <f>VLOOKUP("SB1",H6:H41,1,FALSE)</f>
        <v>SB1</v>
      </c>
      <c r="I46" s="366" t="str">
        <f>VLOOKUP("SB1",I1:I41,1,FALSE)</f>
        <v>SB1</v>
      </c>
      <c r="J46" s="366" t="str">
        <f>VLOOKUP("SB1",J4:J41,1,FALSE)</f>
        <v>SB1</v>
      </c>
      <c r="K46" s="366" t="str">
        <f>VLOOKUP("SB1",K6:K41,1,FALSE)</f>
        <v>SB1</v>
      </c>
      <c r="L46" s="366" t="e">
        <f>VLOOKUP("SB1",L1:L41,1,FALSE)</f>
        <v>#N/A</v>
      </c>
      <c r="M46" s="366" t="str">
        <f>VLOOKUP("SB1",M1:M27,1,FALSE)</f>
        <v>SB1</v>
      </c>
      <c r="N46" s="366" t="str">
        <f>VLOOKUP("SB1",N6:N41,1,FALSE)</f>
        <v>SB1</v>
      </c>
      <c r="O46" s="366" t="str">
        <f>VLOOKUP("SB1",O1:O41,1,FALSE)</f>
        <v>SB1</v>
      </c>
      <c r="P46" s="366" t="str">
        <f>VLOOKUP("SB1",P1:P41,1,FALSE)</f>
        <v>SB1</v>
      </c>
      <c r="Q46" s="366" t="str">
        <f>VLOOKUP("SB1",Q1:Q30,1,FALSE)</f>
        <v>SB1</v>
      </c>
      <c r="R46" s="366" t="str">
        <f>VLOOKUP("SB1",R6:R35,1,FALSE)</f>
        <v>SB1</v>
      </c>
      <c r="S46" s="366" t="e">
        <f>VLOOKUP("SB1",S1:S41,1,FALSE)</f>
        <v>#N/A</v>
      </c>
      <c r="T46" s="366" t="e">
        <f>VLOOKUP("SB1",T8:T41,1,FALSE)</f>
        <v>#N/A</v>
      </c>
      <c r="U46" s="366" t="e">
        <f>VLOOKUP("SB1",U1:U41,1,FALSE)</f>
        <v>#N/A</v>
      </c>
      <c r="V46" s="366" t="str">
        <f>VLOOKUP("SB1",V9:V35,1,FALSE)</f>
        <v>SB1</v>
      </c>
      <c r="W46" s="366" t="str">
        <f>VLOOKUP("SB1",W5:W25,1,FALSE)</f>
        <v>SB1</v>
      </c>
      <c r="X46" s="366" t="str">
        <f>VLOOKUP("SB1",X6:X41,1,FALSE)</f>
        <v>SB1</v>
      </c>
      <c r="Y46" s="366" t="str">
        <f>VLOOKUP("SB1",Y1:Y41,1,FALSE)</f>
        <v>SB1</v>
      </c>
      <c r="Z46" s="366" t="e">
        <f>VLOOKUP("SB1",Z6:Z41,1,FALSE)</f>
        <v>#N/A</v>
      </c>
      <c r="AA46" s="366" t="str">
        <f>VLOOKUP("SB1",AA1:AA41,1,FALSE)</f>
        <v>SB1</v>
      </c>
      <c r="AB46" s="366" t="str">
        <f>VLOOKUP("SB1",AB1:AB41,1,FALSE)</f>
        <v>SB1</v>
      </c>
      <c r="AC46" s="366" t="str">
        <f>VLOOKUP("SB1",AC1:AC41,1,FALSE)</f>
        <v>SB1</v>
      </c>
      <c r="AD46" s="366" t="str">
        <f>VLOOKUP("SB1",AD6:AD41,1,FALSE)</f>
        <v>SB1</v>
      </c>
      <c r="AE46" s="366" t="str">
        <f>VLOOKUP("SB1",AE7:AE41,1,FALSE)</f>
        <v>SB1</v>
      </c>
      <c r="AF46" s="366" t="e">
        <f>VLOOKUP("SB1",AF7:AF41,1,FALSE)</f>
        <v>#N/A</v>
      </c>
      <c r="AG46" s="366" t="e">
        <f>VLOOKUP("SB1",AG7:AG41,1,FALSE)</f>
        <v>#N/A</v>
      </c>
      <c r="AH46" s="366" t="e">
        <f>VLOOKUP("SB1",AH7:AH41,1,FALSE)</f>
        <v>#N/A</v>
      </c>
      <c r="AI46" s="311"/>
      <c r="AJ46" s="312"/>
      <c r="AK46" s="311"/>
      <c r="AL46" s="313"/>
      <c r="AM46" s="313"/>
      <c r="AN46" s="313"/>
      <c r="AO46" s="313"/>
      <c r="AP46" s="313"/>
      <c r="AQ46" s="313"/>
      <c r="AR46" s="313"/>
      <c r="AS46" s="313"/>
      <c r="AT46" s="313"/>
      <c r="AU46" s="313"/>
      <c r="AV46" s="313"/>
      <c r="AW46" s="313"/>
      <c r="AX46" s="313"/>
      <c r="AY46" s="313"/>
      <c r="AZ46" s="313"/>
      <c r="BA46" s="313"/>
      <c r="BB46" s="313"/>
      <c r="BC46" s="313"/>
      <c r="BD46" s="313"/>
      <c r="BE46" s="313"/>
      <c r="BF46" s="313"/>
      <c r="BG46" s="313"/>
      <c r="BH46" s="313"/>
      <c r="BI46" s="313"/>
      <c r="BJ46" s="313"/>
      <c r="BK46" s="313"/>
      <c r="BL46" s="313"/>
      <c r="BM46" s="313"/>
      <c r="BN46" s="313"/>
      <c r="BO46" s="313"/>
      <c r="BP46" s="313"/>
      <c r="BQ46" s="314"/>
    </row>
    <row r="47" ht="19.5" customHeight="1" spans="1:69">
      <c r="A47" s="309"/>
      <c r="B47" s="371" t="s">
        <v>93</v>
      </c>
      <c r="C47" s="366" t="str">
        <f>VLOOKUP("SB2",C6:C41,1,FALSE)</f>
        <v>SB2</v>
      </c>
      <c r="D47" s="366" t="str">
        <f>VLOOKUP("SB2",D9:D41,1,FALSE)</f>
        <v>SB2</v>
      </c>
      <c r="E47" s="366" t="str">
        <f>VLOOKUP("SB2",E8:E41,1,FALSE)</f>
        <v>SB2</v>
      </c>
      <c r="F47" s="366" t="str">
        <f>VLOOKUP("SB2",F1:F41,1,FALSE)</f>
        <v>SB2</v>
      </c>
      <c r="G47" s="366" t="e">
        <f>VLOOKUP("SB2",G8:G41,1,FALSE)</f>
        <v>#N/A</v>
      </c>
      <c r="H47" s="366" t="e">
        <f>VLOOKUP("SB2",H6:H41,1,FALSE)</f>
        <v>#N/A</v>
      </c>
      <c r="I47" s="366" t="str">
        <f>VLOOKUP("SB2",I7:I41,1,FALSE)</f>
        <v>SB2</v>
      </c>
      <c r="J47" s="366" t="str">
        <f>VLOOKUP("SB2",J4:J41,1,FALSE)</f>
        <v>SB2</v>
      </c>
      <c r="K47" s="366" t="str">
        <f>VLOOKUP("SB2",K6:K41,1,FALSE)</f>
        <v>SB2</v>
      </c>
      <c r="L47" s="366" t="str">
        <f>VLOOKUP("SB2",L11:L41,1,FALSE)</f>
        <v>SB2</v>
      </c>
      <c r="M47" s="366" t="str">
        <f>VLOOKUP("SB2",M8:M45,1,FALSE)</f>
        <v>SB2</v>
      </c>
      <c r="N47" s="366" t="e">
        <f>VLOOKUP("SB2",N6:N41,1,FALSE)</f>
        <v>#N/A</v>
      </c>
      <c r="O47" s="366" t="e">
        <f>VLOOKUP("SB2",O8:O41,1,FALSE)</f>
        <v>#N/A</v>
      </c>
      <c r="P47" s="366" t="str">
        <f>VLOOKUP("SB2",P8:P41,1,FALSE)</f>
        <v>SB2</v>
      </c>
      <c r="Q47" s="366" t="e">
        <f>VLOOKUP("SB2",Q11:Q30,1,FALSE)</f>
        <v>#N/A</v>
      </c>
      <c r="R47" s="366" t="e">
        <f>VLOOKUP("SB2",R6:R30,1,FALSE)</f>
        <v>#N/A</v>
      </c>
      <c r="S47" s="366" t="str">
        <f>VLOOKUP("SB2",S12:S41,1,FALSE)</f>
        <v>SB2</v>
      </c>
      <c r="T47" s="366" t="e">
        <f>VLOOKUP("SB2",T8:T41,1,FALSE)</f>
        <v>#N/A</v>
      </c>
      <c r="U47" s="366" t="e">
        <f>VLOOKUP("SB2",U9:U41,1,FALSE)</f>
        <v>#N/A</v>
      </c>
      <c r="V47" s="366" t="e">
        <f>VLOOKUP("SB2",V5:V41,1,FALSE)</f>
        <v>#N/A</v>
      </c>
      <c r="W47" s="366" t="e">
        <f>VLOOKUP("SB2",W11:W30,1,FALSE)</f>
        <v>#N/A</v>
      </c>
      <c r="X47" s="366" t="str">
        <f>VLOOKUP("SB2",X8:X41,1,FALSE)</f>
        <v>SB2</v>
      </c>
      <c r="Y47" s="366" t="str">
        <f>VLOOKUP("SB2",Y6:Y41,1,FALSE)</f>
        <v>SB2</v>
      </c>
      <c r="Z47" s="366" t="str">
        <f>VLOOKUP("SB2",Z6:Z41,1,FALSE)</f>
        <v>SB2</v>
      </c>
      <c r="AA47" s="366" t="str">
        <f>VLOOKUP("SB2",AA11:AA41,1,FALSE)</f>
        <v>SB2</v>
      </c>
      <c r="AB47" s="366" t="e">
        <f>VLOOKUP("SB2",AB9:AB41,1,FALSE)</f>
        <v>#N/A</v>
      </c>
      <c r="AC47" s="366" t="e">
        <f>VLOOKUP("SB2",AC11:AC41,1,FALSE)</f>
        <v>#N/A</v>
      </c>
      <c r="AD47" s="366" t="str">
        <f>VLOOKUP("SB2",AD6:AD41,1,FALSE)</f>
        <v>SB2</v>
      </c>
      <c r="AE47" s="366" t="str">
        <f>VLOOKUP("SB2",AE7:AE41,1,FALSE)</f>
        <v>SB2</v>
      </c>
      <c r="AF47" s="366" t="str">
        <f>VLOOKUP("SB2",AF7:AF41,1,FALSE)</f>
        <v>SB2</v>
      </c>
      <c r="AG47" s="366" t="e">
        <f>VLOOKUP("SB2",AG7:AG41,1,FALSE)</f>
        <v>#N/A</v>
      </c>
      <c r="AH47" s="366" t="str">
        <f>VLOOKUP("SB2",AH7:AH41,1,FALSE)</f>
        <v>SB2</v>
      </c>
      <c r="AI47" s="311"/>
      <c r="AJ47" s="312"/>
      <c r="AK47" s="311"/>
      <c r="AL47" s="313"/>
      <c r="AM47" s="313"/>
      <c r="AN47" s="313"/>
      <c r="AO47" s="313"/>
      <c r="AP47" s="313"/>
      <c r="AQ47" s="313"/>
      <c r="AR47" s="313"/>
      <c r="AS47" s="313"/>
      <c r="AT47" s="313"/>
      <c r="AU47" s="313"/>
      <c r="AV47" s="313"/>
      <c r="AW47" s="313"/>
      <c r="AX47" s="313"/>
      <c r="AY47" s="313"/>
      <c r="AZ47" s="313"/>
      <c r="BA47" s="313"/>
      <c r="BB47" s="313"/>
      <c r="BC47" s="313"/>
      <c r="BD47" s="313"/>
      <c r="BE47" s="313"/>
      <c r="BF47" s="313"/>
      <c r="BG47" s="313"/>
      <c r="BH47" s="313"/>
      <c r="BI47" s="313"/>
      <c r="BJ47" s="313"/>
      <c r="BK47" s="313"/>
      <c r="BL47" s="313"/>
      <c r="BM47" s="313"/>
      <c r="BN47" s="313"/>
      <c r="BO47" s="313"/>
      <c r="BP47" s="313"/>
      <c r="BQ47" s="314"/>
    </row>
    <row r="48" ht="19.5" customHeight="1" spans="1:69">
      <c r="A48" s="309"/>
      <c r="B48" s="372" t="s">
        <v>65</v>
      </c>
      <c r="C48" s="366" t="str">
        <f>VLOOKUP("AE",C6:C41,1,FALSE)</f>
        <v>AE</v>
      </c>
      <c r="D48" s="366" t="str">
        <f>VLOOKUP("AE",D9:D41,1,FALSE)</f>
        <v>AE</v>
      </c>
      <c r="E48" s="366" t="str">
        <f>VLOOKUP("AE",E8:E41,1,FALSE)</f>
        <v>AE</v>
      </c>
      <c r="F48" s="366" t="str">
        <f>VLOOKUP("AE",F1:F41,1,FALSE)</f>
        <v>AE</v>
      </c>
      <c r="G48" s="366" t="str">
        <f>VLOOKUP("AE",G1:G41,1,FALSE)</f>
        <v>AE</v>
      </c>
      <c r="H48" s="366" t="str">
        <f>VLOOKUP("AE",H8:H41,1,FALSE)</f>
        <v>AE</v>
      </c>
      <c r="I48" s="366" t="str">
        <f>VLOOKUP("AE",I7:I41,1,FALSE)</f>
        <v>AE</v>
      </c>
      <c r="J48" s="366" t="str">
        <f>VLOOKUP("AE",J4:J41,1,FALSE)</f>
        <v>AE</v>
      </c>
      <c r="K48" s="366" t="str">
        <f>VLOOKUP("AE",K6:K41,1,FALSE)</f>
        <v>AE</v>
      </c>
      <c r="L48" s="366" t="e">
        <f>VLOOKUP("AE",L11:L41,1,FALSE)</f>
        <v>#N/A</v>
      </c>
      <c r="M48" s="366" t="str">
        <f>VLOOKUP("AE",M8:M45,1,FALSE)</f>
        <v>AE</v>
      </c>
      <c r="N48" s="366" t="str">
        <f>VLOOKUP("AE",N6:N41,1,FALSE)</f>
        <v>AE</v>
      </c>
      <c r="O48" s="366" t="str">
        <f>VLOOKUP("AE",O8:O41,1,FALSE)</f>
        <v>AE</v>
      </c>
      <c r="P48" s="366" t="str">
        <f>VLOOKUP("AE",P8:P41,1,FALSE)</f>
        <v>AE</v>
      </c>
      <c r="Q48" s="366" t="str">
        <f>VLOOKUP("AE",Q11:Q38,1,FALSE)</f>
        <v>AE</v>
      </c>
      <c r="R48" s="366" t="str">
        <f>VLOOKUP("AE",R6:R39,1,FALSE)</f>
        <v>AE</v>
      </c>
      <c r="S48" s="366" t="str">
        <f>VLOOKUP("AE",S12:S41,1,FALSE)</f>
        <v>AE</v>
      </c>
      <c r="T48" s="366" t="str">
        <f>VLOOKUP("AE",T8:T41,1,FALSE)</f>
        <v>AE</v>
      </c>
      <c r="U48" s="366" t="str">
        <f>VLOOKUP("AE",U9:U41,1,FALSE)</f>
        <v>AE</v>
      </c>
      <c r="V48" s="366" t="str">
        <f>VLOOKUP("AE",V9:V43,1,FALSE)</f>
        <v>AE</v>
      </c>
      <c r="W48" s="366" t="str">
        <f>VLOOKUP("AE",W11:W41,1,FALSE)</f>
        <v>AE</v>
      </c>
      <c r="X48" s="366" t="str">
        <f>VLOOKUP("AE",X8:X41,1,FALSE)</f>
        <v>AE</v>
      </c>
      <c r="Y48" s="366" t="str">
        <f>VLOOKUP("AE",Y6:Y41,1,FALSE)</f>
        <v>AE</v>
      </c>
      <c r="Z48" s="366" t="str">
        <f>VLOOKUP("AE",Z6:Z41,1,FALSE)</f>
        <v>AE</v>
      </c>
      <c r="AA48" s="366" t="str">
        <f>VLOOKUP("AE",AA11:AA41,1,FALSE)</f>
        <v>AE</v>
      </c>
      <c r="AB48" s="366" t="str">
        <f>VLOOKUP("AE",AB9:AB41,1,FALSE)</f>
        <v>AE</v>
      </c>
      <c r="AC48" s="366" t="str">
        <f>VLOOKUP("AE",AC11:AC41,1,FALSE)</f>
        <v>AE</v>
      </c>
      <c r="AD48" s="366" t="str">
        <f>VLOOKUP("AE",AD6:AD41,1,FALSE)</f>
        <v>AE</v>
      </c>
      <c r="AE48" s="366" t="str">
        <f>VLOOKUP("AE",AE7:AE41,1,FALSE)</f>
        <v>AE</v>
      </c>
      <c r="AF48" s="366" t="str">
        <f>VLOOKUP("AE",AF7:AF41,1,FALSE)</f>
        <v>AE</v>
      </c>
      <c r="AG48" s="366" t="str">
        <f>VLOOKUP("AE",AG7:AG41,1,FALSE)</f>
        <v>AE</v>
      </c>
      <c r="AH48" s="366" t="str">
        <f>VLOOKUP("AE",AH7:AH41,1,FALSE)</f>
        <v>AE</v>
      </c>
      <c r="AI48" s="311"/>
      <c r="AJ48" s="312"/>
      <c r="AK48" s="311"/>
      <c r="AL48" s="313"/>
      <c r="AM48" s="313"/>
      <c r="AN48" s="313"/>
      <c r="AO48" s="313"/>
      <c r="AP48" s="313"/>
      <c r="AQ48" s="313"/>
      <c r="AR48" s="313"/>
      <c r="AS48" s="313"/>
      <c r="AT48" s="313"/>
      <c r="AU48" s="313"/>
      <c r="AV48" s="313"/>
      <c r="AW48" s="313"/>
      <c r="AX48" s="313"/>
      <c r="AY48" s="313"/>
      <c r="AZ48" s="313"/>
      <c r="BA48" s="313"/>
      <c r="BB48" s="313"/>
      <c r="BC48" s="313"/>
      <c r="BD48" s="313"/>
      <c r="BE48" s="313"/>
      <c r="BF48" s="313"/>
      <c r="BG48" s="313"/>
      <c r="BH48" s="313"/>
      <c r="BI48" s="313"/>
      <c r="BJ48" s="313"/>
      <c r="BK48" s="313"/>
      <c r="BL48" s="313"/>
      <c r="BM48" s="313"/>
      <c r="BN48" s="313"/>
      <c r="BO48" s="313"/>
      <c r="BP48" s="313"/>
      <c r="BQ48" s="314"/>
    </row>
  </sheetData>
  <mergeCells count="1">
    <mergeCell ref="C1:S1"/>
  </mergeCells>
  <conditionalFormatting sqref="P12">
    <cfRule type="expression" dxfId="136" priority="11">
      <formula>WEEKDAY(K$3,2)&gt;5</formula>
    </cfRule>
    <cfRule type="expression" dxfId="136" priority="12">
      <formula>WEEKDAY(J$3,2)&gt;5</formula>
    </cfRule>
  </conditionalFormatting>
  <conditionalFormatting sqref="T18">
    <cfRule type="expression" dxfId="136" priority="3">
      <formula>WEEKDAY(V$3,2)&gt;5</formula>
    </cfRule>
  </conditionalFormatting>
  <conditionalFormatting sqref="J19">
    <cfRule type="expression" dxfId="136" priority="1">
      <formula>WEEKDAY(L$3,2)&gt;5</formula>
    </cfRule>
  </conditionalFormatting>
  <conditionalFormatting sqref="H20">
    <cfRule type="expression" dxfId="136" priority="8">
      <formula>WEEKDAY(H$3,2)&gt;5</formula>
    </cfRule>
  </conditionalFormatting>
  <conditionalFormatting sqref="X25">
    <cfRule type="expression" dxfId="136" priority="4">
      <formula>WEEKDAY(AA$3,2)&gt;5</formula>
    </cfRule>
    <cfRule type="expression" dxfId="136" priority="5">
      <formula>WEEKDAY(Z$3,2)&gt;5</formula>
    </cfRule>
  </conditionalFormatting>
  <conditionalFormatting sqref="AF25">
    <cfRule type="expression" dxfId="136" priority="6">
      <formula>WEEKDAY(AG$3,2)&gt;5</formula>
    </cfRule>
    <cfRule type="expression" dxfId="136" priority="7">
      <formula>WEEKDAY(AF$3,2)&gt;5</formula>
    </cfRule>
  </conditionalFormatting>
  <conditionalFormatting sqref="T28">
    <cfRule type="notContainsBlanks" dxfId="837" priority="79">
      <formula>LEN(TRIM(T28))&gt;0</formula>
    </cfRule>
  </conditionalFormatting>
  <conditionalFormatting sqref="K29:K30">
    <cfRule type="expression" dxfId="136" priority="10">
      <formula>WEEKDAY(M$3,2)&gt;5</formula>
    </cfRule>
  </conditionalFormatting>
  <conditionalFormatting sqref="A1:BQ48">
    <cfRule type="cellIs" dxfId="155" priority="80" operator="equal">
      <formula>"RESERVE"</formula>
    </cfRule>
  </conditionalFormatting>
  <conditionalFormatting sqref="T2:X41 C3:S41 Y3:AH41">
    <cfRule type="expression" dxfId="136" priority="72">
      <formula>WEEKDAY(T$3,2)&gt;5</formula>
    </cfRule>
  </conditionalFormatting>
  <conditionalFormatting sqref="J4:J48 AA4:AA48 C5:I48 K5:Z48 AB5:AH48">
    <cfRule type="cellIs" dxfId="137" priority="57" operator="equal">
      <formula>"B"</formula>
    </cfRule>
    <cfRule type="cellIs" dxfId="137" priority="58" operator="equal">
      <formula>"AL"</formula>
    </cfRule>
    <cfRule type="cellIs" dxfId="138" priority="59" operator="equal">
      <formula>"DM"</formula>
    </cfRule>
    <cfRule type="cellIs" dxfId="139" priority="60" operator="equal">
      <formula>"CS1"</formula>
    </cfRule>
    <cfRule type="cellIs" dxfId="140" priority="61" operator="equal">
      <formula>"CS2"</formula>
    </cfRule>
    <cfRule type="cellIs" dxfId="141" priority="62" operator="equal">
      <formula>"SB1"</formula>
    </cfRule>
    <cfRule type="cellIs" dxfId="142" priority="63" operator="equal">
      <formula>"SB2"</formula>
    </cfRule>
    <cfRule type="cellIs" dxfId="143" priority="64" operator="equal">
      <formula>"AE"</formula>
    </cfRule>
  </conditionalFormatting>
  <conditionalFormatting sqref="J4:J41 AA4:AA41 C5:I41 K5:Z41 AB5:AH41">
    <cfRule type="cellIs" dxfId="137" priority="66" operator="equal">
      <formula>"DB"</formula>
    </cfRule>
    <cfRule type="containsText" dxfId="144" priority="67" operator="between" text="$AM">
      <formula>NOT(ISERROR(SEARCH("$AM",C4)))</formula>
    </cfRule>
    <cfRule type="containsText" dxfId="145" priority="68" operator="between" text="$PM">
      <formula>NOT(ISERROR(SEARCH("$PM",C4)))</formula>
    </cfRule>
    <cfRule type="containsText" dxfId="146" priority="69" operator="between" text="$L">
      <formula>NOT(ISERROR(SEARCH("$L",C4)))</formula>
    </cfRule>
    <cfRule type="containsText" dxfId="147" priority="70" operator="between" text="$BTP">
      <formula>NOT(ISERROR(SEARCH("$BTP",C4)))</formula>
    </cfRule>
    <cfRule type="containsText" dxfId="148" priority="71" operator="between" text="$M">
      <formula>NOT(ISERROR(SEARCH("$M",C4)))</formula>
    </cfRule>
    <cfRule type="containsText" dxfId="149" priority="73" operator="between" text="$N">
      <formula>NOT(ISERROR(SEARCH("$N",C4)))</formula>
    </cfRule>
    <cfRule type="containsText" dxfId="150" priority="74" operator="between" text="$FC">
      <formula>NOT(ISERROR(SEARCH("$FC",C4)))</formula>
    </cfRule>
    <cfRule type="containsText" dxfId="151" priority="75" operator="between" text="OAL">
      <formula>NOT(ISERROR(SEARCH("OAL",C4)))</formula>
    </cfRule>
    <cfRule type="containsText" dxfId="152" priority="76" operator="between" text="S+">
      <formula>NOT(ISERROR(SEARCH("S+",C4)))</formula>
    </cfRule>
    <cfRule type="containsText" dxfId="153" priority="77" operator="between" text="EX-D">
      <formula>NOT(ISERROR(SEARCH("EX-D",C4)))</formula>
    </cfRule>
  </conditionalFormatting>
  <conditionalFormatting sqref="J4:J25 C5:C25 D5:D21 E5:E20 F5:F25 G5:H9 I5:I27 K5:K25 L5:M26 N5:N25 O5:O8 P5:Q26 R5:R25 S5:S7 T5:T29 U5:U7 V5:V16 W5:X26 Y5 Z5:AA40 AB5:AB9 AC5:AC30 AD5:AD27 AE5:AE30 AF5:AF9 AG5:AG26 AH5:AH16 Y7:Y29 S9:S29 U9:U29 O10:O15 G11:H25 AB11:AB40 AF11:AF27 O17:O29 V18:V25 AH18:AH25 E22:E25 D23 D25:D27 F27:F29 H27:H29 N27:N32 R27 V27:V29 AH27 E28 G28:G31 M28:M30 P28 Q28:Q29 W28:W29 AG28 I29 J29:K30 AF29:AF31 L30 R30 AD30:AD31 AG30:AH30 C31:F31 H31:I31 O31:Q31 S31:S39 U31:V38 W31:W33 X31 Y31:Y33 J32 R32 T32:T38 AC32:AC40 AE32:AE34 H33 P33:Q33 AF33 F34 X34 AD34:AD35 Q35:Q37 W35:W36 Y35:Y40 R36 X36:X37 C37 G37 O37 AD37:AE37 W38:W39 R39 AE39 AH39 U41">
    <cfRule type="containsText" dxfId="154" priority="78" operator="between" text="VACC">
      <formula>NOT(ISERROR(SEARCH("VACC",C4)))</formula>
    </cfRule>
  </conditionalFormatting>
  <conditionalFormatting sqref="C5:C25 D5:D16 E5:E8 F5:F13 G5:H9 I5:I6 J5:L5 M5:M8 N5:O7 P5:P6 Q5 R5:R10 S5 U5:U7 V5:V6 W5:X5 AA5 AG5:AG8 AH5:AH6 T6:T7 W7 AB7 AC7:AC9 AD7:AD10 AE7:AF9 K8 L8:L9 P8:Q8 Z8 I9 T9:U9 W9:X10 AH9 E10 K10:K13 O10:O11 S10:S14 V10 Y10:Y11 H11:H12 J11:J12 P11 Q11:Q12 AA11 AE11:AE13 AG11:AG13 E12 G12 I12 L12:L13 M12 N12:N13 T12:W12 X13 AA13 AC13 G14 H14:H15 AF14 I15:I16 J15 L15 O15 AG15 E16:E18 G16 P16:P17 Q16:Q18 R16 J17 AF17 F18:F19 H18:I18 K18 U18 X18:Y19 AD18 D19 J19 N19 AE19:AE20 AF19:AG19 E20 G20:H21 I20:I22 T20 D21 F21:F22 J21:J22 K21:M21 O21 P21:P22 Q21:Q24 R21:S21 U21:U22 X21 Z21 AG21 E22 N22 AD22 G23:G25 H23 L23 R23:R25 W23:W24 Y23:Y24 AC23:AC24 E24:F25 I24 J24:J25 K24 M24:M26 P24 U24:V24 Z24:AB24 AG24:AG25 AH24 H25 L25 S25 AD25:AF25 D26 O26 X26:Y26 AA26 I27 R27 T27:U27 V27:V28 G28:G29 M28:M29 Y28:Y29 Z28 AG28 O29 Q29 S29 U29 AA29 AF29 L30 C31:G31 N31:N32 W31:X31 Z31:Z32 AD31 R32 Y32 AA32:AC32 AE32:AE33 W33 Q35 R36 X36 C37 Z37 AD37 AH39">
    <cfRule type="cellIs" dxfId="137" priority="13" operator="equal">
      <formula>"B"</formula>
    </cfRule>
    <cfRule type="cellIs" dxfId="137" priority="14" operator="equal">
      <formula>"AL"</formula>
    </cfRule>
    <cfRule type="cellIs" dxfId="138" priority="15" operator="equal">
      <formula>"DM"</formula>
    </cfRule>
    <cfRule type="cellIs" dxfId="139" priority="16" operator="equal">
      <formula>"CS1"</formula>
    </cfRule>
    <cfRule type="cellIs" dxfId="140" priority="17" operator="equal">
      <formula>"CS2"</formula>
    </cfRule>
    <cfRule type="cellIs" dxfId="141" priority="18" operator="equal">
      <formula>"SB1"</formula>
    </cfRule>
    <cfRule type="cellIs" dxfId="142" priority="19" operator="equal">
      <formula>"SB2"</formula>
    </cfRule>
    <cfRule type="cellIs" dxfId="143" priority="20" operator="equal">
      <formula>"AE"</formula>
    </cfRule>
    <cfRule type="cellIs" dxfId="137" priority="21" operator="equal">
      <formula>"DB"</formula>
    </cfRule>
    <cfRule type="containsText" dxfId="144" priority="22" operator="between" text="$AM">
      <formula>NOT(ISERROR(SEARCH("$AM",C5)))</formula>
    </cfRule>
    <cfRule type="containsText" dxfId="145" priority="23" operator="between" text="$PM">
      <formula>NOT(ISERROR(SEARCH("$PM",C5)))</formula>
    </cfRule>
    <cfRule type="containsText" dxfId="146" priority="24" operator="between" text="$L">
      <formula>NOT(ISERROR(SEARCH("$L",C5)))</formula>
    </cfRule>
    <cfRule type="containsText" dxfId="147" priority="25" operator="between" text="$BTP">
      <formula>NOT(ISERROR(SEARCH("$BTP",C5)))</formula>
    </cfRule>
    <cfRule type="containsText" dxfId="148" priority="26" operator="between" text="$M">
      <formula>NOT(ISERROR(SEARCH("$M",C5)))</formula>
    </cfRule>
    <cfRule type="containsText" dxfId="149" priority="27" operator="between" text="$N">
      <formula>NOT(ISERROR(SEARCH("$N",C5)))</formula>
    </cfRule>
    <cfRule type="containsText" dxfId="150" priority="28" operator="between" text="$FC">
      <formula>NOT(ISERROR(SEARCH("$FC",C5)))</formula>
    </cfRule>
    <cfRule type="containsText" dxfId="151" priority="29" operator="between" text="OAL">
      <formula>NOT(ISERROR(SEARCH("OAL",C5)))</formula>
    </cfRule>
    <cfRule type="containsText" dxfId="152" priority="30" operator="between" text="S+">
      <formula>NOT(ISERROR(SEARCH("S+",C5)))</formula>
    </cfRule>
    <cfRule type="containsText" dxfId="153" priority="31" operator="between" text="EX-D">
      <formula>NOT(ISERROR(SEARCH("EX-D",C5)))</formula>
    </cfRule>
  </conditionalFormatting>
  <conditionalFormatting sqref="C5:D16 E5:E8 F5:F13 G5:H9 I5:I6 J5:L5 M5:M8 N5:O7 P5:P6 Q5 R5:R10 S5 U5:U7 V5:V6 W5:X5 AA5 AG5:AG8 AH5:AH6 T6:T7 W7 AB7 AC7:AC9 AD7:AD10 AE7:AF9 K8 L8:L9 P8:Q8 Z8 I9 T9:U9 W9:X10 AH9 E10 K10:K13 O10:O11 S10:S14 V10 Y10:Y11 J11:J12 P11 Q11:Q12 AA11 AE11:AE13 AG11:AG13 E12 G12:I12 L12:L13 M12 N12:N13 T12:W12 X13 AA13 AC13 G14 H14:H15 AF14 I15:I16 J15 L15 AG15 E16:E18 G16 P16:P17 Q16:R16 J17 AF17 C18:C25 F18:F19 H18:I18 K18 Q18 X18:Y19 AD18 D19 N19 AE19:AE20 AF19:AG19 E20 G20:H21 I20:I22 T20 D21 F21:F22 J21:J22 K21:M21 O21 P21:P22 Q21:Q24 R21:S21 U21 X21 Z21 AG21 E22 N22 AD22 G23:G25 H23 L23 R23:R25 W23:W24 Y23:Y24 AC23:AC24 D24 E24:F25 I24 J24:J25 K24 P24 U24:V24 Z24:AB24 AG24:AG25 AH24 H25 L25:M25 S25 AD25:AF25 D26 K26 X26:Y26 AA26:AB26 I27 P27 R27 T27:U27 V27:W28 G28:G31 M28:M30 Y28:Y30 Z28 AG28 K29:K30 O29:O30 Q29:Q31 S29:S30 U29:U30 AA29:AA30 AF29:AF30 C30:E31 F30:F32 H30:J30 L30 N30:N32 P30 R30 T30 V30 W30:X31 Z30:Z32 AB30:AC30 AD30:AD31 AE30 AG30:AH30 R32 Y32 AA32:AC32 AE32:AE33 W33 J34 I35 Q35 J36 R36 X36 C37 Z37 AD37 AH39">
    <cfRule type="expression" dxfId="136" priority="32">
      <formula>WEEKDAY(#REF!,2)&gt;5</formula>
    </cfRule>
  </conditionalFormatting>
  <conditionalFormatting sqref="C5:C25 D5:D21 E5:E20 F5:F25 G5:H9 I5:I27 J5:K25 L5:M26 N5:N25 O5:O8 P5:Q26 R5:R25 S5:U7 V5:V16 W5:W17 X5:X26 Y5 Z5:AA40 AB5:AB9 AC5:AC30 AD5:AD27 AE5:AE30 AF5:AF9 AG5:AG26 AH5:AH16 Y7:Y29 S9:T29 U9:U16 O10:O15 G11:H25 AB11:AB40 AF11:AF27 O17:O29 U18:U29 V18:V25 AH18:AH25 W19:W26 E22:E25 D23 D25:D27 F27:F29 H27:H29 N27:N32 R27 V27:V29 AH27 E28 G28:G31 M28:M30 P28 Q28:Q29 AG28 I29 J29:K30 W29 AF29:AF31 L30 R30 AD30:AD31 AG30:AH30 C31:F31 H31:I31 O31:Q31 S31:S39 U31:V38 W31:W33 X31 Y31:Y33 J32 R32 T32:T38 AC32:AC40 AE32:AE34 H33 P33:Q33 AF33 F34 X34 AD34:AD35 Q35:Q37 W35:W36 Y35:Y40 R36 X36:X37 C37 G37 O37 AD37:AE37 W38:W39 R39 AE39 AH39 U41">
    <cfRule type="cellIs" dxfId="137" priority="36" operator="equal">
      <formula>"B"</formula>
    </cfRule>
    <cfRule type="cellIs" dxfId="137" priority="37" operator="equal">
      <formula>"AL"</formula>
    </cfRule>
    <cfRule type="cellIs" dxfId="138" priority="38" operator="equal">
      <formula>"DM"</formula>
    </cfRule>
    <cfRule type="cellIs" dxfId="139" priority="39" operator="equal">
      <formula>"CS1"</formula>
    </cfRule>
    <cfRule type="cellIs" dxfId="140" priority="40" operator="equal">
      <formula>"CS2"</formula>
    </cfRule>
    <cfRule type="cellIs" dxfId="141" priority="41" operator="equal">
      <formula>"SB1"</formula>
    </cfRule>
    <cfRule type="cellIs" dxfId="142" priority="42" operator="equal">
      <formula>"SB2"</formula>
    </cfRule>
    <cfRule type="cellIs" dxfId="143" priority="43" operator="equal">
      <formula>"AE"</formula>
    </cfRule>
    <cfRule type="cellIs" dxfId="137" priority="45" operator="equal">
      <formula>"DB"</formula>
    </cfRule>
    <cfRule type="containsText" dxfId="144" priority="46" operator="between" text="$AM">
      <formula>NOT(ISERROR(SEARCH("$AM",C5)))</formula>
    </cfRule>
    <cfRule type="containsText" dxfId="145" priority="47" operator="between" text="$PM">
      <formula>NOT(ISERROR(SEARCH("$PM",C5)))</formula>
    </cfRule>
    <cfRule type="containsText" dxfId="146" priority="48" operator="between" text="$L">
      <formula>NOT(ISERROR(SEARCH("$L",C5)))</formula>
    </cfRule>
    <cfRule type="containsText" dxfId="147" priority="49" operator="between" text="$BTP">
      <formula>NOT(ISERROR(SEARCH("$BTP",C5)))</formula>
    </cfRule>
    <cfRule type="containsText" dxfId="148" priority="50" operator="between" text="$M">
      <formula>NOT(ISERROR(SEARCH("$M",C5)))</formula>
    </cfRule>
    <cfRule type="containsText" dxfId="149" priority="51" operator="between" text="$N">
      <formula>NOT(ISERROR(SEARCH("$N",C5)))</formula>
    </cfRule>
    <cfRule type="containsText" dxfId="150" priority="52" operator="between" text="$FC">
      <formula>NOT(ISERROR(SEARCH("$FC",C5)))</formula>
    </cfRule>
    <cfRule type="containsText" dxfId="151" priority="53" operator="between" text="OAL">
      <formula>NOT(ISERROR(SEARCH("OAL",C5)))</formula>
    </cfRule>
    <cfRule type="containsText" dxfId="152" priority="54" operator="between" text="S+">
      <formula>NOT(ISERROR(SEARCH("S+",C5)))</formula>
    </cfRule>
    <cfRule type="containsText" dxfId="153" priority="55" operator="between" text="EX-D">
      <formula>NOT(ISERROR(SEARCH("EX-D",C5)))</formula>
    </cfRule>
  </conditionalFormatting>
  <conditionalFormatting sqref="C5:C25 D5:D21 E5:E20 F5:F25 G5:H9 I5:I27 J5:J25 K5:M26 N5:N25 O5:O8 P5:P28 Q5:Q26 R5:R25 S5:U7 V5:V16 W5:W17 X5:X26 Y5 Z5:AA40 AB5:AB9 AC5:AC30 AD5:AD27 AE5:AE30 AF5:AF9 AG5:AG26 AH5:AH16 Y7:Y40 S9:S39 T9:T30 U9:U16 O10:O15 G11:H25 AB11:AB40 AF11:AF27 O17:O31 U18:U38 V18:V25 AH18:AH25 W19:W33 E22:E25 D23:D27 F27:F32 H27:H31 N27:N32 R27 V27:V38 AH27 E28 G28:G31 M28:M30 Q28:Q31 AG28 I29:I31 J29:K30 AF29:AF31 C30:E31 L30 P30:P31 R30 X30:X31 AD30:AD31 AG30:AH30 J32 R32 T32:T38 AC32:AC40 AE32:AE34 H33 P33:Q33 AF33 F34 J34 X34 AD34:AD35 I35 Q35:Q37 W35:W36 J36 R36 X36:X37 C37 G37 O37 AD37:AE37 W38:W39 R39 AE39 AH39 U41">
    <cfRule type="containsText" dxfId="154" priority="44" operator="between" text="VACC">
      <formula>NOT(ISERROR(SEARCH("VACC",C5)))</formula>
    </cfRule>
  </conditionalFormatting>
  <conditionalFormatting sqref="C5:C25 D5:D21 E5:E20 F5:F25 G5:H9 I5:I27 J5:K25 L5:M26 N5:N25 O5:O8 P5:Q26 R5:R25 S5:U7 V5:V16 W5:W17 X5:X26 Y5 Z5:AA40 AB5:AB9 AC5:AC30 AD5:AD27 AE5:AE30 AF5:AF9 AG5:AG26 AH5:AH16 Y7:Y29 S9:T29 U9:U16 O10:O15 G11:H25 AB11:AB40 AF11:AF12 AF14:AF27 O17:O29 U18:U29 V18:V25 AH18:AH25 W19:W26 E22:E25 D23 D25:D27 F27:F29 H27:H29 N27:N32 R27 V27:V29 AH27 E28 G28:G31 M28:M30 P28 Q28:Q29 AG28 I29 J29:K30 W29 AF29:AF31 L30 R30 AD30:AD31 AG30:AH30 C31:F31 H31:I31 O31:Q31 S31:S39 U31:V38 W31:W33 X31 Y31:Y33 J32 R32 T32:T38 AC32:AC40 AE32:AE34 H33 P33:Q33 AF33 F34 X34 AD34:AD35 Q35:Q37 W35:W36 Y35:Y40 R36 X36:X37 C37 G37 O37 AD37:AE37 W38:W39 R39 AE39 AH39 U41">
    <cfRule type="expression" dxfId="136" priority="56">
      <formula>WEEKDAY(#REF!,2)&gt;5</formula>
    </cfRule>
  </conditionalFormatting>
  <conditionalFormatting sqref="BP5:BQ41">
    <cfRule type="cellIs" dxfId="155" priority="65" operator="lessThan">
      <formula>1</formula>
    </cfRule>
  </conditionalFormatting>
  <conditionalFormatting sqref="AA6 U7 AB9 F11 C12 S12 T12:T13 U12:V12 AB17 C19:D19 T19:U19 T22 E25 AA28:AA29 S29 Y29 AF29 AD31 AE32:AE33 Q35 R36 X36 Z37 AD37 AH39">
    <cfRule type="expression" dxfId="136" priority="33">
      <formula>WEEKDAY(AC$3,2)&gt;5</formula>
    </cfRule>
  </conditionalFormatting>
  <conditionalFormatting sqref="AA6 U7 P8 AB9 P12 S12 T12:T13 U12:V12 AB12 AB17 T19:U19 T22 AA22 G24 E25 F28 AA28:AA29 S29 Y29 AF29 AD31 AE32:AE33 Q35 R36 X36 Z37 AD37 AH39 U41">
    <cfRule type="expression" dxfId="136" priority="34">
      <formula>WEEKDAY(AB$3,2)&gt;5</formula>
    </cfRule>
  </conditionalFormatting>
  <conditionalFormatting sqref="C9 E11:F11 C12 C19:D19 C23">
    <cfRule type="expression" dxfId="136" priority="35">
      <formula>WEEKDAY(E$3,2)&gt;5</formula>
    </cfRule>
  </conditionalFormatting>
  <conditionalFormatting sqref="D15 C21 C24">
    <cfRule type="expression" dxfId="136" priority="9">
      <formula>WEEKDAY(E$3,2)&gt;5</formula>
    </cfRule>
  </conditionalFormatting>
  <conditionalFormatting sqref="T18 G23:H23 D24 C25 G25:H25">
    <cfRule type="expression" dxfId="136" priority="2">
      <formula>WEEKDAY(U$3,2)&gt;5</formula>
    </cfRule>
  </conditionalFormatting>
  <dataValidations count="2">
    <dataValidation type="list" allowBlank="1" sqref="C5:S5 U5:X5 Z5:AE5 C6:K6 M6:R6 T6:V6 X6 Z6:AD6 C7:H7 J7:X7 AA7:AF7 AH7 C8:G8 I8:M8 O8:P8 R8 U8 X8 Z8 AB8:AH8 C9:I9 K9:N9 Q9:Y9 AB9:AF9 AH9 C10:F10 H10:K10 M10:O10 Q10:T10 V10:AA10 AC10:AE10 AG10 C11:H11 J11:M11 O11:T11 V11:W11 AA11:AE11 AG11:AH11 C12:W12 AA12:AH12 C13:D13 F13 H13:P13 R13:V13 X13 Z13:AE13 AG13:AH13 C16:J16 L16:N16 P16:W16 Y16:AA16 AD16:AH16 H17:J17 N17 P17:U17 W17:AG17 H18:I18 K18:N18 P18:Q18 S18:X18 Z18:AD18 AG18:AH18 C19:AH19 C20:E20 G20:AE20 AG20:AH20 C21:AA21 AC21:AG21 C22:J22 N22 P22 R22 T22 X22:AA22 AC22:AD22 AF22 AH22 J23:L23 N23:Z23 AB23:AC23 AE23:AH23 J24:O24 Q24 S24 U24:W24 Z24:AH24 C25 E25:J25 L25:N25 P25:X25 Z25 AB25 AD25:AH25 C26:M26 O26:Q26 S26:U26 W26 Y26 AA26:AD26 AF26 C27 E27 G27:J27 M27:P27 R27:AF27 C28:D28 F28:H28 L28:P28 R28:W28 Y28:AA28 AC28 AE28:AH28 C29:K29 M29 O29:Q29 S29:V29 X29:AB29 AD29:AH29 C30:AH30 C31:I31 K31:L31 N31 P31:S31 U31:X31 Z31 AB31 AD31:AF31 F32 J32 L32:P32 S32:U32 X32:AH32 H33 K33:L33 N33:O33 Q33 S33:Y33 AD33:AH33 F34 J34:X34 AA34:AH34 I35:K35 M35:Q35 S35:X35 Z35:AH35 F36 J36 L36:T36 V36:Y36 AA36 AD36 AF36:AH36 G37 I37 K37 M37:O37 Q37 S37 U37:V37 X37 Z37 AD37:AH37 C38:AH38 J39:O39 R39:T39 V39:X39 Z39 AB39 AF39:AH39 J40:L40 T40 V40 X40 AD40:AH40 C41:L41 S41:AH41 Y11:Y12 AH26:AH27 C14:AH15 C17:F18 C23:H24 C32:D37 AG5:AH6 C39:D40 N40:P41" showDropDown="1">
      <formula1>'Setting key Duty'!$B$7:$B$56</formula1>
    </dataValidation>
    <dataValidation type="list" allowBlank="1" sqref="C42:AH48" showDropDown="1">
      <formula1>'Setting key Duty'!$B$7:$B$23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BQ48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C5" sqref="C5"/>
    </sheetView>
  </sheetViews>
  <sheetFormatPr defaultColWidth="12.6285714285714" defaultRowHeight="15.75" customHeight="1"/>
  <cols>
    <col min="1" max="1" width="2.13333333333333" customWidth="1"/>
    <col min="2" max="2" width="29.752380952381" customWidth="1"/>
    <col min="3" max="11" width="9.24761904761905" customWidth="1"/>
    <col min="12" max="12" width="9.38095238095238" customWidth="1"/>
    <col min="13" max="13" width="10.6285714285714" customWidth="1"/>
    <col min="14" max="14" width="9.24761904761905" customWidth="1"/>
    <col min="15" max="15" width="10" customWidth="1"/>
    <col min="16" max="17" width="9.24761904761905" customWidth="1"/>
    <col min="18" max="18" width="9.62857142857143" customWidth="1"/>
    <col min="19" max="19" width="9.13333333333333" customWidth="1"/>
    <col min="20" max="26" width="9.24761904761905" customWidth="1"/>
    <col min="27" max="27" width="10.5047619047619" customWidth="1"/>
    <col min="28" max="30" width="9.24761904761905" customWidth="1"/>
    <col min="31" max="31" width="10.5047619047619" customWidth="1"/>
    <col min="32" max="32" width="9.38095238095238" customWidth="1"/>
    <col min="33" max="34" width="9.24761904761905" customWidth="1"/>
    <col min="35" max="41" width="9.38095238095238" hidden="1" customWidth="1" outlineLevel="1"/>
    <col min="42" max="42" width="6.75238095238095" customWidth="1" collapsed="1"/>
    <col min="43" max="43" width="8.87619047619048" customWidth="1" outlineLevel="1"/>
    <col min="44" max="44" width="7.87619047619048" customWidth="1" outlineLevel="1"/>
    <col min="45" max="45" width="9.13333333333333" customWidth="1" outlineLevel="1"/>
    <col min="46" max="46" width="8.24761904761905" customWidth="1" outlineLevel="1"/>
    <col min="47" max="47" width="5.5047619047619" customWidth="1" outlineLevel="1"/>
    <col min="48" max="50" width="9.38095238095238" customWidth="1"/>
    <col min="51" max="58" width="9.38095238095238" customWidth="1" outlineLevel="1"/>
    <col min="59" max="59" width="10" customWidth="1" outlineLevel="1"/>
    <col min="60" max="65" width="9.38095238095238" customWidth="1" outlineLevel="1"/>
    <col min="66" max="66" width="9.38095238095238" customWidth="1"/>
    <col min="67" max="67" width="9.5047619047619" customWidth="1"/>
    <col min="68" max="69" width="9.38095238095238" customWidth="1"/>
  </cols>
  <sheetData>
    <row r="1" ht="3" customHeight="1" spans="1:69">
      <c r="A1" s="284"/>
      <c r="B1" s="285" t="s">
        <v>0</v>
      </c>
      <c r="C1" s="286" t="str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>
  Enter DM for DM, CS1 for CS1, CS2 for CS2, and SB1 for SB1. Use the 'Setting key' tab to customise. Change Date on highlighted cell
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0"/>
      <c r="BE1" s="290"/>
      <c r="BF1" s="290"/>
      <c r="BG1" s="290"/>
      <c r="BH1" s="290"/>
      <c r="BI1" s="290"/>
      <c r="BJ1" s="290"/>
      <c r="BK1" s="290"/>
      <c r="BL1" s="290"/>
      <c r="BM1" s="290"/>
      <c r="BN1" s="290"/>
      <c r="BO1" s="290"/>
      <c r="BP1" s="290"/>
      <c r="BQ1" s="291"/>
    </row>
    <row r="2" ht="26.25" customHeight="1" spans="1:69">
      <c r="A2" s="292"/>
      <c r="B2" s="24" t="s">
        <v>1</v>
      </c>
      <c r="C2" s="167" t="s">
        <v>411</v>
      </c>
      <c r="D2" s="167"/>
      <c r="E2" s="167" t="s">
        <v>412</v>
      </c>
      <c r="F2" s="167"/>
      <c r="G2" s="167"/>
      <c r="H2" s="167"/>
      <c r="I2" s="167" t="s">
        <v>413</v>
      </c>
      <c r="J2" s="167"/>
      <c r="K2" s="167" t="s">
        <v>2</v>
      </c>
      <c r="L2" s="167"/>
      <c r="M2" s="167"/>
      <c r="N2" s="167" t="s">
        <v>414</v>
      </c>
      <c r="O2" s="167" t="s">
        <v>6</v>
      </c>
      <c r="P2" s="167"/>
      <c r="Q2" s="167" t="s">
        <v>267</v>
      </c>
      <c r="R2" s="167" t="s">
        <v>10</v>
      </c>
      <c r="S2" s="167"/>
      <c r="T2" s="168"/>
      <c r="U2" s="167" t="s">
        <v>9</v>
      </c>
      <c r="V2" s="167"/>
      <c r="W2" s="167" t="s">
        <v>415</v>
      </c>
      <c r="X2" s="167" t="s">
        <v>416</v>
      </c>
      <c r="Y2" s="167" t="s">
        <v>202</v>
      </c>
      <c r="Z2" s="167"/>
      <c r="AA2" s="294"/>
      <c r="AB2" s="167" t="s">
        <v>417</v>
      </c>
      <c r="AC2" s="167" t="s">
        <v>5</v>
      </c>
      <c r="AD2" s="167" t="s">
        <v>418</v>
      </c>
      <c r="AE2" s="167" t="s">
        <v>419</v>
      </c>
      <c r="AF2" s="167" t="s">
        <v>204</v>
      </c>
      <c r="AG2" s="167"/>
      <c r="AH2" s="258"/>
      <c r="AI2" s="218"/>
      <c r="AJ2" s="218"/>
      <c r="AK2" s="218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  <c r="AX2" s="295"/>
      <c r="AY2" s="295"/>
      <c r="AZ2" s="295"/>
      <c r="BA2" s="296" t="s">
        <v>16</v>
      </c>
      <c r="BB2" s="296"/>
      <c r="BC2" s="296" t="s">
        <v>17</v>
      </c>
      <c r="BD2" s="296"/>
      <c r="BE2" s="296" t="s">
        <v>18</v>
      </c>
      <c r="BF2" s="296"/>
      <c r="BG2" s="296"/>
      <c r="BH2" s="296" t="s">
        <v>19</v>
      </c>
      <c r="BI2" s="296"/>
      <c r="BJ2" s="296" t="s">
        <v>20</v>
      </c>
      <c r="BK2" s="296"/>
      <c r="BL2" s="296"/>
      <c r="BM2" s="296"/>
      <c r="BN2" s="295"/>
      <c r="BO2" s="295"/>
      <c r="BP2" s="295"/>
      <c r="BQ2" s="297"/>
    </row>
    <row r="3" ht="26.25" customHeight="1" spans="1:69">
      <c r="A3" s="292"/>
      <c r="B3" s="24" t="s">
        <v>21</v>
      </c>
      <c r="C3" s="298">
        <v>45778</v>
      </c>
      <c r="D3" s="299">
        <f t="shared" ref="D3:AH3" si="0">C3+1</f>
        <v>45779</v>
      </c>
      <c r="E3" s="299">
        <f t="shared" si="0"/>
        <v>45780</v>
      </c>
      <c r="F3" s="299">
        <f t="shared" si="0"/>
        <v>45781</v>
      </c>
      <c r="G3" s="299">
        <f t="shared" si="0"/>
        <v>45782</v>
      </c>
      <c r="H3" s="299">
        <f t="shared" si="0"/>
        <v>45783</v>
      </c>
      <c r="I3" s="299">
        <f t="shared" si="0"/>
        <v>45784</v>
      </c>
      <c r="J3" s="299">
        <f t="shared" si="0"/>
        <v>45785</v>
      </c>
      <c r="K3" s="299">
        <f t="shared" si="0"/>
        <v>45786</v>
      </c>
      <c r="L3" s="299">
        <f t="shared" si="0"/>
        <v>45787</v>
      </c>
      <c r="M3" s="299">
        <f t="shared" si="0"/>
        <v>45788</v>
      </c>
      <c r="N3" s="300">
        <f t="shared" si="0"/>
        <v>45789</v>
      </c>
      <c r="O3" s="299">
        <f t="shared" si="0"/>
        <v>45790</v>
      </c>
      <c r="P3" s="299">
        <f t="shared" si="0"/>
        <v>45791</v>
      </c>
      <c r="Q3" s="299">
        <f t="shared" si="0"/>
        <v>45792</v>
      </c>
      <c r="R3" s="299">
        <f t="shared" si="0"/>
        <v>45793</v>
      </c>
      <c r="S3" s="299">
        <f t="shared" si="0"/>
        <v>45794</v>
      </c>
      <c r="T3" s="300">
        <f t="shared" si="0"/>
        <v>45795</v>
      </c>
      <c r="U3" s="299">
        <f t="shared" si="0"/>
        <v>45796</v>
      </c>
      <c r="V3" s="299">
        <f t="shared" si="0"/>
        <v>45797</v>
      </c>
      <c r="W3" s="299">
        <f t="shared" si="0"/>
        <v>45798</v>
      </c>
      <c r="X3" s="299">
        <f t="shared" si="0"/>
        <v>45799</v>
      </c>
      <c r="Y3" s="299">
        <f t="shared" si="0"/>
        <v>45800</v>
      </c>
      <c r="Z3" s="299">
        <f t="shared" si="0"/>
        <v>45801</v>
      </c>
      <c r="AA3" s="299">
        <f t="shared" si="0"/>
        <v>45802</v>
      </c>
      <c r="AB3" s="299">
        <f t="shared" si="0"/>
        <v>45803</v>
      </c>
      <c r="AC3" s="299">
        <f t="shared" si="0"/>
        <v>45804</v>
      </c>
      <c r="AD3" s="299">
        <f t="shared" si="0"/>
        <v>45805</v>
      </c>
      <c r="AE3" s="299">
        <f t="shared" si="0"/>
        <v>45806</v>
      </c>
      <c r="AF3" s="299">
        <f t="shared" si="0"/>
        <v>45807</v>
      </c>
      <c r="AG3" s="300">
        <f t="shared" si="0"/>
        <v>45808</v>
      </c>
      <c r="AH3" s="299">
        <f t="shared" si="0"/>
        <v>45809</v>
      </c>
      <c r="AI3" s="221" t="str">
        <f>'Setting key Duty'!$C7</f>
        <v>DM</v>
      </c>
      <c r="AJ3" s="222" t="str">
        <f>'Setting key Duty'!$C8</f>
        <v>CS1</v>
      </c>
      <c r="AK3" s="223" t="str">
        <f>'Setting key Duty'!$C9</f>
        <v>CS2</v>
      </c>
      <c r="AL3" s="302" t="str">
        <f>'Setting key Duty'!$C11</f>
        <v>SB1</v>
      </c>
      <c r="AM3" s="302" t="str">
        <f>'Setting key Duty'!$C12</f>
        <v>SB2</v>
      </c>
      <c r="AN3" s="302" t="str">
        <f>'Setting key Duty'!$C13</f>
        <v>AE</v>
      </c>
      <c r="AO3" s="302" t="str">
        <f>'Setting key Duty'!C14</f>
        <v>EM</v>
      </c>
      <c r="AP3" s="223"/>
      <c r="AQ3" s="223" t="s">
        <v>22</v>
      </c>
      <c r="AR3" s="223" t="s">
        <v>23</v>
      </c>
      <c r="AS3" s="223" t="s">
        <v>24</v>
      </c>
      <c r="AT3" s="223" t="s">
        <v>25</v>
      </c>
      <c r="AU3" s="223" t="s">
        <v>26</v>
      </c>
      <c r="AV3" s="223" t="s">
        <v>27</v>
      </c>
      <c r="AW3" s="223" t="s">
        <v>28</v>
      </c>
      <c r="AX3" s="223" t="s">
        <v>29</v>
      </c>
      <c r="AY3" s="223" t="s">
        <v>30</v>
      </c>
      <c r="AZ3" s="223" t="s">
        <v>31</v>
      </c>
      <c r="BA3" s="302" t="s">
        <v>32</v>
      </c>
      <c r="BB3" s="302" t="s">
        <v>33</v>
      </c>
      <c r="BC3" s="302" t="s">
        <v>34</v>
      </c>
      <c r="BD3" s="302" t="s">
        <v>35</v>
      </c>
      <c r="BE3" s="302" t="s">
        <v>36</v>
      </c>
      <c r="BF3" s="302" t="s">
        <v>37</v>
      </c>
      <c r="BG3" s="302" t="s">
        <v>38</v>
      </c>
      <c r="BH3" s="302" t="s">
        <v>39</v>
      </c>
      <c r="BI3" s="302" t="s">
        <v>40</v>
      </c>
      <c r="BJ3" s="302" t="s">
        <v>41</v>
      </c>
      <c r="BK3" s="302" t="s">
        <v>42</v>
      </c>
      <c r="BL3" s="302" t="str">
        <f>'Setting key Duty'!C52</f>
        <v>Field Camp</v>
      </c>
      <c r="BM3" s="302" t="s">
        <v>43</v>
      </c>
      <c r="BN3" s="302" t="str">
        <f>'Setting key Duty'!$C15</f>
        <v>Block</v>
      </c>
      <c r="BO3" s="302" t="str">
        <f>'Setting key Duty'!C17</f>
        <v>Reserve</v>
      </c>
      <c r="BP3" s="302" t="str">
        <f>'Setting key Duty'!$C22</f>
        <v>AL</v>
      </c>
      <c r="BQ3" s="297"/>
    </row>
    <row r="4" ht="18" customHeight="1" spans="1:69">
      <c r="A4" s="303"/>
      <c r="B4" s="260" t="s">
        <v>156</v>
      </c>
      <c r="C4" s="304" t="str">
        <f t="shared" ref="C4:AH4" si="1">TEXT(C3,"ddd")</f>
        <v>Thu</v>
      </c>
      <c r="D4" s="305" t="str">
        <f t="shared" si="1"/>
        <v>Fri</v>
      </c>
      <c r="E4" s="305" t="str">
        <f t="shared" si="1"/>
        <v>Sat</v>
      </c>
      <c r="F4" s="305" t="str">
        <f t="shared" si="1"/>
        <v>Sun</v>
      </c>
      <c r="G4" s="305" t="str">
        <f t="shared" si="1"/>
        <v>Mon</v>
      </c>
      <c r="H4" s="305" t="str">
        <f t="shared" si="1"/>
        <v>Tue</v>
      </c>
      <c r="I4" s="305" t="str">
        <f t="shared" si="1"/>
        <v>Wed</v>
      </c>
      <c r="J4" s="305" t="str">
        <f t="shared" si="1"/>
        <v>Thu</v>
      </c>
      <c r="K4" s="305" t="str">
        <f t="shared" si="1"/>
        <v>Fri</v>
      </c>
      <c r="L4" s="305" t="str">
        <f t="shared" si="1"/>
        <v>Sat</v>
      </c>
      <c r="M4" s="305" t="str">
        <f t="shared" si="1"/>
        <v>Sun</v>
      </c>
      <c r="N4" s="304" t="str">
        <f t="shared" si="1"/>
        <v>Mon</v>
      </c>
      <c r="O4" s="305" t="str">
        <f t="shared" si="1"/>
        <v>Tue</v>
      </c>
      <c r="P4" s="305" t="str">
        <f t="shared" si="1"/>
        <v>Wed</v>
      </c>
      <c r="Q4" s="305" t="str">
        <f t="shared" si="1"/>
        <v>Thu</v>
      </c>
      <c r="R4" s="305" t="str">
        <f t="shared" si="1"/>
        <v>Fri</v>
      </c>
      <c r="S4" s="305" t="str">
        <f t="shared" si="1"/>
        <v>Sat</v>
      </c>
      <c r="T4" s="304" t="str">
        <f t="shared" si="1"/>
        <v>Sun</v>
      </c>
      <c r="U4" s="305" t="str">
        <f t="shared" si="1"/>
        <v>Mon</v>
      </c>
      <c r="V4" s="305" t="str">
        <f t="shared" si="1"/>
        <v>Tue</v>
      </c>
      <c r="W4" s="305" t="str">
        <f t="shared" si="1"/>
        <v>Wed</v>
      </c>
      <c r="X4" s="305" t="str">
        <f t="shared" si="1"/>
        <v>Thu</v>
      </c>
      <c r="Y4" s="305" t="str">
        <f t="shared" si="1"/>
        <v>Fri</v>
      </c>
      <c r="Z4" s="305" t="str">
        <f t="shared" si="1"/>
        <v>Sat</v>
      </c>
      <c r="AA4" s="305" t="str">
        <f t="shared" si="1"/>
        <v>Sun</v>
      </c>
      <c r="AB4" s="305" t="str">
        <f t="shared" si="1"/>
        <v>Mon</v>
      </c>
      <c r="AC4" s="305" t="str">
        <f t="shared" si="1"/>
        <v>Tue</v>
      </c>
      <c r="AD4" s="305" t="str">
        <f t="shared" si="1"/>
        <v>Wed</v>
      </c>
      <c r="AE4" s="305" t="str">
        <f t="shared" si="1"/>
        <v>Thu</v>
      </c>
      <c r="AF4" s="305" t="str">
        <f t="shared" si="1"/>
        <v>Fri</v>
      </c>
      <c r="AG4" s="304" t="str">
        <f t="shared" si="1"/>
        <v>Sat</v>
      </c>
      <c r="AH4" s="305" t="str">
        <f t="shared" si="1"/>
        <v>Sun</v>
      </c>
      <c r="AI4" s="227" t="str">
        <f>'Setting key Duty'!$B7</f>
        <v>DM</v>
      </c>
      <c r="AJ4" s="228" t="str">
        <f>'Setting key Duty'!$B8</f>
        <v>CS1</v>
      </c>
      <c r="AK4" s="229" t="str">
        <f>'Setting key Duty'!$B9</f>
        <v>CS2</v>
      </c>
      <c r="AL4" s="307" t="str">
        <f>'Setting key Duty'!$B11</f>
        <v>SB1</v>
      </c>
      <c r="AM4" s="307" t="str">
        <f>'Setting key Duty'!$B12</f>
        <v>SB2</v>
      </c>
      <c r="AN4" s="307" t="str">
        <f>'Setting key Duty'!$B13</f>
        <v>AE</v>
      </c>
      <c r="AO4" s="307" t="str">
        <f>'Setting key Duty'!B14</f>
        <v>EM</v>
      </c>
      <c r="AP4" s="307"/>
      <c r="AQ4" s="307"/>
      <c r="AR4" s="307"/>
      <c r="AS4" s="307"/>
      <c r="AT4" s="307"/>
      <c r="AU4" s="307"/>
      <c r="AV4" s="307"/>
      <c r="AW4" s="307"/>
      <c r="AX4" s="307"/>
      <c r="AY4" s="307"/>
      <c r="AZ4" s="307" t="s">
        <v>45</v>
      </c>
      <c r="BA4" s="307" t="s">
        <v>46</v>
      </c>
      <c r="BB4" s="307"/>
      <c r="BC4" s="307" t="s">
        <v>47</v>
      </c>
      <c r="BD4" s="307"/>
      <c r="BE4" s="307" t="s">
        <v>48</v>
      </c>
      <c r="BF4" s="307"/>
      <c r="BG4" s="307" t="s">
        <v>49</v>
      </c>
      <c r="BH4" s="307" t="s">
        <v>50</v>
      </c>
      <c r="BI4" s="307"/>
      <c r="BJ4" s="307" t="s">
        <v>51</v>
      </c>
      <c r="BK4" s="307"/>
      <c r="BL4" s="307" t="str">
        <f>'Setting key Duty'!B52</f>
        <v>$FC</v>
      </c>
      <c r="BM4" s="307"/>
      <c r="BN4" s="307">
        <f>'Setting key Duty'!$B15</f>
        <v>0</v>
      </c>
      <c r="BO4" s="307" t="str">
        <f>'Setting key Duty'!B17</f>
        <v>RESERVE</v>
      </c>
      <c r="BP4" s="307" t="str">
        <f>'Setting key Duty'!$B22</f>
        <v>AL</v>
      </c>
      <c r="BQ4" s="308"/>
    </row>
    <row r="5" ht="19.5" customHeight="1" spans="1:69">
      <c r="A5" s="309"/>
      <c r="B5" s="373" t="s">
        <v>420</v>
      </c>
      <c r="C5" s="197" t="s">
        <v>56</v>
      </c>
      <c r="D5" s="197"/>
      <c r="E5" s="197"/>
      <c r="F5" s="197" t="s">
        <v>350</v>
      </c>
      <c r="H5" s="197"/>
      <c r="I5" s="197"/>
      <c r="J5" s="317" t="s">
        <v>59</v>
      </c>
      <c r="K5" s="197"/>
      <c r="L5" s="197" t="s">
        <v>56</v>
      </c>
      <c r="M5" s="197"/>
      <c r="N5" s="196"/>
      <c r="O5" s="197" t="s">
        <v>59</v>
      </c>
      <c r="P5" s="197"/>
      <c r="Q5" s="197"/>
      <c r="R5" s="197"/>
      <c r="S5" s="197" t="s">
        <v>56</v>
      </c>
      <c r="U5" s="197"/>
      <c r="V5" s="197" t="s">
        <v>59</v>
      </c>
      <c r="W5" s="197"/>
      <c r="X5" s="197"/>
      <c r="Z5" s="197" t="s">
        <v>59</v>
      </c>
      <c r="AA5" s="197"/>
      <c r="AB5" s="197"/>
      <c r="AC5" s="197"/>
      <c r="AE5" s="197"/>
      <c r="AF5" s="197" t="s">
        <v>253</v>
      </c>
      <c r="AG5" s="197"/>
      <c r="AH5" s="197"/>
      <c r="AI5" s="311"/>
      <c r="AJ5" s="312"/>
      <c r="AK5" s="311"/>
      <c r="AL5" s="313"/>
      <c r="AM5" s="313"/>
      <c r="AN5" s="313"/>
      <c r="AO5" s="313"/>
      <c r="AP5" s="238"/>
      <c r="AQ5" s="313">
        <f t="shared" ref="AQ5:AQ40" si="2">SUMPRODUCT(--WEEKDAY(C$3:AG$3,2)&lt;6,--((C5:AG5="DM"))+(C5:AG5="CS1")+((C5:AG5="CS2"))+(C5:AG5="SB1")+(C5:AG5="AE")+(C5:AG5="EM"))</f>
        <v>0</v>
      </c>
      <c r="AR5" s="238"/>
      <c r="AS5" s="238">
        <f t="shared" ref="AS5:AS40" si="3">SUMPRODUCT(--WEEKDAY(C$3:AG$3,2)&gt;5,--((C5:AG5="DM"))+(C5:AG5="CS1")+((C5:AG5="CS2"))+(C5:AG5="SB1")+(C5:AG5="AE")+(C5:AG5="EM"))</f>
        <v>0</v>
      </c>
      <c r="AT5" s="238"/>
      <c r="AU5" s="238">
        <f t="shared" ref="AU5:AU40" si="4">(AQ5-AR5)/2+(AS5-AT5)</f>
        <v>0</v>
      </c>
      <c r="AV5" s="238">
        <f t="shared" ref="AV5:AV40" si="5">AI5+AJ5+AK5+AL5+AN5+AO5</f>
        <v>0</v>
      </c>
      <c r="AW5" s="238">
        <f>BG5+BH5+BJ5+BE5+BC5+BA5+BL5</f>
        <v>0</v>
      </c>
      <c r="AX5" s="238" t="e">
        <f>AU5+$AY$10</f>
        <v>#VALUE!</v>
      </c>
      <c r="AY5" s="313" t="e">
        <f>(BJ5*('Setting key Duty'!$I$8+'Setting key Duty'!$I$12))+(BH5*'Setting key Duty'!$I$9)+(BC5*('Setting key Duty'!$I$13+'Setting key Duty'!$I$9))+(BA5*('Setting key Duty'!$I$13+'Setting key Duty'!$I$12+'Setting key Duty'!$I$11))+(BE5*('Setting key Duty'!$I$8+'Setting key Duty'!$I$9+'Setting key Duty'!$I$12))</f>
        <v>#VALUE!</v>
      </c>
      <c r="AZ5" s="313">
        <f>COUNTIF(D5:AA5,"*BRT*")</f>
        <v>0</v>
      </c>
      <c r="BA5" s="313">
        <f>COUNTIF(A5:AI5,"*$BTP*")</f>
        <v>0</v>
      </c>
      <c r="BB5" s="313" t="e">
        <f>BA5*('Setting key Duty'!$I$13+'Setting key Duty'!$I$12+'Setting key Duty'!$I$11)</f>
        <v>#VALUE!</v>
      </c>
      <c r="BC5" s="313">
        <f>COUNTIF(A5:AI5,"*$L*")</f>
        <v>0</v>
      </c>
      <c r="BD5" s="313" t="e">
        <f>BC5*('Setting key Duty'!$I$13+'Setting key Duty'!$I$9)</f>
        <v>#VALUE!</v>
      </c>
      <c r="BE5" s="313">
        <f>COUNTIF(A5:AI5,"*$M*")</f>
        <v>0</v>
      </c>
      <c r="BF5" s="313">
        <f>BE5*('Setting key Duty'!$I$8+'Setting key Duty'!$I$9+'Setting key Duty'!$I$12)</f>
        <v>0</v>
      </c>
      <c r="BG5" s="313">
        <f>COUNTIF(AI5,"*$N*")</f>
        <v>0</v>
      </c>
      <c r="BH5" s="313">
        <f>COUNTIF(AI5,"*$PM*")</f>
        <v>0</v>
      </c>
      <c r="BI5" s="313">
        <f>BH5*('Setting key Duty'!$I$9)</f>
        <v>0</v>
      </c>
      <c r="BJ5" s="313">
        <f>COUNTIF(A5:AI5,"*$AM*")</f>
        <v>0</v>
      </c>
      <c r="BK5" s="313">
        <f>BJ5*('Setting key Duty'!$I$12+'Setting key Duty'!$I$8)</f>
        <v>0</v>
      </c>
      <c r="BL5" s="313">
        <f>COUNTIF(D5:AI5,"*$FC*")</f>
        <v>0</v>
      </c>
      <c r="BM5" s="313">
        <f>BL5*('Setting key Duty'!$J$11+'Setting key Duty'!$I$8)</f>
        <v>0</v>
      </c>
      <c r="BN5" s="313">
        <f>COUNTIF($D5:$AA5,BN$4)</f>
        <v>0</v>
      </c>
      <c r="BO5" s="313">
        <f>COUNTIF($D5:$AA5,BO$4)</f>
        <v>1</v>
      </c>
      <c r="BP5" s="313">
        <f>COUNTIF($D5:$AA5,BP$4)</f>
        <v>0</v>
      </c>
      <c r="BQ5" s="314"/>
    </row>
    <row r="6" ht="36" customHeight="1" spans="1:69">
      <c r="A6" s="309"/>
      <c r="B6" s="374" t="s">
        <v>60</v>
      </c>
      <c r="C6" s="197"/>
      <c r="D6" s="197" t="s">
        <v>57</v>
      </c>
      <c r="E6" s="197"/>
      <c r="F6" s="197"/>
      <c r="G6" s="197"/>
      <c r="H6" s="197" t="s">
        <v>59</v>
      </c>
      <c r="I6" s="197"/>
      <c r="J6" s="197"/>
      <c r="K6" s="317" t="s">
        <v>59</v>
      </c>
      <c r="L6" s="197"/>
      <c r="M6" s="197"/>
      <c r="N6" s="196"/>
      <c r="O6" s="197"/>
      <c r="P6" s="197" t="s">
        <v>54</v>
      </c>
      <c r="Q6" s="197" t="s">
        <v>54</v>
      </c>
      <c r="R6" s="197" t="s">
        <v>54</v>
      </c>
      <c r="S6" s="197" t="s">
        <v>54</v>
      </c>
      <c r="T6" s="197" t="s">
        <v>54</v>
      </c>
      <c r="U6" s="197" t="s">
        <v>71</v>
      </c>
      <c r="V6" s="197" t="s">
        <v>421</v>
      </c>
      <c r="X6" s="197" t="s">
        <v>89</v>
      </c>
      <c r="Z6" s="197" t="s">
        <v>158</v>
      </c>
      <c r="AA6" s="197"/>
      <c r="AB6" s="197" t="s">
        <v>57</v>
      </c>
      <c r="AC6" s="197"/>
      <c r="AE6" s="197" t="s">
        <v>57</v>
      </c>
      <c r="AF6" s="106"/>
      <c r="AG6" s="197"/>
      <c r="AH6" s="197" t="s">
        <v>57</v>
      </c>
      <c r="AI6" s="311">
        <f t="shared" ref="AI6:AO6" si="6">COUNTIF($D6:$AE6,AI$4)</f>
        <v>3</v>
      </c>
      <c r="AJ6" s="312">
        <f t="shared" si="6"/>
        <v>0</v>
      </c>
      <c r="AK6" s="311">
        <f t="shared" si="6"/>
        <v>2</v>
      </c>
      <c r="AL6" s="313">
        <f t="shared" si="6"/>
        <v>0</v>
      </c>
      <c r="AM6" s="313">
        <f t="shared" si="6"/>
        <v>0</v>
      </c>
      <c r="AN6" s="313">
        <f t="shared" si="6"/>
        <v>0</v>
      </c>
      <c r="AO6" s="313">
        <f t="shared" si="6"/>
        <v>0</v>
      </c>
      <c r="AP6" s="238"/>
      <c r="AQ6" s="313">
        <f t="shared" si="2"/>
        <v>0</v>
      </c>
      <c r="AR6" s="238"/>
      <c r="AS6" s="238">
        <f t="shared" si="3"/>
        <v>0</v>
      </c>
      <c r="AT6" s="238"/>
      <c r="AU6" s="238">
        <f t="shared" si="4"/>
        <v>0</v>
      </c>
      <c r="AV6" s="238">
        <f t="shared" si="5"/>
        <v>5</v>
      </c>
      <c r="AW6" s="238" t="e">
        <f>AU6+AY6</f>
        <v>#VALUE!</v>
      </c>
      <c r="AX6" s="238" t="e">
        <f>AU6+AY6</f>
        <v>#VALUE!</v>
      </c>
      <c r="AY6" s="313" t="e">
        <f>(BJ6*('Setting key Duty'!$I$8+'Setting key Duty'!$I$12))+(BH6*'Setting key Duty'!$I$9)+(BC6*('Setting key Duty'!$I$13+'Setting key Duty'!$I$9))+(BA6*('Setting key Duty'!$I$13+'Setting key Duty'!$I$12+'Setting key Duty'!$I$11))+(BE6*('Setting key Duty'!$I$8+'Setting key Duty'!$I$9+'Setting key Duty'!$I$12))</f>
        <v>#VALUE!</v>
      </c>
      <c r="AZ6" s="313">
        <f>COUNTIF(D6:AE6,"*BRT*")</f>
        <v>0</v>
      </c>
      <c r="BA6" s="313">
        <f>COUNTIF(A6:AI6,"*$BTP*")</f>
        <v>0</v>
      </c>
      <c r="BB6" s="313" t="e">
        <f>BA6*('Setting key Duty'!$I$13+'Setting key Duty'!$I$12+'Setting key Duty'!$I$11)</f>
        <v>#VALUE!</v>
      </c>
      <c r="BC6" s="313">
        <f>COUNTIF(A6:AI6,"*$L*")</f>
        <v>0</v>
      </c>
      <c r="BD6" s="313" t="e">
        <f>BC6*('Setting key Duty'!$I$13+'Setting key Duty'!$I$9)</f>
        <v>#VALUE!</v>
      </c>
      <c r="BE6" s="313">
        <f>COUNTIF(A6:AI6,"*$M*")</f>
        <v>1</v>
      </c>
      <c r="BF6" s="313">
        <f>BE6*('Setting key Duty'!$I$8+'Setting key Duty'!$I$9+'Setting key Duty'!$I$12)</f>
        <v>0.5625</v>
      </c>
      <c r="BG6" s="313">
        <f>COUNTIF(AE6:AI6,"*$N*")</f>
        <v>0</v>
      </c>
      <c r="BH6" s="313">
        <f>COUNTIF(AE6:AI6,"*$PM*")</f>
        <v>0</v>
      </c>
      <c r="BI6" s="313">
        <f>BH6*('Setting key Duty'!$I$9)</f>
        <v>0</v>
      </c>
      <c r="BJ6" s="313">
        <f>COUNTIF(A6:AI6,"*$AM*")</f>
        <v>0</v>
      </c>
      <c r="BK6" s="313">
        <f>BJ6*('Setting key Duty'!$I$12+'Setting key Duty'!$I$8)</f>
        <v>0</v>
      </c>
      <c r="BL6" s="313">
        <f>COUNTIF(D6:AI6,"*$FC*")</f>
        <v>0</v>
      </c>
      <c r="BM6" s="313">
        <f>BL6*('Setting key Duty'!$J$11+'Setting key Duty'!$I$8)</f>
        <v>0</v>
      </c>
      <c r="BN6" s="313">
        <f>COUNTIF($D6:$AE6,BN$4)</f>
        <v>0</v>
      </c>
      <c r="BO6" s="313">
        <f>COUNTIF($D6:$AE6,BO$4)</f>
        <v>0</v>
      </c>
      <c r="BP6" s="313">
        <f>COUNTIF($D6:$AE6,BP$4)</f>
        <v>0</v>
      </c>
      <c r="BQ6" s="314"/>
    </row>
    <row r="7" ht="19.5" customHeight="1" spans="1:69">
      <c r="A7" s="309"/>
      <c r="B7" s="322" t="s">
        <v>211</v>
      </c>
      <c r="D7" s="197"/>
      <c r="E7" s="197" t="s">
        <v>57</v>
      </c>
      <c r="F7" s="197"/>
      <c r="G7" s="317"/>
      <c r="H7" s="197" t="s">
        <v>350</v>
      </c>
      <c r="J7" s="197" t="s">
        <v>57</v>
      </c>
      <c r="K7" s="197"/>
      <c r="L7" s="197"/>
      <c r="M7" s="197"/>
      <c r="N7" s="196" t="s">
        <v>57</v>
      </c>
      <c r="O7" s="197"/>
      <c r="P7" s="197"/>
      <c r="Q7" s="197" t="s">
        <v>350</v>
      </c>
      <c r="R7" s="197"/>
      <c r="S7" s="197" t="s">
        <v>57</v>
      </c>
      <c r="T7" s="350"/>
      <c r="U7" s="197" t="s">
        <v>59</v>
      </c>
      <c r="V7" s="197"/>
      <c r="X7" s="197"/>
      <c r="Y7" s="197" t="s">
        <v>350</v>
      </c>
      <c r="AA7" s="197"/>
      <c r="AB7" s="197" t="s">
        <v>422</v>
      </c>
      <c r="AC7" s="197"/>
      <c r="AF7" s="197"/>
      <c r="AG7" s="197" t="s">
        <v>57</v>
      </c>
      <c r="AH7" s="197"/>
      <c r="AI7" s="311" t="e">
        <f>COUNTIF(#REF!,AI$4)</f>
        <v>#REF!</v>
      </c>
      <c r="AJ7" s="312" t="e">
        <f>COUNTIF(#REF!,AJ$4)</f>
        <v>#REF!</v>
      </c>
      <c r="AK7" s="311" t="e">
        <f>COUNTIF(#REF!,AK$4)</f>
        <v>#REF!</v>
      </c>
      <c r="AL7" s="313" t="e">
        <f>COUNTIF(#REF!,AL$4)</f>
        <v>#REF!</v>
      </c>
      <c r="AM7" s="313" t="e">
        <f>COUNTIF(#REF!,AM$4)</f>
        <v>#REF!</v>
      </c>
      <c r="AN7" s="313" t="e">
        <f>COUNTIF(#REF!,AN$4)</f>
        <v>#REF!</v>
      </c>
      <c r="AO7" s="313" t="e">
        <f>COUNTIF(#REF!,AO$4)</f>
        <v>#REF!</v>
      </c>
      <c r="AP7" s="238"/>
      <c r="AQ7" s="313">
        <f t="shared" si="2"/>
        <v>0</v>
      </c>
      <c r="AR7" s="238"/>
      <c r="AS7" s="238">
        <f t="shared" si="3"/>
        <v>0</v>
      </c>
      <c r="AT7" s="238"/>
      <c r="AU7" s="238">
        <f t="shared" si="4"/>
        <v>0</v>
      </c>
      <c r="AV7" s="238" t="e">
        <f t="shared" si="5"/>
        <v>#REF!</v>
      </c>
      <c r="AW7" s="238">
        <f t="shared" ref="AW7:AW40" si="7">BG7+BH7+BJ7+BE7+BC7+BA7+BL7</f>
        <v>1</v>
      </c>
      <c r="AX7" s="238" t="e">
        <f>AU7+AY7</f>
        <v>#VALUE!</v>
      </c>
      <c r="AY7" s="313" t="e">
        <f>(BJ7*('Setting key Duty'!$I$8+'Setting key Duty'!$I$12))+(BH7*'Setting key Duty'!$I$9)+(BC7*('Setting key Duty'!$I$13+'Setting key Duty'!$I$9))+(BA7*('Setting key Duty'!$I$13+'Setting key Duty'!$I$12+'Setting key Duty'!$I$11))+(BE7*('Setting key Duty'!$I$8+'Setting key Duty'!$I$9+'Setting key Duty'!$I$12))</f>
        <v>#VALUE!</v>
      </c>
      <c r="AZ7" s="313" t="e">
        <f>COUNTIF(#REF!,"*BRT*")</f>
        <v>#REF!</v>
      </c>
      <c r="BA7" s="313">
        <f>COUNTIF(A7:AI7,"*$BTP*")</f>
        <v>0</v>
      </c>
      <c r="BB7" s="313" t="e">
        <f>BA7*('Setting key Duty'!$I$13+'Setting key Duty'!$I$12+'Setting key Duty'!$I$11)</f>
        <v>#VALUE!</v>
      </c>
      <c r="BC7" s="313">
        <f>COUNTIF(A7:AI7,"*$L*")</f>
        <v>0</v>
      </c>
      <c r="BD7" s="313" t="e">
        <f>BC7*('Setting key Duty'!$I$13+'Setting key Duty'!$I$9)</f>
        <v>#VALUE!</v>
      </c>
      <c r="BE7" s="313">
        <f>COUNTIF(A7:AI7,"*$M*")</f>
        <v>1</v>
      </c>
      <c r="BF7" s="313">
        <f>BE7*('Setting key Duty'!$I$8+'Setting key Duty'!$I$9+'Setting key Duty'!$I$12)</f>
        <v>0.5625</v>
      </c>
      <c r="BG7" s="313">
        <f>COUNTIF(A7:AI7,"*$N*")</f>
        <v>0</v>
      </c>
      <c r="BH7" s="313">
        <f>COUNTIF(AF7:AI7,"*$PM*")</f>
        <v>0</v>
      </c>
      <c r="BI7" s="313">
        <f>BH7*('Setting key Duty'!$I$9)</f>
        <v>0</v>
      </c>
      <c r="BJ7" s="313">
        <f>COUNTIF(A7:AI7,"*$AM*")</f>
        <v>0</v>
      </c>
      <c r="BK7" s="313">
        <f>BJ7*('Setting key Duty'!$I$12+'Setting key Duty'!$I$8)</f>
        <v>0</v>
      </c>
      <c r="BL7" s="313">
        <f>COUNTIF(D7:AI7,"*$FC*")</f>
        <v>0</v>
      </c>
      <c r="BM7" s="313">
        <f>BL7*('Setting key Duty'!$J$11+'Setting key Duty'!$I$8)</f>
        <v>0</v>
      </c>
      <c r="BN7" s="313" t="e">
        <f>COUNTIF(#REF!,BN$4)</f>
        <v>#REF!</v>
      </c>
      <c r="BO7" s="313" t="e">
        <f>COUNTIF(#REF!,BO$4)</f>
        <v>#REF!</v>
      </c>
      <c r="BP7" s="313" t="e">
        <f>COUNTIF(#REF!,BP$4)</f>
        <v>#REF!</v>
      </c>
      <c r="BQ7" s="314"/>
    </row>
    <row r="8" ht="19.5" customHeight="1" spans="1:69">
      <c r="A8" s="309"/>
      <c r="B8" s="334" t="s">
        <v>63</v>
      </c>
      <c r="C8" s="197"/>
      <c r="D8" s="197"/>
      <c r="E8" s="197"/>
      <c r="F8" s="197" t="s">
        <v>59</v>
      </c>
      <c r="G8" s="197"/>
      <c r="H8" s="324" t="s">
        <v>57</v>
      </c>
      <c r="I8" s="197"/>
      <c r="J8" s="197"/>
      <c r="K8" s="321" t="s">
        <v>54</v>
      </c>
      <c r="L8" s="321" t="s">
        <v>54</v>
      </c>
      <c r="M8" s="321" t="s">
        <v>54</v>
      </c>
      <c r="N8" s="321" t="s">
        <v>54</v>
      </c>
      <c r="O8" s="321"/>
      <c r="P8" s="197"/>
      <c r="R8" s="321" t="s">
        <v>57</v>
      </c>
      <c r="S8" s="106"/>
      <c r="T8" s="197"/>
      <c r="U8" s="317"/>
      <c r="V8" s="324" t="s">
        <v>57</v>
      </c>
      <c r="X8" s="197"/>
      <c r="Y8" s="317" t="s">
        <v>57</v>
      </c>
      <c r="Z8" s="197"/>
      <c r="AB8" s="197"/>
      <c r="AE8" s="197" t="s">
        <v>59</v>
      </c>
      <c r="AG8" s="197"/>
      <c r="AH8" s="197"/>
      <c r="AI8" s="311"/>
      <c r="AJ8" s="312"/>
      <c r="AK8" s="311"/>
      <c r="AL8" s="313"/>
      <c r="AM8" s="313"/>
      <c r="AN8" s="313"/>
      <c r="AO8" s="313"/>
      <c r="AP8" s="238"/>
      <c r="AQ8" s="313">
        <f t="shared" si="2"/>
        <v>0</v>
      </c>
      <c r="AR8" s="238"/>
      <c r="AS8" s="238">
        <f t="shared" si="3"/>
        <v>0</v>
      </c>
      <c r="AT8" s="238"/>
      <c r="AU8" s="238">
        <f t="shared" si="4"/>
        <v>0</v>
      </c>
      <c r="AV8" s="238">
        <f t="shared" si="5"/>
        <v>0</v>
      </c>
      <c r="AW8" s="238">
        <f t="shared" si="7"/>
        <v>0</v>
      </c>
      <c r="AX8" s="238">
        <f>AU8+AY8</f>
        <v>0</v>
      </c>
      <c r="AY8" s="313"/>
      <c r="AZ8" s="313"/>
      <c r="BA8" s="313"/>
      <c r="BB8" s="313"/>
      <c r="BC8" s="313"/>
      <c r="BD8" s="313"/>
      <c r="BE8" s="313"/>
      <c r="BF8" s="313"/>
      <c r="BG8" s="313"/>
      <c r="BH8" s="313"/>
      <c r="BI8" s="313"/>
      <c r="BJ8" s="313"/>
      <c r="BK8" s="313"/>
      <c r="BL8" s="313"/>
      <c r="BM8" s="313"/>
      <c r="BN8" s="313"/>
      <c r="BO8" s="313"/>
      <c r="BP8" s="313"/>
      <c r="BQ8" s="314"/>
    </row>
    <row r="9" ht="19.5" customHeight="1" spans="1:69">
      <c r="A9" s="309"/>
      <c r="B9" s="327" t="s">
        <v>377</v>
      </c>
      <c r="D9" s="197" t="s">
        <v>350</v>
      </c>
      <c r="E9" s="197"/>
      <c r="F9" s="317"/>
      <c r="G9" s="197" t="s">
        <v>57</v>
      </c>
      <c r="H9" s="197"/>
      <c r="I9" s="197" t="s">
        <v>350</v>
      </c>
      <c r="K9" s="1" t="s">
        <v>423</v>
      </c>
      <c r="L9" s="197"/>
      <c r="M9" s="317"/>
      <c r="N9" s="196"/>
      <c r="O9" s="324" t="s">
        <v>57</v>
      </c>
      <c r="Q9" s="197"/>
      <c r="R9" s="197"/>
      <c r="S9" s="197" t="s">
        <v>59</v>
      </c>
      <c r="T9" s="197"/>
      <c r="U9" s="317" t="s">
        <v>57</v>
      </c>
      <c r="V9" s="197" t="s">
        <v>421</v>
      </c>
      <c r="W9" s="197"/>
      <c r="X9" s="317" t="s">
        <v>350</v>
      </c>
      <c r="Y9" s="197"/>
      <c r="Z9" s="197" t="s">
        <v>56</v>
      </c>
      <c r="AB9" s="197" t="s">
        <v>350</v>
      </c>
      <c r="AC9" s="197"/>
      <c r="AE9" s="197" t="s">
        <v>58</v>
      </c>
      <c r="AF9" s="197"/>
      <c r="AG9" s="197" t="s">
        <v>59</v>
      </c>
      <c r="AH9" s="197"/>
      <c r="AI9" s="311"/>
      <c r="AJ9" s="312"/>
      <c r="AK9" s="311"/>
      <c r="AL9" s="313"/>
      <c r="AM9" s="313"/>
      <c r="AN9" s="313"/>
      <c r="AO9" s="313"/>
      <c r="AP9" s="238"/>
      <c r="AQ9" s="313">
        <f t="shared" si="2"/>
        <v>0</v>
      </c>
      <c r="AR9" s="238"/>
      <c r="AS9" s="238">
        <f t="shared" si="3"/>
        <v>0</v>
      </c>
      <c r="AT9" s="238"/>
      <c r="AU9" s="238">
        <f t="shared" si="4"/>
        <v>0</v>
      </c>
      <c r="AV9" s="238">
        <f t="shared" si="5"/>
        <v>0</v>
      </c>
      <c r="AW9" s="238">
        <f t="shared" si="7"/>
        <v>0</v>
      </c>
      <c r="AX9" s="238" t="e">
        <f>AU9+AY9</f>
        <v>#VALUE!</v>
      </c>
      <c r="AY9" s="313" t="e">
        <f>(BJ9*('Setting key Duty'!$I$8+'Setting key Duty'!$I$12))+(BH9*'Setting key Duty'!$I$9)+(BC9*('Setting key Duty'!$I$13+'Setting key Duty'!$I$9))+(BA9*('Setting key Duty'!$I$13+'Setting key Duty'!$I$12+'Setting key Duty'!$I$11))+(BE9*('Setting key Duty'!$I$8+'Setting key Duty'!$I$9+'Setting key Duty'!$I$12))</f>
        <v>#VALUE!</v>
      </c>
      <c r="AZ9" s="313">
        <f>COUNTIF(D9:Z9,"*BRT*")</f>
        <v>0</v>
      </c>
      <c r="BA9" s="313">
        <f t="shared" ref="BA9:BA23" si="8">COUNTIF(A9:AI9,"*$BTP*")</f>
        <v>0</v>
      </c>
      <c r="BB9" s="313" t="e">
        <f>BA9*('Setting key Duty'!$I$13+'Setting key Duty'!$I$12+'Setting key Duty'!$I$11)</f>
        <v>#VALUE!</v>
      </c>
      <c r="BC9" s="313">
        <f>COUNTIF(A9:AI9,"*$L*")</f>
        <v>0</v>
      </c>
      <c r="BD9" s="313" t="e">
        <f>BC9*('Setting key Duty'!$I$13+'Setting key Duty'!$I$9)</f>
        <v>#VALUE!</v>
      </c>
      <c r="BE9" s="313">
        <f>COUNTIF(A9:AI9,"*$M*")</f>
        <v>0</v>
      </c>
      <c r="BF9" s="313">
        <f>BE9*('Setting key Duty'!$I$8+'Setting key Duty'!$I$9+'Setting key Duty'!$I$12)</f>
        <v>0</v>
      </c>
      <c r="BG9" s="313">
        <f>COUNTIF(AI9,"*$N*")</f>
        <v>0</v>
      </c>
      <c r="BH9" s="313">
        <f>COUNTIF(AI9,"*$PM*")</f>
        <v>0</v>
      </c>
      <c r="BI9" s="313">
        <f>BH9*('Setting key Duty'!$I$9)</f>
        <v>0</v>
      </c>
      <c r="BJ9" s="313">
        <f>COUNTIF(A9:AI9,"*$AM*")</f>
        <v>0</v>
      </c>
      <c r="BK9" s="313">
        <f>BJ9*('Setting key Duty'!$I$12+'Setting key Duty'!$I$8)</f>
        <v>0</v>
      </c>
      <c r="BL9" s="313">
        <f>COUNTIF(D9:AI9,"*$FC*")</f>
        <v>0</v>
      </c>
      <c r="BM9" s="313">
        <f>BL9*('Setting key Duty'!$J$11+'Setting key Duty'!$I$8)</f>
        <v>0</v>
      </c>
      <c r="BN9" s="313">
        <f>COUNTIF($D9:$Z9,BN$4)</f>
        <v>0</v>
      </c>
      <c r="BO9" s="313">
        <f>COUNTIF($D9:$Z9,BO$4)</f>
        <v>3</v>
      </c>
      <c r="BP9" s="313">
        <f>COUNTIF($D9:$Z9,BP$4)</f>
        <v>0</v>
      </c>
      <c r="BQ9" s="314"/>
    </row>
    <row r="10" ht="19.5" customHeight="1" spans="1:69">
      <c r="A10" s="309"/>
      <c r="B10" s="328" t="s">
        <v>99</v>
      </c>
      <c r="C10" s="197" t="s">
        <v>65</v>
      </c>
      <c r="E10" s="197" t="s">
        <v>59</v>
      </c>
      <c r="F10" s="317"/>
      <c r="H10" s="324"/>
      <c r="I10" s="197" t="s">
        <v>59</v>
      </c>
      <c r="J10" s="197"/>
      <c r="K10" s="321" t="s">
        <v>424</v>
      </c>
      <c r="L10" s="197"/>
      <c r="M10" s="317"/>
      <c r="N10" s="196"/>
      <c r="O10" s="197"/>
      <c r="P10" s="324" t="s">
        <v>59</v>
      </c>
      <c r="Q10" s="197"/>
      <c r="R10" s="317"/>
      <c r="S10" s="197"/>
      <c r="T10" s="196"/>
      <c r="U10" s="197" t="s">
        <v>350</v>
      </c>
      <c r="W10" s="324" t="s">
        <v>58</v>
      </c>
      <c r="X10" s="197"/>
      <c r="Z10" s="197"/>
      <c r="AA10" s="197"/>
      <c r="AB10" s="197" t="s">
        <v>56</v>
      </c>
      <c r="AC10" s="197"/>
      <c r="AD10" s="197" t="s">
        <v>59</v>
      </c>
      <c r="AF10" s="197"/>
      <c r="AG10" s="197"/>
      <c r="AH10" s="197" t="s">
        <v>56</v>
      </c>
      <c r="AI10" s="311"/>
      <c r="AJ10" s="312"/>
      <c r="AK10" s="311"/>
      <c r="AL10" s="313"/>
      <c r="AM10" s="313"/>
      <c r="AN10" s="313"/>
      <c r="AO10" s="313"/>
      <c r="AP10" s="238"/>
      <c r="AQ10" s="313">
        <f t="shared" si="2"/>
        <v>0</v>
      </c>
      <c r="AR10" s="238"/>
      <c r="AS10" s="238">
        <f t="shared" si="3"/>
        <v>0</v>
      </c>
      <c r="AT10" s="238"/>
      <c r="AU10" s="238">
        <f t="shared" si="4"/>
        <v>0</v>
      </c>
      <c r="AV10" s="238">
        <f t="shared" si="5"/>
        <v>0</v>
      </c>
      <c r="AW10" s="238">
        <f t="shared" si="7"/>
        <v>1</v>
      </c>
      <c r="AX10" s="238" t="e">
        <f>AU10+$AY$10</f>
        <v>#VALUE!</v>
      </c>
      <c r="AY10" s="313" t="e">
        <f>(BJ10*('Setting key Duty'!$I$8+'Setting key Duty'!$I$12))+(BH10*'Setting key Duty'!$I$9)+(BC10*('Setting key Duty'!$I$13+'Setting key Duty'!$I$9))+(BA10*('Setting key Duty'!$I$13+'Setting key Duty'!$I$12+'Setting key Duty'!$I$11))+(BE10*('Setting key Duty'!$I$8+'Setting key Duty'!$I$9+'Setting key Duty'!$I$12))</f>
        <v>#VALUE!</v>
      </c>
      <c r="AZ10" s="313">
        <f>COUNTIF(C10:AC10,"*BRT*")</f>
        <v>0</v>
      </c>
      <c r="BA10" s="313">
        <f t="shared" si="8"/>
        <v>0</v>
      </c>
      <c r="BB10" s="313" t="e">
        <f>BA10*('Setting key Duty'!$I$13+'Setting key Duty'!$I$12+'Setting key Duty'!$I$11)</f>
        <v>#VALUE!</v>
      </c>
      <c r="BC10" s="313">
        <f>COUNTIF(D10:AI10,"*$L*")</f>
        <v>0</v>
      </c>
      <c r="BD10" s="313" t="e">
        <f>BC10*('Setting key Duty'!$I$13+'Setting key Duty'!$I$9)</f>
        <v>#VALUE!</v>
      </c>
      <c r="BE10" s="313">
        <f>COUNTIF(D10:AI10,"*$M*")</f>
        <v>0</v>
      </c>
      <c r="BF10" s="313">
        <f>BE10*('Setting key Duty'!$I$8+'Setting key Duty'!$I$9+'Setting key Duty'!$I$12)</f>
        <v>0</v>
      </c>
      <c r="BG10" s="313">
        <f>COUNTIF(D10:AI10,"*$N*")</f>
        <v>0</v>
      </c>
      <c r="BH10" s="313">
        <f>COUNTIF(D10:AI10,"*$PM*")</f>
        <v>0</v>
      </c>
      <c r="BI10" s="313">
        <f>BH10*('Setting key Duty'!$I$9)</f>
        <v>0</v>
      </c>
      <c r="BJ10" s="313">
        <f>COUNTIF(D10:AI10,"*$AM*")</f>
        <v>1</v>
      </c>
      <c r="BK10" s="313">
        <f>BJ10*('Setting key Duty'!$I$12+'Setting key Duty'!$I$8)</f>
        <v>0.4375</v>
      </c>
      <c r="BL10" s="313">
        <f>COUNTIF(C10:AI10,"*$FC*")</f>
        <v>0</v>
      </c>
      <c r="BM10" s="313">
        <f>BL10*('Setting key Duty'!$J$11+'Setting key Duty'!$I$8)</f>
        <v>0</v>
      </c>
      <c r="BN10" s="313">
        <f>COUNTIF($C10:$AG10,BN$4)</f>
        <v>0</v>
      </c>
      <c r="BO10" s="313">
        <f>COUNTIF($C10:$AG10,BO$4)</f>
        <v>1</v>
      </c>
      <c r="BP10" s="313">
        <f>COUNTIF($D10:$AD10,BP$4)</f>
        <v>0</v>
      </c>
      <c r="BQ10" s="314"/>
    </row>
    <row r="11" ht="19.5" customHeight="1" spans="1:69">
      <c r="A11" s="309"/>
      <c r="B11" s="315" t="s">
        <v>70</v>
      </c>
      <c r="C11" s="197"/>
      <c r="D11" s="197" t="s">
        <v>164</v>
      </c>
      <c r="E11" s="197"/>
      <c r="G11" s="197" t="s">
        <v>69</v>
      </c>
      <c r="H11" s="197" t="s">
        <v>350</v>
      </c>
      <c r="J11" s="317"/>
      <c r="L11" s="197"/>
      <c r="M11" s="197"/>
      <c r="O11" s="197"/>
      <c r="P11" s="197"/>
      <c r="Q11" s="197" t="s">
        <v>253</v>
      </c>
      <c r="R11" s="197"/>
      <c r="S11" s="197"/>
      <c r="T11" s="196" t="s">
        <v>59</v>
      </c>
      <c r="V11" s="197"/>
      <c r="Y11" s="1" t="s">
        <v>69</v>
      </c>
      <c r="AA11" s="197"/>
      <c r="AB11" s="197"/>
      <c r="AC11" s="197"/>
      <c r="AF11" s="197"/>
      <c r="AG11" s="197"/>
      <c r="AH11" s="197"/>
      <c r="AI11" s="311"/>
      <c r="AJ11" s="312"/>
      <c r="AK11" s="311"/>
      <c r="AL11" s="313"/>
      <c r="AM11" s="313"/>
      <c r="AN11" s="313"/>
      <c r="AO11" s="313"/>
      <c r="AP11" s="238"/>
      <c r="AQ11" s="313">
        <f t="shared" si="2"/>
        <v>0</v>
      </c>
      <c r="AR11" s="238"/>
      <c r="AS11" s="238">
        <f t="shared" si="3"/>
        <v>0</v>
      </c>
      <c r="AT11" s="238"/>
      <c r="AU11" s="238">
        <f t="shared" si="4"/>
        <v>0</v>
      </c>
      <c r="AV11" s="238">
        <f t="shared" si="5"/>
        <v>0</v>
      </c>
      <c r="AW11" s="238">
        <f t="shared" si="7"/>
        <v>0</v>
      </c>
      <c r="AX11" s="238" t="e">
        <f t="shared" ref="AX11:AX16" si="9">AU11+AY11</f>
        <v>#VALUE!</v>
      </c>
      <c r="AY11" s="313" t="e">
        <f>(BJ11*('Setting key Duty'!$I$8+'Setting key Duty'!$I$12))+(BH11*'Setting key Duty'!$I$9)+(BC11*('Setting key Duty'!$I$13+'Setting key Duty'!$I$9))+(BA11*('Setting key Duty'!$I$13+'Setting key Duty'!$I$12+'Setting key Duty'!$I$11))+(BE11*('Setting key Duty'!$I$8+'Setting key Duty'!$I$9+'Setting key Duty'!$I$12))</f>
        <v>#VALUE!</v>
      </c>
      <c r="AZ11" s="313">
        <f>COUNTIF(D11:AC11,"*BRT*")</f>
        <v>0</v>
      </c>
      <c r="BA11" s="313">
        <f t="shared" si="8"/>
        <v>0</v>
      </c>
      <c r="BB11" s="313" t="e">
        <f>BA11*('Setting key Duty'!$I$13+'Setting key Duty'!$I$12+'Setting key Duty'!$I$11)</f>
        <v>#VALUE!</v>
      </c>
      <c r="BC11" s="313">
        <f>COUNTIF(A11:AI11,"*$L*")</f>
        <v>0</v>
      </c>
      <c r="BD11" s="313" t="e">
        <f>BC11*('Setting key Duty'!$I$13+'Setting key Duty'!$I$9)</f>
        <v>#VALUE!</v>
      </c>
      <c r="BE11" s="313">
        <f>COUNTIF(A11:AI11,"*$M*")</f>
        <v>0</v>
      </c>
      <c r="BF11" s="313">
        <f>BE11*('Setting key Duty'!$I$8+'Setting key Duty'!$I$9+'Setting key Duty'!$I$12)</f>
        <v>0</v>
      </c>
      <c r="BG11" s="313">
        <f>COUNTIF(AF11:AI11,"*$N*")</f>
        <v>0</v>
      </c>
      <c r="BH11" s="313">
        <f>COUNTIF(AF11:AI11,"*$PM*")</f>
        <v>0</v>
      </c>
      <c r="BI11" s="313">
        <f>BH11*('Setting key Duty'!$I$9)</f>
        <v>0</v>
      </c>
      <c r="BJ11" s="313">
        <f>COUNTIF(A11:AI11,"*$AM*")</f>
        <v>0</v>
      </c>
      <c r="BK11" s="313">
        <f>BJ11*('Setting key Duty'!$I$12+'Setting key Duty'!$I$8)</f>
        <v>0</v>
      </c>
      <c r="BL11" s="313">
        <f>COUNTIF(D11:AI11,"*$FC*")</f>
        <v>0</v>
      </c>
      <c r="BM11" s="313">
        <f>BL11*('Setting key Duty'!$J$11+'Setting key Duty'!$I$8)</f>
        <v>0</v>
      </c>
      <c r="BN11" s="313">
        <f>COUNTIF($D11:$AE11,BN$4)</f>
        <v>0</v>
      </c>
      <c r="BO11" s="313">
        <f>COUNTIF($D11:$AE11,BO$4)</f>
        <v>1</v>
      </c>
      <c r="BP11" s="313">
        <f>COUNTIF($D11:$AE11,BP$4)</f>
        <v>0</v>
      </c>
      <c r="BQ11" s="314"/>
    </row>
    <row r="12" ht="19.5" customHeight="1" spans="1:69">
      <c r="A12" s="309"/>
      <c r="B12" s="329" t="s">
        <v>72</v>
      </c>
      <c r="C12" s="197"/>
      <c r="D12" s="330" t="s">
        <v>350</v>
      </c>
      <c r="E12" s="197"/>
      <c r="F12" s="197"/>
      <c r="G12" s="197"/>
      <c r="H12" s="197" t="s">
        <v>56</v>
      </c>
      <c r="I12" s="197"/>
      <c r="J12" s="197" t="s">
        <v>350</v>
      </c>
      <c r="K12" s="317"/>
      <c r="L12" s="197"/>
      <c r="M12" s="197" t="s">
        <v>59</v>
      </c>
      <c r="N12" s="196"/>
      <c r="O12" s="197"/>
      <c r="P12" s="197" t="s">
        <v>350</v>
      </c>
      <c r="Q12" s="197"/>
      <c r="R12" s="197" t="s">
        <v>56</v>
      </c>
      <c r="S12" s="197"/>
      <c r="T12" s="197"/>
      <c r="U12" s="197"/>
      <c r="V12" s="197" t="s">
        <v>421</v>
      </c>
      <c r="W12" s="197" t="s">
        <v>59</v>
      </c>
      <c r="Y12" s="317" t="s">
        <v>59</v>
      </c>
      <c r="Z12" s="197"/>
      <c r="AA12" s="197"/>
      <c r="AB12" s="197"/>
      <c r="AC12" s="197" t="s">
        <v>89</v>
      </c>
      <c r="AD12" s="197"/>
      <c r="AF12" s="197"/>
      <c r="AG12" s="197"/>
      <c r="AH12" s="197"/>
      <c r="AI12" s="311"/>
      <c r="AJ12" s="312"/>
      <c r="AK12" s="311"/>
      <c r="AL12" s="313"/>
      <c r="AM12" s="313"/>
      <c r="AN12" s="313"/>
      <c r="AO12" s="313"/>
      <c r="AP12" s="238"/>
      <c r="AQ12" s="313">
        <f t="shared" si="2"/>
        <v>0</v>
      </c>
      <c r="AR12" s="238"/>
      <c r="AS12" s="238">
        <f t="shared" si="3"/>
        <v>0</v>
      </c>
      <c r="AT12" s="238"/>
      <c r="AU12" s="238">
        <f t="shared" si="4"/>
        <v>0</v>
      </c>
      <c r="AV12" s="238">
        <f t="shared" si="5"/>
        <v>0</v>
      </c>
      <c r="AW12" s="238">
        <f t="shared" si="7"/>
        <v>1</v>
      </c>
      <c r="AX12" s="238" t="e">
        <f t="shared" si="9"/>
        <v>#VALUE!</v>
      </c>
      <c r="AY12" s="313" t="e">
        <f>(BJ12*('Setting key Duty'!$I$8+'Setting key Duty'!$I$12))+(BH12*'Setting key Duty'!$I$9)+(BC12*('Setting key Duty'!$I$13+'Setting key Duty'!$I$9))+(BA12*('Setting key Duty'!$I$13+'Setting key Duty'!$I$12+'Setting key Duty'!$I$11))+(BE12*('Setting key Duty'!$I$8+'Setting key Duty'!$I$9+'Setting key Duty'!$I$12))</f>
        <v>#VALUE!</v>
      </c>
      <c r="AZ12" s="313">
        <f>COUNTIF(D12:Y12,"*BRT*")</f>
        <v>0</v>
      </c>
      <c r="BA12" s="313">
        <f t="shared" si="8"/>
        <v>0</v>
      </c>
      <c r="BB12" s="313" t="e">
        <f>BA12*('Setting key Duty'!$I$13+'Setting key Duty'!$I$12+'Setting key Duty'!$I$11)</f>
        <v>#VALUE!</v>
      </c>
      <c r="BC12" s="313">
        <f>COUNTIF(A12:AI12,"*$L*")</f>
        <v>0</v>
      </c>
      <c r="BD12" s="313" t="e">
        <f>BC12*('Setting key Duty'!$I$13+'Setting key Duty'!$I$9)</f>
        <v>#VALUE!</v>
      </c>
      <c r="BE12" s="313">
        <f>COUNTIF(A12:AI12,"*$M*")</f>
        <v>1</v>
      </c>
      <c r="BF12" s="313">
        <f>BE12*('Setting key Duty'!$I$8+'Setting key Duty'!$I$9+'Setting key Duty'!$I$12)</f>
        <v>0.5625</v>
      </c>
      <c r="BG12" s="313">
        <f>COUNTIF(AI12,"*$N*")</f>
        <v>0</v>
      </c>
      <c r="BH12" s="313">
        <f>COUNTIF(AI12,"*$PM*")</f>
        <v>0</v>
      </c>
      <c r="BI12" s="313">
        <f>BH12*('Setting key Duty'!$I$9)</f>
        <v>0</v>
      </c>
      <c r="BJ12" s="313">
        <f>COUNTIF(A12:AI12,"*$AM*")</f>
        <v>0</v>
      </c>
      <c r="BK12" s="313">
        <f>BJ12*('Setting key Duty'!$I$12+'Setting key Duty'!$I$8)</f>
        <v>0</v>
      </c>
      <c r="BL12" s="313">
        <f>COUNTIF(D12:AI12,"*$FC*")</f>
        <v>0</v>
      </c>
      <c r="BM12" s="313">
        <f>BL12*('Setting key Duty'!$J$11+'Setting key Duty'!$I$8)</f>
        <v>0</v>
      </c>
      <c r="BN12" s="313">
        <f>COUNTIF($D12:$Y12,BN$4)</f>
        <v>0</v>
      </c>
      <c r="BO12" s="313">
        <f>COUNTIF($D12:$Y12,BO$4)</f>
        <v>3</v>
      </c>
      <c r="BP12" s="313">
        <f>COUNTIF($D12:$Y12,BP$4)</f>
        <v>0</v>
      </c>
      <c r="BQ12" s="314"/>
    </row>
    <row r="13" ht="24" customHeight="1" spans="1:69">
      <c r="A13" s="309"/>
      <c r="B13" s="335" t="s">
        <v>353</v>
      </c>
      <c r="C13" s="197"/>
      <c r="D13" s="197"/>
      <c r="E13" s="197"/>
      <c r="F13" s="197" t="s">
        <v>57</v>
      </c>
      <c r="H13" s="197"/>
      <c r="I13" s="317"/>
      <c r="J13" s="317"/>
      <c r="K13" s="197" t="s">
        <v>57</v>
      </c>
      <c r="L13" s="197"/>
      <c r="M13" s="197"/>
      <c r="N13" s="196" t="s">
        <v>59</v>
      </c>
      <c r="O13" s="197"/>
      <c r="P13" s="197"/>
      <c r="Q13" s="324" t="s">
        <v>57</v>
      </c>
      <c r="R13" s="197"/>
      <c r="S13" s="197" t="s">
        <v>425</v>
      </c>
      <c r="T13" s="197" t="s">
        <v>425</v>
      </c>
      <c r="U13" s="197" t="s">
        <v>425</v>
      </c>
      <c r="V13" s="197"/>
      <c r="X13" s="317" t="s">
        <v>57</v>
      </c>
      <c r="Y13" s="197"/>
      <c r="Z13" s="197"/>
      <c r="AA13" s="197" t="s">
        <v>57</v>
      </c>
      <c r="AB13" s="197"/>
      <c r="AD13" s="197"/>
      <c r="AF13" s="106"/>
      <c r="AG13" s="197"/>
      <c r="AH13" s="197" t="s">
        <v>59</v>
      </c>
      <c r="AI13" s="311">
        <f t="shared" ref="AI13:AO13" si="10">COUNTIF($C13:$AB13,AI$4)</f>
        <v>5</v>
      </c>
      <c r="AJ13" s="312">
        <f t="shared" si="10"/>
        <v>0</v>
      </c>
      <c r="AK13" s="311">
        <f t="shared" si="10"/>
        <v>1</v>
      </c>
      <c r="AL13" s="313">
        <f t="shared" si="10"/>
        <v>0</v>
      </c>
      <c r="AM13" s="313">
        <f t="shared" si="10"/>
        <v>0</v>
      </c>
      <c r="AN13" s="313">
        <f t="shared" si="10"/>
        <v>0</v>
      </c>
      <c r="AO13" s="313">
        <f t="shared" si="10"/>
        <v>0</v>
      </c>
      <c r="AP13" s="238"/>
      <c r="AQ13" s="313">
        <f t="shared" si="2"/>
        <v>0</v>
      </c>
      <c r="AR13" s="238"/>
      <c r="AS13" s="238">
        <f t="shared" si="3"/>
        <v>0</v>
      </c>
      <c r="AT13" s="238"/>
      <c r="AU13" s="238">
        <f t="shared" si="4"/>
        <v>0</v>
      </c>
      <c r="AV13" s="238">
        <f t="shared" si="5"/>
        <v>6</v>
      </c>
      <c r="AW13" s="238">
        <f t="shared" si="7"/>
        <v>0</v>
      </c>
      <c r="AX13" s="238" t="e">
        <f t="shared" si="9"/>
        <v>#VALUE!</v>
      </c>
      <c r="AY13" s="313" t="e">
        <f>(BJ13*('Setting key Duty'!$I$8+'Setting key Duty'!$I$12))+(BH13*'Setting key Duty'!$I$9)+(BC13*('Setting key Duty'!$I$13+'Setting key Duty'!$I$9))+(BA13*('Setting key Duty'!$I$13+'Setting key Duty'!$I$12+'Setting key Duty'!$I$11))+(BE13*('Setting key Duty'!$I$8+'Setting key Duty'!$I$9+'Setting key Duty'!$I$12))</f>
        <v>#VALUE!</v>
      </c>
      <c r="AZ13" s="313">
        <f>COUNTIF(C13:AB13,"*BRT*")</f>
        <v>0</v>
      </c>
      <c r="BA13" s="313">
        <f t="shared" si="8"/>
        <v>0</v>
      </c>
      <c r="BB13" s="313" t="e">
        <f>BA13*('Setting key Duty'!$I$13+'Setting key Duty'!$I$12+'Setting key Duty'!$I$11)</f>
        <v>#VALUE!</v>
      </c>
      <c r="BC13" s="313">
        <f>COUNTIF(A13:AI13,"*$L*")</f>
        <v>0</v>
      </c>
      <c r="BD13" s="313" t="e">
        <f>BC13*('Setting key Duty'!$I$13+'Setting key Duty'!$I$9)</f>
        <v>#VALUE!</v>
      </c>
      <c r="BE13" s="313">
        <f>COUNTIF(A13:AI13,"*$M*")</f>
        <v>0</v>
      </c>
      <c r="BF13" s="313">
        <f>BE13*('Setting key Duty'!$I$8+'Setting key Duty'!$I$9+'Setting key Duty'!$I$12)</f>
        <v>0</v>
      </c>
      <c r="BG13" s="313">
        <f>COUNTIF(A13:AI13,"*$N*")</f>
        <v>0</v>
      </c>
      <c r="BH13" s="313">
        <f>COUNTIF(AI13,"*$PM*")</f>
        <v>0</v>
      </c>
      <c r="BI13" s="313">
        <f>BH13*('Setting key Duty'!$I$9)</f>
        <v>0</v>
      </c>
      <c r="BJ13" s="313">
        <f>COUNTIF(A13:AI13,"*$AM*")</f>
        <v>0</v>
      </c>
      <c r="BK13" s="313">
        <f>BJ13*('Setting key Duty'!$I$12+'Setting key Duty'!$I$8)</f>
        <v>0</v>
      </c>
      <c r="BL13" s="313">
        <f>COUNTIF(C13:AI13,"*$FC*")</f>
        <v>0</v>
      </c>
      <c r="BM13" s="313">
        <f>BL13*('Setting key Duty'!$J$11+'Setting key Duty'!$I$8)</f>
        <v>0</v>
      </c>
      <c r="BN13" s="313">
        <f>COUNTIF($C13:$AB13,BN$4)</f>
        <v>0</v>
      </c>
      <c r="BO13" s="313">
        <f>COUNTIF($C13:$AB13,BO$4)</f>
        <v>0</v>
      </c>
      <c r="BP13" s="313">
        <f>COUNTIF($C13:$AB13,BP$4)</f>
        <v>0</v>
      </c>
      <c r="BQ13" s="314"/>
    </row>
    <row r="14" ht="37.5" customHeight="1" spans="1:69">
      <c r="A14" s="309"/>
      <c r="B14" s="329" t="s">
        <v>224</v>
      </c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311">
        <f t="shared" ref="AI14:AO14" si="11">COUNTIF($D14:$AC14,AI$4)</f>
        <v>0</v>
      </c>
      <c r="AJ14" s="312">
        <f t="shared" si="11"/>
        <v>0</v>
      </c>
      <c r="AK14" s="311">
        <f t="shared" si="11"/>
        <v>0</v>
      </c>
      <c r="AL14" s="313">
        <f t="shared" si="11"/>
        <v>0</v>
      </c>
      <c r="AM14" s="313">
        <f t="shared" si="11"/>
        <v>0</v>
      </c>
      <c r="AN14" s="313">
        <f t="shared" si="11"/>
        <v>0</v>
      </c>
      <c r="AO14" s="313">
        <f t="shared" si="11"/>
        <v>0</v>
      </c>
      <c r="AP14" s="238"/>
      <c r="AQ14" s="313">
        <f t="shared" si="2"/>
        <v>0</v>
      </c>
      <c r="AR14" s="238"/>
      <c r="AS14" s="238">
        <f t="shared" si="3"/>
        <v>0</v>
      </c>
      <c r="AT14" s="238"/>
      <c r="AU14" s="238">
        <f t="shared" si="4"/>
        <v>0</v>
      </c>
      <c r="AV14" s="238">
        <f t="shared" si="5"/>
        <v>0</v>
      </c>
      <c r="AW14" s="238">
        <f t="shared" si="7"/>
        <v>0</v>
      </c>
      <c r="AX14" s="238" t="e">
        <f t="shared" si="9"/>
        <v>#VALUE!</v>
      </c>
      <c r="AY14" s="313" t="e">
        <f>(BJ14*('Setting key Duty'!$I$8+'Setting key Duty'!$I$12))+(BH14*'Setting key Duty'!$I$9)+(BC14*('Setting key Duty'!$I$13+'Setting key Duty'!$I$9))+(BA14*('Setting key Duty'!$I$13+'Setting key Duty'!$I$12+'Setting key Duty'!$I$11))+(BE14*('Setting key Duty'!$I$8+'Setting key Duty'!$I$9+'Setting key Duty'!$I$12))</f>
        <v>#VALUE!</v>
      </c>
      <c r="AZ14" s="313">
        <f>COUNTIF(C14:AC14,"*BRT*")</f>
        <v>0</v>
      </c>
      <c r="BA14" s="313">
        <f t="shared" si="8"/>
        <v>0</v>
      </c>
      <c r="BB14" s="313" t="e">
        <f>BA14*('Setting key Duty'!$I$13+'Setting key Duty'!$I$12+'Setting key Duty'!$I$11)</f>
        <v>#VALUE!</v>
      </c>
      <c r="BC14" s="313">
        <f>COUNTIF(A14:AI14,"*$L*")</f>
        <v>0</v>
      </c>
      <c r="BD14" s="313" t="e">
        <f>BC14*('Setting key Duty'!$I$13+'Setting key Duty'!$I$9)</f>
        <v>#VALUE!</v>
      </c>
      <c r="BE14" s="313">
        <f>COUNTIF(A14:AI14,"*$M*")</f>
        <v>0</v>
      </c>
      <c r="BF14" s="313">
        <f>BE14*('Setting key Duty'!$I$8+'Setting key Duty'!$I$9+'Setting key Duty'!$I$12)</f>
        <v>0</v>
      </c>
      <c r="BG14" s="313">
        <f>COUNTIF(AI14,"*$N*")</f>
        <v>0</v>
      </c>
      <c r="BH14" s="313">
        <f>COUNTIF(AI14,"*$PM*")</f>
        <v>0</v>
      </c>
      <c r="BI14" s="313">
        <f>BH14*('Setting key Duty'!$I$9)</f>
        <v>0</v>
      </c>
      <c r="BJ14" s="313">
        <f>COUNTIF(A14:AI14,"*$AM*")</f>
        <v>0</v>
      </c>
      <c r="BK14" s="313">
        <f>BJ14*('Setting key Duty'!$I$12+'Setting key Duty'!$I$8)</f>
        <v>0</v>
      </c>
      <c r="BL14" s="313">
        <f>COUNTIF(C14:AI14,"*$FC*")</f>
        <v>0</v>
      </c>
      <c r="BM14" s="313">
        <f>BL14*('Setting key Duty'!$J$11+'Setting key Duty'!$I$8)</f>
        <v>0</v>
      </c>
      <c r="BN14" s="313">
        <f>COUNTIF($C14:$AC14,BN$4)</f>
        <v>0</v>
      </c>
      <c r="BO14" s="313">
        <f>COUNTIF($C14:$AC14,BO$4)</f>
        <v>0</v>
      </c>
      <c r="BP14" s="313">
        <f>COUNTIF($C14:$AC14,BP$4)</f>
        <v>0</v>
      </c>
      <c r="BQ14" s="314"/>
    </row>
    <row r="15" ht="19.5" customHeight="1" spans="1:69">
      <c r="A15" s="309"/>
      <c r="B15" s="315" t="s">
        <v>226</v>
      </c>
      <c r="C15" s="197"/>
      <c r="D15" s="197"/>
      <c r="E15" s="197"/>
      <c r="F15" s="197"/>
      <c r="G15" s="197"/>
      <c r="H15" s="197"/>
      <c r="I15" s="197"/>
      <c r="J15" s="197"/>
      <c r="K15" s="197" t="s">
        <v>350</v>
      </c>
      <c r="L15" s="197"/>
      <c r="M15" s="317"/>
      <c r="N15" s="196"/>
      <c r="O15" s="197"/>
      <c r="P15" s="197"/>
      <c r="Q15" s="197"/>
      <c r="R15" s="197"/>
      <c r="S15" s="197"/>
      <c r="T15" s="197"/>
      <c r="U15" s="197"/>
      <c r="V15" s="197"/>
      <c r="W15" s="197" t="s">
        <v>350</v>
      </c>
      <c r="X15" s="197"/>
      <c r="Y15" s="197" t="s">
        <v>58</v>
      </c>
      <c r="Z15" s="197"/>
      <c r="AA15" s="197"/>
      <c r="AB15" s="197"/>
      <c r="AC15" s="197"/>
      <c r="AD15" s="197"/>
      <c r="AE15" s="197"/>
      <c r="AG15" s="197"/>
      <c r="AH15" s="197"/>
      <c r="AI15" s="311">
        <f t="shared" ref="AI15:AO15" si="12">COUNTIF($D15:$AA15,AI$4)</f>
        <v>0</v>
      </c>
      <c r="AJ15" s="312">
        <f t="shared" si="12"/>
        <v>0</v>
      </c>
      <c r="AK15" s="311">
        <f t="shared" si="12"/>
        <v>0</v>
      </c>
      <c r="AL15" s="313">
        <f t="shared" si="12"/>
        <v>1</v>
      </c>
      <c r="AM15" s="313">
        <f t="shared" si="12"/>
        <v>0</v>
      </c>
      <c r="AN15" s="313">
        <f t="shared" si="12"/>
        <v>0</v>
      </c>
      <c r="AO15" s="313">
        <f t="shared" si="12"/>
        <v>0</v>
      </c>
      <c r="AP15" s="238"/>
      <c r="AQ15" s="313">
        <f t="shared" si="2"/>
        <v>0</v>
      </c>
      <c r="AR15" s="238"/>
      <c r="AS15" s="238">
        <f t="shared" si="3"/>
        <v>0</v>
      </c>
      <c r="AT15" s="238"/>
      <c r="AU15" s="238">
        <f t="shared" si="4"/>
        <v>0</v>
      </c>
      <c r="AV15" s="238">
        <f t="shared" si="5"/>
        <v>1</v>
      </c>
      <c r="AW15" s="238">
        <f t="shared" si="7"/>
        <v>0</v>
      </c>
      <c r="AX15" s="238" t="e">
        <f t="shared" si="9"/>
        <v>#VALUE!</v>
      </c>
      <c r="AY15" s="313" t="e">
        <f>(BJ15*('Setting key Duty'!$I$8+'Setting key Duty'!$I$12))+(BH15*'Setting key Duty'!$I$9)+(BC15*('Setting key Duty'!$I$13+'Setting key Duty'!$I$9))+(BA15*('Setting key Duty'!$I$13+'Setting key Duty'!$I$12+'Setting key Duty'!$I$11))+(BE15*('Setting key Duty'!$I$8+'Setting key Duty'!$I$9+'Setting key Duty'!$I$12))</f>
        <v>#VALUE!</v>
      </c>
      <c r="AZ15" s="313">
        <f>COUNTIF(D15:AA15,"*BRT*")</f>
        <v>0</v>
      </c>
      <c r="BA15" s="313">
        <f t="shared" si="8"/>
        <v>0</v>
      </c>
      <c r="BB15" s="313" t="e">
        <f>BA15*('Setting key Duty'!$I$13+'Setting key Duty'!$I$12+'Setting key Duty'!$I$11)</f>
        <v>#VALUE!</v>
      </c>
      <c r="BC15" s="313">
        <f>COUNTIF(A15:AI15,"*$L*")</f>
        <v>0</v>
      </c>
      <c r="BD15" s="313" t="e">
        <f>BC15*('Setting key Duty'!$I$13+'Setting key Duty'!$I$9)</f>
        <v>#VALUE!</v>
      </c>
      <c r="BE15" s="313">
        <f>COUNTIF(A15:AI15,"*$M*")</f>
        <v>0</v>
      </c>
      <c r="BF15" s="313">
        <f>BE15*('Setting key Duty'!$I$8+'Setting key Duty'!$I$9+'Setting key Duty'!$I$12)</f>
        <v>0</v>
      </c>
      <c r="BG15" s="313">
        <f>COUNTIF(A15:AI15,"*$N*")</f>
        <v>0</v>
      </c>
      <c r="BH15" s="313">
        <f>COUNTIF(AI15,"*$PM*")</f>
        <v>0</v>
      </c>
      <c r="BI15" s="313">
        <f>BH15*('Setting key Duty'!$I$9)</f>
        <v>0</v>
      </c>
      <c r="BJ15" s="313">
        <f>COUNTIF(A15:AI15,"*$AM*")</f>
        <v>0</v>
      </c>
      <c r="BK15" s="313">
        <f>BJ15*('Setting key Duty'!$I$12+'Setting key Duty'!$I$8)</f>
        <v>0</v>
      </c>
      <c r="BL15" s="313">
        <f>COUNTIF(D15:AI15,"*$FC*")</f>
        <v>0</v>
      </c>
      <c r="BM15" s="313">
        <f>BL15*('Setting key Duty'!$J$11+'Setting key Duty'!$I$8)</f>
        <v>0</v>
      </c>
      <c r="BN15" s="313">
        <f>COUNTIF($D15:$AA15,BN$4)</f>
        <v>0</v>
      </c>
      <c r="BO15" s="313">
        <f>COUNTIF($D15:$AA15,BO$4)</f>
        <v>2</v>
      </c>
      <c r="BP15" s="313">
        <f>COUNTIF($D15:$AA15,BP$4)</f>
        <v>0</v>
      </c>
      <c r="BQ15" s="314"/>
    </row>
    <row r="16" ht="19.5" customHeight="1" spans="1:69">
      <c r="A16" s="309"/>
      <c r="B16" s="334" t="s">
        <v>286</v>
      </c>
      <c r="C16" s="197" t="s">
        <v>57</v>
      </c>
      <c r="D16" s="197"/>
      <c r="E16" s="197"/>
      <c r="F16" s="324" t="s">
        <v>56</v>
      </c>
      <c r="G16" s="324"/>
      <c r="H16" s="324"/>
      <c r="I16" s="197"/>
      <c r="J16" s="317"/>
      <c r="K16" s="197" t="s">
        <v>56</v>
      </c>
      <c r="L16" s="317"/>
      <c r="M16" s="317" t="s">
        <v>56</v>
      </c>
      <c r="N16" s="197"/>
      <c r="O16" s="197"/>
      <c r="P16" s="197" t="s">
        <v>57</v>
      </c>
      <c r="Q16" s="197"/>
      <c r="R16" s="197" t="s">
        <v>350</v>
      </c>
      <c r="S16" s="197"/>
      <c r="T16" s="196"/>
      <c r="V16" s="197" t="s">
        <v>421</v>
      </c>
      <c r="W16" s="197" t="s">
        <v>350</v>
      </c>
      <c r="Z16" s="197"/>
      <c r="AA16" s="197" t="s">
        <v>59</v>
      </c>
      <c r="AB16" s="106"/>
      <c r="AC16" s="197" t="s">
        <v>57</v>
      </c>
      <c r="AD16" s="197"/>
      <c r="AE16" s="197"/>
      <c r="AF16" s="197"/>
      <c r="AG16" s="197"/>
      <c r="AH16" s="197"/>
      <c r="AI16" s="311">
        <f t="shared" ref="AI16:AO16" si="13">COUNTIF($C16:$AF16,AI$4)</f>
        <v>3</v>
      </c>
      <c r="AJ16" s="312">
        <f t="shared" si="13"/>
        <v>3</v>
      </c>
      <c r="AK16" s="311">
        <f t="shared" si="13"/>
        <v>1</v>
      </c>
      <c r="AL16" s="313">
        <f t="shared" si="13"/>
        <v>0</v>
      </c>
      <c r="AM16" s="313">
        <f t="shared" si="13"/>
        <v>0</v>
      </c>
      <c r="AN16" s="313">
        <f t="shared" si="13"/>
        <v>0</v>
      </c>
      <c r="AO16" s="313">
        <f t="shared" si="13"/>
        <v>0</v>
      </c>
      <c r="AP16" s="238"/>
      <c r="AQ16" s="313">
        <f t="shared" si="2"/>
        <v>0</v>
      </c>
      <c r="AR16" s="238"/>
      <c r="AS16" s="238">
        <f t="shared" si="3"/>
        <v>0</v>
      </c>
      <c r="AT16" s="238"/>
      <c r="AU16" s="238">
        <f t="shared" si="4"/>
        <v>0</v>
      </c>
      <c r="AV16" s="238">
        <f t="shared" si="5"/>
        <v>7</v>
      </c>
      <c r="AW16" s="238">
        <f t="shared" si="7"/>
        <v>0</v>
      </c>
      <c r="AX16" s="238" t="e">
        <f t="shared" si="9"/>
        <v>#VALUE!</v>
      </c>
      <c r="AY16" s="313" t="e">
        <f>(BJ16*('Setting key Duty'!$I$8+'Setting key Duty'!$I$12))+(BH16*'Setting key Duty'!$I$9)+(BC16*('Setting key Duty'!$I$13+'Setting key Duty'!$I$9))+(BA16*('Setting key Duty'!$I$13+'Setting key Duty'!$I$12+'Setting key Duty'!$I$11))+(BE16*('Setting key Duty'!$I$8+'Setting key Duty'!$I$9+'Setting key Duty'!$I$12))</f>
        <v>#VALUE!</v>
      </c>
      <c r="AZ16" s="313">
        <f>COUNTIF(C16:AC16,"*BRT*")</f>
        <v>0</v>
      </c>
      <c r="BA16" s="313">
        <f t="shared" si="8"/>
        <v>0</v>
      </c>
      <c r="BB16" s="313" t="e">
        <f>BA16*('Setting key Duty'!$I$13+'Setting key Duty'!$I$12+'Setting key Duty'!$I$11)</f>
        <v>#VALUE!</v>
      </c>
      <c r="BC16" s="313">
        <f>COUNTIF(I16:AI16,"*$L*")</f>
        <v>0</v>
      </c>
      <c r="BD16" s="313" t="e">
        <f>BC16*('Setting key Duty'!$I$13+'Setting key Duty'!$I$9)</f>
        <v>#VALUE!</v>
      </c>
      <c r="BE16" s="313">
        <f>COUNTIF(I16:AI16,"*$M*")</f>
        <v>0</v>
      </c>
      <c r="BF16" s="313">
        <f>BE16*('Setting key Duty'!$I$8+'Setting key Duty'!$I$9+'Setting key Duty'!$I$12)</f>
        <v>0</v>
      </c>
      <c r="BG16" s="313">
        <f>COUNTIF(I16:AI16,"*$N*")</f>
        <v>0</v>
      </c>
      <c r="BH16" s="313">
        <f>COUNTIF(I16:AI16,"*$PM*")</f>
        <v>0</v>
      </c>
      <c r="BI16" s="313">
        <f>BH16*('Setting key Duty'!$I$9)</f>
        <v>0</v>
      </c>
      <c r="BJ16" s="313">
        <f>COUNTIF(I16:AI16,"*$AM*")</f>
        <v>0</v>
      </c>
      <c r="BK16" s="313">
        <f>BJ16*('Setting key Duty'!$I$12+'Setting key Duty'!$I$8)</f>
        <v>0</v>
      </c>
      <c r="BL16" s="313">
        <f>COUNTIF(C16:AI16,"*$FC*")</f>
        <v>0</v>
      </c>
      <c r="BM16" s="313">
        <f>BL16*('Setting key Duty'!$J$11+'Setting key Duty'!$I$8)</f>
        <v>0</v>
      </c>
      <c r="BN16" s="313">
        <f>COUNTIF($C16:$AF16,BN$4)</f>
        <v>0</v>
      </c>
      <c r="BO16" s="313">
        <f>COUNTIF($C16:$AF16,BO$4)</f>
        <v>2</v>
      </c>
      <c r="BP16" s="313">
        <f>COUNTIF($I16:$AE16,BP$4)</f>
        <v>0</v>
      </c>
      <c r="BQ16" s="314"/>
    </row>
    <row r="17" ht="19.5" customHeight="1" spans="1:69">
      <c r="A17" s="309"/>
      <c r="B17" s="329" t="s">
        <v>426</v>
      </c>
      <c r="C17" s="317"/>
      <c r="D17" s="197"/>
      <c r="E17" s="197"/>
      <c r="F17" s="197"/>
      <c r="G17" s="317" t="s">
        <v>59</v>
      </c>
      <c r="H17" s="197"/>
      <c r="I17" s="197" t="s">
        <v>56</v>
      </c>
      <c r="M17" s="106"/>
      <c r="N17" s="197"/>
      <c r="O17" s="197"/>
      <c r="P17" s="197" t="s">
        <v>123</v>
      </c>
      <c r="Q17" s="317" t="s">
        <v>59</v>
      </c>
      <c r="R17" s="197"/>
      <c r="S17" s="197"/>
      <c r="T17" s="196"/>
      <c r="U17" s="317" t="s">
        <v>56</v>
      </c>
      <c r="V17" s="106"/>
      <c r="X17" s="197" t="s">
        <v>59</v>
      </c>
      <c r="Y17" s="197"/>
      <c r="Z17" s="197"/>
      <c r="AA17" s="197"/>
      <c r="AB17" s="197" t="s">
        <v>59</v>
      </c>
      <c r="AD17" s="197" t="s">
        <v>56</v>
      </c>
      <c r="AF17" s="197"/>
      <c r="AG17" s="317"/>
      <c r="AI17" s="311"/>
      <c r="AJ17" s="312"/>
      <c r="AK17" s="311"/>
      <c r="AL17" s="313"/>
      <c r="AM17" s="313"/>
      <c r="AN17" s="313"/>
      <c r="AO17" s="313"/>
      <c r="AP17" s="238"/>
      <c r="AQ17" s="313">
        <f t="shared" si="2"/>
        <v>0</v>
      </c>
      <c r="AR17" s="238"/>
      <c r="AS17" s="238">
        <f t="shared" si="3"/>
        <v>0</v>
      </c>
      <c r="AT17" s="238"/>
      <c r="AU17" s="238">
        <f t="shared" si="4"/>
        <v>0</v>
      </c>
      <c r="AV17" s="238">
        <f t="shared" si="5"/>
        <v>0</v>
      </c>
      <c r="AW17" s="238">
        <f t="shared" si="7"/>
        <v>1</v>
      </c>
      <c r="AX17" s="238" t="e">
        <f>AU17+$AY$10</f>
        <v>#VALUE!</v>
      </c>
      <c r="AY17" s="313" t="e">
        <f>(BJ17*('Setting key Duty'!$I$8+'Setting key Duty'!$I$12))+(BH17*'Setting key Duty'!$I$9)+(BC17*('Setting key Duty'!$I$13+'Setting key Duty'!$I$9))+(BA17*('Setting key Duty'!$I$13+'Setting key Duty'!$I$12+'Setting key Duty'!$I$11))+(BE17*('Setting key Duty'!$I$8+'Setting key Duty'!$I$9+'Setting key Duty'!$I$12))</f>
        <v>#VALUE!</v>
      </c>
      <c r="AZ17" s="313">
        <f>COUNTIF(D17:AA17,"*BRT*")</f>
        <v>0</v>
      </c>
      <c r="BA17" s="313">
        <f t="shared" si="8"/>
        <v>0</v>
      </c>
      <c r="BB17" s="313" t="e">
        <f>BA17*('Setting key Duty'!$I$13+'Setting key Duty'!$I$12+'Setting key Duty'!$I$11)</f>
        <v>#VALUE!</v>
      </c>
      <c r="BC17" s="313">
        <f t="shared" ref="BC17:BC23" si="14">COUNTIF(A17:AI17,"*$L*")</f>
        <v>0</v>
      </c>
      <c r="BD17" s="313" t="e">
        <f>BC17*('Setting key Duty'!$I$13+'Setting key Duty'!$I$9)</f>
        <v>#VALUE!</v>
      </c>
      <c r="BE17" s="313">
        <f t="shared" ref="BE17:BE23" si="15">COUNTIF(A17:AI17,"*$M*")</f>
        <v>0</v>
      </c>
      <c r="BF17" s="313">
        <f>BE17*('Setting key Duty'!$I$8+'Setting key Duty'!$I$9+'Setting key Duty'!$I$12)</f>
        <v>0</v>
      </c>
      <c r="BG17" s="313">
        <f>COUNTIF(AI17,"*$N*")</f>
        <v>0</v>
      </c>
      <c r="BH17" s="313">
        <f>COUNTIF(AI17,"*$PM*")</f>
        <v>0</v>
      </c>
      <c r="BI17" s="313">
        <f>BH17*('Setting key Duty'!$I$9)</f>
        <v>0</v>
      </c>
      <c r="BJ17" s="313">
        <f t="shared" ref="BJ17:BJ23" si="16">COUNTIF(A17:AI17,"*$AM*")</f>
        <v>1</v>
      </c>
      <c r="BK17" s="313">
        <f>BJ17*('Setting key Duty'!$I$12+'Setting key Duty'!$I$8)</f>
        <v>0.4375</v>
      </c>
      <c r="BL17" s="313">
        <f>COUNTIF(D17:AI17,"*$FC*")</f>
        <v>0</v>
      </c>
      <c r="BM17" s="313">
        <f>BL17*('Setting key Duty'!$J$11+'Setting key Duty'!$I$8)</f>
        <v>0</v>
      </c>
      <c r="BN17" s="313">
        <f>COUNTIF($D17:$AA17,BN$4)</f>
        <v>0</v>
      </c>
      <c r="BO17" s="313">
        <f>COUNTIF($D17:$AA17,BO$4)</f>
        <v>0</v>
      </c>
      <c r="BP17" s="313">
        <f>COUNTIF($D17:$AA17,BP$4)</f>
        <v>0</v>
      </c>
      <c r="BQ17" s="314"/>
    </row>
    <row r="18" ht="19.5" customHeight="1" spans="1:69">
      <c r="A18" s="309"/>
      <c r="B18" s="373" t="s">
        <v>427</v>
      </c>
      <c r="C18" s="317" t="s">
        <v>59</v>
      </c>
      <c r="D18" s="197"/>
      <c r="E18" s="197"/>
      <c r="F18" s="197"/>
      <c r="H18" s="197"/>
      <c r="I18" s="197" t="s">
        <v>58</v>
      </c>
      <c r="K18" s="197"/>
      <c r="L18" s="197"/>
      <c r="M18" s="197" t="s">
        <v>350</v>
      </c>
      <c r="N18" s="196"/>
      <c r="P18" s="197" t="s">
        <v>56</v>
      </c>
      <c r="Q18" s="197"/>
      <c r="R18" s="197" t="s">
        <v>350</v>
      </c>
      <c r="S18" s="197"/>
      <c r="T18" s="196" t="s">
        <v>56</v>
      </c>
      <c r="U18" s="197"/>
      <c r="V18" s="197" t="s">
        <v>421</v>
      </c>
      <c r="W18" s="197"/>
      <c r="X18" s="197" t="s">
        <v>58</v>
      </c>
      <c r="Z18" s="197" t="s">
        <v>350</v>
      </c>
      <c r="AA18" s="197"/>
      <c r="AC18" s="197" t="s">
        <v>59</v>
      </c>
      <c r="AD18" s="197"/>
      <c r="AF18" s="317" t="s">
        <v>56</v>
      </c>
      <c r="AG18" s="317"/>
      <c r="AH18" s="197"/>
      <c r="AI18" s="311"/>
      <c r="AJ18" s="312"/>
      <c r="AK18" s="311"/>
      <c r="AL18" s="313"/>
      <c r="AM18" s="313"/>
      <c r="AN18" s="313"/>
      <c r="AO18" s="313"/>
      <c r="AP18" s="238"/>
      <c r="AQ18" s="313">
        <f t="shared" si="2"/>
        <v>0</v>
      </c>
      <c r="AR18" s="238"/>
      <c r="AS18" s="238">
        <f t="shared" si="3"/>
        <v>0</v>
      </c>
      <c r="AT18" s="238"/>
      <c r="AU18" s="238">
        <f t="shared" si="4"/>
        <v>0</v>
      </c>
      <c r="AV18" s="238">
        <f t="shared" si="5"/>
        <v>0</v>
      </c>
      <c r="AW18" s="238">
        <f t="shared" si="7"/>
        <v>0</v>
      </c>
      <c r="AX18" s="238" t="e">
        <f>AU18+$AY$10</f>
        <v>#VALUE!</v>
      </c>
      <c r="AY18" s="313" t="e">
        <f>(BJ18*('Setting key Duty'!$I$8+'Setting key Duty'!$I$12))+(BH18*'Setting key Duty'!$I$9)+(BC18*('Setting key Duty'!$I$13+'Setting key Duty'!$I$9))+(BA18*('Setting key Duty'!$I$13+'Setting key Duty'!$I$12+'Setting key Duty'!$I$11))+(BE18*('Setting key Duty'!$I$8+'Setting key Duty'!$I$9+'Setting key Duty'!$I$12))</f>
        <v>#VALUE!</v>
      </c>
      <c r="AZ18" s="313">
        <f>COUNTIF(D18:Y18,"*BRT*")</f>
        <v>0</v>
      </c>
      <c r="BA18" s="313">
        <f t="shared" si="8"/>
        <v>0</v>
      </c>
      <c r="BB18" s="313" t="e">
        <f>BA18*('Setting key Duty'!$I$13+'Setting key Duty'!$I$12+'Setting key Duty'!$I$11)</f>
        <v>#VALUE!</v>
      </c>
      <c r="BC18" s="313">
        <f t="shared" si="14"/>
        <v>0</v>
      </c>
      <c r="BD18" s="313" t="e">
        <f>BC18*('Setting key Duty'!$I$13+'Setting key Duty'!$I$9)</f>
        <v>#VALUE!</v>
      </c>
      <c r="BE18" s="313">
        <f t="shared" si="15"/>
        <v>0</v>
      </c>
      <c r="BF18" s="313">
        <f>BE18*('Setting key Duty'!$I$8+'Setting key Duty'!$I$9+'Setting key Duty'!$I$12)</f>
        <v>0</v>
      </c>
      <c r="BG18" s="313">
        <f>COUNTIF(AI18,"*$N*")</f>
        <v>0</v>
      </c>
      <c r="BH18" s="313">
        <f>COUNTIF(AI18,"*$PM*")</f>
        <v>0</v>
      </c>
      <c r="BI18" s="313">
        <f>BH18*('Setting key Duty'!$I$9)</f>
        <v>0</v>
      </c>
      <c r="BJ18" s="313">
        <f t="shared" si="16"/>
        <v>0</v>
      </c>
      <c r="BK18" s="313">
        <f>BJ18*('Setting key Duty'!$I$12+'Setting key Duty'!$I$8)</f>
        <v>0</v>
      </c>
      <c r="BL18" s="313">
        <f>COUNTIF(D18:AI18,"*$FC*")</f>
        <v>0</v>
      </c>
      <c r="BM18" s="313">
        <f>BL18*('Setting key Duty'!$J$11+'Setting key Duty'!$I$8)</f>
        <v>0</v>
      </c>
      <c r="BN18" s="313">
        <f>COUNTIF($D18:$Y18,BN$4)</f>
        <v>0</v>
      </c>
      <c r="BO18" s="313">
        <f>COUNTIF($D18:$Y18,BO$4)</f>
        <v>2</v>
      </c>
      <c r="BP18" s="313">
        <f>COUNTIF($D18:$Y18,BP$4)</f>
        <v>0</v>
      </c>
      <c r="BQ18" s="314"/>
    </row>
    <row r="19" ht="26.25" customHeight="1" spans="1:69">
      <c r="A19" s="309"/>
      <c r="B19" s="333" t="s">
        <v>300</v>
      </c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311"/>
      <c r="AJ19" s="312"/>
      <c r="AK19" s="311"/>
      <c r="AL19" s="313"/>
      <c r="AM19" s="313"/>
      <c r="AN19" s="313"/>
      <c r="AO19" s="313"/>
      <c r="AP19" s="238"/>
      <c r="AQ19" s="313">
        <f t="shared" si="2"/>
        <v>0</v>
      </c>
      <c r="AR19" s="238"/>
      <c r="AS19" s="238">
        <f t="shared" si="3"/>
        <v>0</v>
      </c>
      <c r="AT19" s="238"/>
      <c r="AU19" s="238">
        <f t="shared" si="4"/>
        <v>0</v>
      </c>
      <c r="AV19" s="238">
        <f t="shared" si="5"/>
        <v>0</v>
      </c>
      <c r="AW19" s="238">
        <f t="shared" si="7"/>
        <v>0</v>
      </c>
      <c r="AX19" s="238" t="e">
        <f>AU19+AY19</f>
        <v>#VALUE!</v>
      </c>
      <c r="AY19" s="313" t="e">
        <f>(BJ19*('Setting key Duty'!$I$8+'Setting key Duty'!$I$12))+(BH19*'Setting key Duty'!$I$9)+(BC19*('Setting key Duty'!$I$13+'Setting key Duty'!$I$9))+(BA19*('Setting key Duty'!$I$13+'Setting key Duty'!$I$12+'Setting key Duty'!$I$11))+(BE19*('Setting key Duty'!$I$8+'Setting key Duty'!$I$9+'Setting key Duty'!$I$12))</f>
        <v>#VALUE!</v>
      </c>
      <c r="AZ19" s="313">
        <f>COUNTIF(E19:AA19,"*BRT*")</f>
        <v>0</v>
      </c>
      <c r="BA19" s="313">
        <f t="shared" si="8"/>
        <v>0</v>
      </c>
      <c r="BB19" s="313" t="e">
        <f>BA19*('Setting key Duty'!$I$13+'Setting key Duty'!$I$12+'Setting key Duty'!$I$11)</f>
        <v>#VALUE!</v>
      </c>
      <c r="BC19" s="313">
        <f t="shared" si="14"/>
        <v>0</v>
      </c>
      <c r="BD19" s="313" t="e">
        <f>BC19*('Setting key Duty'!$I$13+'Setting key Duty'!$I$9)</f>
        <v>#VALUE!</v>
      </c>
      <c r="BE19" s="313">
        <f t="shared" si="15"/>
        <v>0</v>
      </c>
      <c r="BF19" s="313">
        <f>BE19*('Setting key Duty'!$I$8+'Setting key Duty'!$I$9+'Setting key Duty'!$I$12)</f>
        <v>0</v>
      </c>
      <c r="BG19" s="313">
        <f>COUNTIF(AG19:AI19,"*$N*")</f>
        <v>0</v>
      </c>
      <c r="BH19" s="313">
        <f>COUNTIF(AG19:AI19,"*$PM*")</f>
        <v>0</v>
      </c>
      <c r="BI19" s="313">
        <f>BH19*('Setting key Duty'!$I$9)</f>
        <v>0</v>
      </c>
      <c r="BJ19" s="313">
        <f t="shared" si="16"/>
        <v>0</v>
      </c>
      <c r="BK19" s="313">
        <f>BJ19*('Setting key Duty'!$I$12+'Setting key Duty'!$I$8)</f>
        <v>0</v>
      </c>
      <c r="BL19" s="313">
        <f>COUNTIF(E19:AI19,"*$FC*")</f>
        <v>0</v>
      </c>
      <c r="BM19" s="313">
        <f>BL19*('Setting key Duty'!$J$11+'Setting key Duty'!$I$8)</f>
        <v>0</v>
      </c>
      <c r="BN19" s="313">
        <f>COUNTIF($E19:$AA19,BN$4)</f>
        <v>0</v>
      </c>
      <c r="BO19" s="313">
        <f>COUNTIF($E19:$AA19,BO$4)</f>
        <v>0</v>
      </c>
      <c r="BP19" s="313">
        <f>COUNTIF($E19:$AA19,BP$4)</f>
        <v>0</v>
      </c>
      <c r="BQ19" s="314"/>
    </row>
    <row r="20" ht="19.5" customHeight="1" spans="1:69">
      <c r="A20" s="309"/>
      <c r="B20" s="329" t="s">
        <v>382</v>
      </c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311"/>
      <c r="AJ20" s="312"/>
      <c r="AK20" s="311"/>
      <c r="AL20" s="313"/>
      <c r="AM20" s="313"/>
      <c r="AN20" s="313"/>
      <c r="AO20" s="313"/>
      <c r="AP20" s="238"/>
      <c r="AQ20" s="313">
        <f t="shared" si="2"/>
        <v>0</v>
      </c>
      <c r="AR20" s="238"/>
      <c r="AS20" s="238">
        <f t="shared" si="3"/>
        <v>0</v>
      </c>
      <c r="AT20" s="238"/>
      <c r="AU20" s="238">
        <f t="shared" si="4"/>
        <v>0</v>
      </c>
      <c r="AV20" s="238">
        <f t="shared" si="5"/>
        <v>0</v>
      </c>
      <c r="AW20" s="238">
        <f t="shared" si="7"/>
        <v>0</v>
      </c>
      <c r="AX20" s="238" t="e">
        <f>AU20+AY20</f>
        <v>#VALUE!</v>
      </c>
      <c r="AY20" s="313" t="e">
        <f>(BJ20*('Setting key Duty'!$I$8+'Setting key Duty'!$I$12))+(BH20*'Setting key Duty'!$I$9)+(BC20*('Setting key Duty'!$I$13+'Setting key Duty'!$I$9))+(BA20*('Setting key Duty'!$I$13+'Setting key Duty'!$I$12+'Setting key Duty'!$I$11))+(BE20*('Setting key Duty'!$I$8+'Setting key Duty'!$I$9+'Setting key Duty'!$I$12))</f>
        <v>#VALUE!</v>
      </c>
      <c r="AZ20" s="313">
        <f>COUNTIF(D20:AC20,"*BRT*")</f>
        <v>0</v>
      </c>
      <c r="BA20" s="313">
        <f t="shared" si="8"/>
        <v>0</v>
      </c>
      <c r="BB20" s="313" t="e">
        <f>BA20*('Setting key Duty'!$I$13+'Setting key Duty'!$I$12+'Setting key Duty'!$I$11)</f>
        <v>#VALUE!</v>
      </c>
      <c r="BC20" s="313">
        <f t="shared" si="14"/>
        <v>0</v>
      </c>
      <c r="BD20" s="313" t="e">
        <f>BC20*('Setting key Duty'!$I$13+'Setting key Duty'!$I$9)</f>
        <v>#VALUE!</v>
      </c>
      <c r="BE20" s="313">
        <f t="shared" si="15"/>
        <v>0</v>
      </c>
      <c r="BF20" s="313">
        <f>BE20*('Setting key Duty'!$I$8+'Setting key Duty'!$I$9+'Setting key Duty'!$I$12)</f>
        <v>0</v>
      </c>
      <c r="BG20" s="313">
        <f>COUNTIF(AF20:AI20,"*$N*")</f>
        <v>0</v>
      </c>
      <c r="BH20" s="313">
        <f>COUNTIF(AF20:AI20,"*$PM*")</f>
        <v>0</v>
      </c>
      <c r="BI20" s="313">
        <f>BH20*('Setting key Duty'!$I$9)</f>
        <v>0</v>
      </c>
      <c r="BJ20" s="313">
        <f t="shared" si="16"/>
        <v>0</v>
      </c>
      <c r="BK20" s="313">
        <f>BJ20*('Setting key Duty'!$I$12+'Setting key Duty'!$I$8)</f>
        <v>0</v>
      </c>
      <c r="BL20" s="313">
        <f>COUNTIF(D20:AI20,"*$FC*")</f>
        <v>0</v>
      </c>
      <c r="BM20" s="313">
        <f>BL20*('Setting key Duty'!$J$11+'Setting key Duty'!$I$8)</f>
        <v>0</v>
      </c>
      <c r="BN20" s="313">
        <f>COUNTIF($D20:$AE20,BN$4)</f>
        <v>0</v>
      </c>
      <c r="BO20" s="313">
        <f>COUNTIF($D20:$AE20,BO$4)</f>
        <v>0</v>
      </c>
      <c r="BP20" s="313">
        <f>COUNTIF($D20:$AE20,BP$4)</f>
        <v>0</v>
      </c>
      <c r="BQ20" s="314"/>
    </row>
    <row r="21" ht="30.75" customHeight="1" spans="1:69">
      <c r="A21" s="309"/>
      <c r="B21" s="315" t="s">
        <v>302</v>
      </c>
      <c r="C21" s="197" t="s">
        <v>350</v>
      </c>
      <c r="D21" s="197"/>
      <c r="E21" s="197"/>
      <c r="H21" s="197" t="s">
        <v>73</v>
      </c>
      <c r="I21" s="197" t="s">
        <v>73</v>
      </c>
      <c r="J21" s="197" t="s">
        <v>73</v>
      </c>
      <c r="K21" s="197" t="s">
        <v>73</v>
      </c>
      <c r="L21" s="197" t="s">
        <v>73</v>
      </c>
      <c r="M21" s="197"/>
      <c r="N21" s="196"/>
      <c r="O21" s="197" t="s">
        <v>350</v>
      </c>
      <c r="P21" s="197"/>
      <c r="Q21" s="197"/>
      <c r="R21" s="197" t="s">
        <v>59</v>
      </c>
      <c r="S21" s="197"/>
      <c r="T21" s="197" t="s">
        <v>350</v>
      </c>
      <c r="V21" s="197"/>
      <c r="W21" s="197" t="s">
        <v>56</v>
      </c>
      <c r="X21" s="197"/>
      <c r="Y21" s="197" t="s">
        <v>350</v>
      </c>
      <c r="Z21" s="331"/>
      <c r="AA21" s="197" t="s">
        <v>56</v>
      </c>
      <c r="AC21" s="197" t="s">
        <v>56</v>
      </c>
      <c r="AD21" s="197"/>
      <c r="AF21" s="197"/>
      <c r="AG21" s="197"/>
      <c r="AH21" s="106"/>
      <c r="AI21" s="311"/>
      <c r="AJ21" s="312"/>
      <c r="AK21" s="311"/>
      <c r="AL21" s="313"/>
      <c r="AM21" s="313"/>
      <c r="AN21" s="313"/>
      <c r="AO21" s="313"/>
      <c r="AP21" s="238"/>
      <c r="AQ21" s="313">
        <f t="shared" si="2"/>
        <v>0</v>
      </c>
      <c r="AR21" s="238"/>
      <c r="AS21" s="238">
        <f t="shared" si="3"/>
        <v>0</v>
      </c>
      <c r="AT21" s="238"/>
      <c r="AU21" s="238">
        <f t="shared" si="4"/>
        <v>0</v>
      </c>
      <c r="AV21" s="238">
        <f t="shared" si="5"/>
        <v>0</v>
      </c>
      <c r="AW21" s="238">
        <f t="shared" si="7"/>
        <v>5</v>
      </c>
      <c r="AX21" s="238" t="e">
        <f>AU21+$AY$10</f>
        <v>#VALUE!</v>
      </c>
      <c r="AY21" s="313" t="e">
        <f>(BJ21*('Setting key Duty'!$I$8+'Setting key Duty'!$I$12))+(BH21*'Setting key Duty'!$I$9)+(BC21*('Setting key Duty'!$I$13+'Setting key Duty'!$I$9))+(BA21*('Setting key Duty'!$I$13+'Setting key Duty'!$I$12+'Setting key Duty'!$I$11))+(BE21*('Setting key Duty'!$I$8+'Setting key Duty'!$I$9+'Setting key Duty'!$I$12))</f>
        <v>#VALUE!</v>
      </c>
      <c r="AZ21" s="313">
        <f>COUNTIF(D21:AA21,"*BRT*")</f>
        <v>0</v>
      </c>
      <c r="BA21" s="313">
        <f t="shared" si="8"/>
        <v>0</v>
      </c>
      <c r="BB21" s="313" t="e">
        <f>BA21*('Setting key Duty'!$I$13+'Setting key Duty'!$I$12+'Setting key Duty'!$I$11)</f>
        <v>#VALUE!</v>
      </c>
      <c r="BC21" s="313">
        <f t="shared" si="14"/>
        <v>0</v>
      </c>
      <c r="BD21" s="313" t="e">
        <f>BC21*('Setting key Duty'!$I$13+'Setting key Duty'!$I$9)</f>
        <v>#VALUE!</v>
      </c>
      <c r="BE21" s="313">
        <f t="shared" si="15"/>
        <v>0</v>
      </c>
      <c r="BF21" s="313">
        <f>BE21*('Setting key Duty'!$I$8+'Setting key Duty'!$I$9+'Setting key Duty'!$I$12)</f>
        <v>0</v>
      </c>
      <c r="BG21" s="313">
        <f>COUNTIF(AI21,"*$N*")</f>
        <v>0</v>
      </c>
      <c r="BH21" s="313">
        <f>COUNTIF(AI21,"*$PM*")</f>
        <v>0</v>
      </c>
      <c r="BI21" s="313">
        <f>BH21*('Setting key Duty'!$I$9)</f>
        <v>0</v>
      </c>
      <c r="BJ21" s="313">
        <f t="shared" si="16"/>
        <v>0</v>
      </c>
      <c r="BK21" s="313">
        <f>BJ21*('Setting key Duty'!$I$12+'Setting key Duty'!$I$8)</f>
        <v>0</v>
      </c>
      <c r="BL21" s="313">
        <f>COUNTIF(D21:AI21,"*$FC*")</f>
        <v>5</v>
      </c>
      <c r="BM21" s="313">
        <f>BL21*('Setting key Duty'!$J$11+'Setting key Duty'!$I$8)</f>
        <v>0.625</v>
      </c>
      <c r="BN21" s="313">
        <f>COUNTIF($D21:$AA21,BN$4)</f>
        <v>0</v>
      </c>
      <c r="BO21" s="313">
        <f>COUNTIF($D21:$AA21,BO$4)</f>
        <v>3</v>
      </c>
      <c r="BP21" s="313">
        <f>COUNTIF($D21:$AA21,BP$4)</f>
        <v>0</v>
      </c>
      <c r="BQ21" s="314"/>
    </row>
    <row r="22" ht="27.75" customHeight="1" spans="1:69">
      <c r="A22" s="309"/>
      <c r="B22" s="315" t="s">
        <v>306</v>
      </c>
      <c r="D22" s="197"/>
      <c r="E22" s="197"/>
      <c r="G22" s="197" t="s">
        <v>56</v>
      </c>
      <c r="H22" s="377"/>
      <c r="L22" s="196" t="s">
        <v>59</v>
      </c>
      <c r="M22" s="106"/>
      <c r="N22" s="197" t="s">
        <v>350</v>
      </c>
      <c r="P22" s="197" t="s">
        <v>58</v>
      </c>
      <c r="R22" s="197"/>
      <c r="S22" s="197" t="s">
        <v>54</v>
      </c>
      <c r="T22" s="197" t="s">
        <v>54</v>
      </c>
      <c r="U22" s="197" t="s">
        <v>54</v>
      </c>
      <c r="V22" s="197" t="s">
        <v>54</v>
      </c>
      <c r="W22" s="197" t="s">
        <v>54</v>
      </c>
      <c r="X22" s="197" t="s">
        <v>54</v>
      </c>
      <c r="Y22" s="197" t="s">
        <v>54</v>
      </c>
      <c r="Z22" s="197" t="s">
        <v>54</v>
      </c>
      <c r="AA22" s="197" t="s">
        <v>54</v>
      </c>
      <c r="AC22" s="197" t="s">
        <v>58</v>
      </c>
      <c r="AD22" s="197"/>
      <c r="AE22" s="197" t="s">
        <v>56</v>
      </c>
      <c r="AF22" s="197"/>
      <c r="AG22" s="197" t="s">
        <v>56</v>
      </c>
      <c r="AH22" s="197"/>
      <c r="AI22" s="311"/>
      <c r="AJ22" s="312"/>
      <c r="AK22" s="311"/>
      <c r="AL22" s="313"/>
      <c r="AM22" s="313"/>
      <c r="AN22" s="313"/>
      <c r="AO22" s="313"/>
      <c r="AP22" s="238"/>
      <c r="AQ22" s="313">
        <f t="shared" si="2"/>
        <v>0</v>
      </c>
      <c r="AR22" s="238"/>
      <c r="AS22" s="238">
        <f t="shared" si="3"/>
        <v>0</v>
      </c>
      <c r="AT22" s="238"/>
      <c r="AU22" s="238">
        <f t="shared" si="4"/>
        <v>0</v>
      </c>
      <c r="AV22" s="238">
        <f t="shared" si="5"/>
        <v>0</v>
      </c>
      <c r="AW22" s="238">
        <f t="shared" si="7"/>
        <v>0</v>
      </c>
      <c r="AX22" s="238" t="e">
        <f>AU22+$AY$10</f>
        <v>#VALUE!</v>
      </c>
      <c r="AY22" s="313" t="e">
        <f>(BJ22*('Setting key Duty'!$I$8+'Setting key Duty'!$I$12))+(BH22*'Setting key Duty'!$I$9)+(BC22*('Setting key Duty'!$I$13+'Setting key Duty'!$I$9))+(BA22*('Setting key Duty'!$I$13+'Setting key Duty'!$I$12+'Setting key Duty'!$I$11))+(BE22*('Setting key Duty'!$I$8+'Setting key Duty'!$I$9+'Setting key Duty'!$I$12))</f>
        <v>#VALUE!</v>
      </c>
      <c r="AZ22" s="313">
        <f>COUNTIF(C22:AA22,"*BRT*")</f>
        <v>0</v>
      </c>
      <c r="BA22" s="313">
        <f t="shared" si="8"/>
        <v>0</v>
      </c>
      <c r="BB22" s="313" t="e">
        <f>BA22*('Setting key Duty'!$I$13+'Setting key Duty'!$I$12+'Setting key Duty'!$I$11)</f>
        <v>#VALUE!</v>
      </c>
      <c r="BC22" s="313">
        <f t="shared" si="14"/>
        <v>0</v>
      </c>
      <c r="BD22" s="313" t="e">
        <f>BC22*('Setting key Duty'!$I$13+'Setting key Duty'!$I$9)</f>
        <v>#VALUE!</v>
      </c>
      <c r="BE22" s="313">
        <f t="shared" si="15"/>
        <v>0</v>
      </c>
      <c r="BF22" s="313">
        <f>BE22*('Setting key Duty'!$I$8+'Setting key Duty'!$I$9+'Setting key Duty'!$I$12)</f>
        <v>0</v>
      </c>
      <c r="BG22" s="313">
        <f>COUNTIF(AI22,"*$N*")</f>
        <v>0</v>
      </c>
      <c r="BH22" s="313">
        <f>COUNTIF(AI22,"*$PM*")</f>
        <v>0</v>
      </c>
      <c r="BI22" s="313">
        <f>BH22*('Setting key Duty'!$I$9)</f>
        <v>0</v>
      </c>
      <c r="BJ22" s="313">
        <f t="shared" si="16"/>
        <v>0</v>
      </c>
      <c r="BK22" s="313">
        <f>BJ22*('Setting key Duty'!$I$12+'Setting key Duty'!$I$8)</f>
        <v>0</v>
      </c>
      <c r="BL22" s="313">
        <f>COUNTIF(C22:AI22,"*$FC*")</f>
        <v>0</v>
      </c>
      <c r="BM22" s="313">
        <f>BL22*('Setting key Duty'!$J$11+'Setting key Duty'!$I$8)</f>
        <v>0</v>
      </c>
      <c r="BN22" s="313">
        <f>COUNTIF($C22:$AA22,BN$4)</f>
        <v>0</v>
      </c>
      <c r="BO22" s="313">
        <f>COUNTIF($C22:$AA22,BO$4)</f>
        <v>1</v>
      </c>
      <c r="BP22" s="313">
        <f>COUNTIF($C22:$AA22,BP$4)</f>
        <v>0</v>
      </c>
      <c r="BQ22" s="314"/>
    </row>
    <row r="23" ht="19.5" customHeight="1" spans="1:69">
      <c r="A23" s="309"/>
      <c r="B23" s="375" t="s">
        <v>355</v>
      </c>
      <c r="C23" s="197"/>
      <c r="D23" s="197" t="s">
        <v>56</v>
      </c>
      <c r="E23" s="197"/>
      <c r="F23" s="197"/>
      <c r="G23" s="197" t="s">
        <v>350</v>
      </c>
      <c r="H23" s="197"/>
      <c r="I23" s="106"/>
      <c r="K23" s="197"/>
      <c r="L23" s="317" t="s">
        <v>57</v>
      </c>
      <c r="M23" s="106"/>
      <c r="N23" s="196"/>
      <c r="O23" s="197" t="s">
        <v>56</v>
      </c>
      <c r="P23" s="197"/>
      <c r="Q23" s="197" t="s">
        <v>350</v>
      </c>
      <c r="R23" s="317"/>
      <c r="T23" s="197" t="s">
        <v>57</v>
      </c>
      <c r="U23" s="197"/>
      <c r="V23" s="197"/>
      <c r="W23" s="197" t="s">
        <v>57</v>
      </c>
      <c r="X23" s="197"/>
      <c r="Y23" s="197"/>
      <c r="Z23" s="197"/>
      <c r="AA23" s="197"/>
      <c r="AB23" s="317"/>
      <c r="AC23" s="197" t="s">
        <v>350</v>
      </c>
      <c r="AD23" s="317" t="s">
        <v>57</v>
      </c>
      <c r="AF23" s="197" t="s">
        <v>59</v>
      </c>
      <c r="AG23" s="197"/>
      <c r="AH23" s="197"/>
      <c r="AI23" s="311"/>
      <c r="AJ23" s="312"/>
      <c r="AK23" s="311"/>
      <c r="AL23" s="313"/>
      <c r="AM23" s="313"/>
      <c r="AN23" s="313"/>
      <c r="AO23" s="313"/>
      <c r="AP23" s="238"/>
      <c r="AQ23" s="313">
        <f t="shared" si="2"/>
        <v>0</v>
      </c>
      <c r="AR23" s="238"/>
      <c r="AS23" s="238">
        <f t="shared" si="3"/>
        <v>0</v>
      </c>
      <c r="AT23" s="238"/>
      <c r="AU23" s="238">
        <f t="shared" si="4"/>
        <v>0</v>
      </c>
      <c r="AV23" s="238">
        <f t="shared" si="5"/>
        <v>0</v>
      </c>
      <c r="AW23" s="238">
        <f t="shared" si="7"/>
        <v>0</v>
      </c>
      <c r="AX23" s="238" t="e">
        <f>AU23+AY23</f>
        <v>#VALUE!</v>
      </c>
      <c r="AY23" s="313" t="e">
        <f>(BJ23*('Setting key Duty'!$I$8+'Setting key Duty'!$I$12))+(BH23*'Setting key Duty'!$I$9)+(BC23*('Setting key Duty'!$I$13+'Setting key Duty'!$I$9))+(BA23*('Setting key Duty'!$I$13+'Setting key Duty'!$I$12+'Setting key Duty'!$I$11))+(BE23*('Setting key Duty'!$I$8+'Setting key Duty'!$I$9+'Setting key Duty'!$I$12))</f>
        <v>#VALUE!</v>
      </c>
      <c r="AZ23" s="313">
        <f>COUNTIF(D23:AB23,"*BRT*")</f>
        <v>0</v>
      </c>
      <c r="BA23" s="313">
        <f t="shared" si="8"/>
        <v>0</v>
      </c>
      <c r="BB23" s="313" t="e">
        <f>BA23*('Setting key Duty'!$I$13+'Setting key Duty'!$I$12+'Setting key Duty'!$I$11)</f>
        <v>#VALUE!</v>
      </c>
      <c r="BC23" s="313">
        <f t="shared" si="14"/>
        <v>0</v>
      </c>
      <c r="BD23" s="313" t="e">
        <f>BC23*('Setting key Duty'!$I$13+'Setting key Duty'!$I$9)</f>
        <v>#VALUE!</v>
      </c>
      <c r="BE23" s="313">
        <f t="shared" si="15"/>
        <v>0</v>
      </c>
      <c r="BF23" s="313">
        <f>BE23*('Setting key Duty'!$I$8+'Setting key Duty'!$I$9+'Setting key Duty'!$I$12)</f>
        <v>0</v>
      </c>
      <c r="BG23" s="313">
        <f>COUNTIF(AF23:AI23,"*$N*")</f>
        <v>0</v>
      </c>
      <c r="BH23" s="313">
        <f>COUNTIF(AF23:AI23,"*$PM*")</f>
        <v>0</v>
      </c>
      <c r="BI23" s="313">
        <f>BH23*('Setting key Duty'!$I$9)</f>
        <v>0</v>
      </c>
      <c r="BJ23" s="313">
        <f t="shared" si="16"/>
        <v>0</v>
      </c>
      <c r="BK23" s="313">
        <f>BJ23*('Setting key Duty'!$I$12+'Setting key Duty'!$I$8)</f>
        <v>0</v>
      </c>
      <c r="BL23" s="313">
        <f>COUNTIF(D23:AI23,"*$FC*")</f>
        <v>0</v>
      </c>
      <c r="BM23" s="313">
        <f>BL23*('Setting key Duty'!$J$11+'Setting key Duty'!$I$8)</f>
        <v>0</v>
      </c>
      <c r="BN23" s="313">
        <f>COUNTIF($D23:$AF23,BN$4)</f>
        <v>0</v>
      </c>
      <c r="BO23" s="313">
        <f>COUNTIF($D23:$AF23,BO$4)</f>
        <v>3</v>
      </c>
      <c r="BP23" s="313">
        <f>COUNTIF($D23:$AF23,BP$4)</f>
        <v>0</v>
      </c>
      <c r="BQ23" s="314"/>
    </row>
    <row r="24" ht="19.5" customHeight="1" spans="1:69">
      <c r="A24" s="309"/>
      <c r="B24" s="328" t="s">
        <v>312</v>
      </c>
      <c r="C24" s="197"/>
      <c r="D24" s="197" t="s">
        <v>54</v>
      </c>
      <c r="E24" s="197" t="s">
        <v>54</v>
      </c>
      <c r="F24" s="197" t="s">
        <v>54</v>
      </c>
      <c r="G24" s="197"/>
      <c r="H24" s="377" t="s">
        <v>58</v>
      </c>
      <c r="I24" s="106"/>
      <c r="J24" s="197" t="s">
        <v>56</v>
      </c>
      <c r="L24" s="197"/>
      <c r="M24" s="349"/>
      <c r="N24" s="196" t="s">
        <v>56</v>
      </c>
      <c r="O24" s="197"/>
      <c r="S24" s="197"/>
      <c r="T24" s="196" t="s">
        <v>58</v>
      </c>
      <c r="U24" s="197"/>
      <c r="X24" s="317" t="s">
        <v>56</v>
      </c>
      <c r="Y24" s="197"/>
      <c r="Z24" s="197"/>
      <c r="AA24" s="197"/>
      <c r="AB24" s="197"/>
      <c r="AC24" s="197"/>
      <c r="AD24" s="197"/>
      <c r="AE24" s="197" t="s">
        <v>428</v>
      </c>
      <c r="AF24" s="197"/>
      <c r="AG24" s="197"/>
      <c r="AH24" s="197" t="s">
        <v>350</v>
      </c>
      <c r="AI24" s="311"/>
      <c r="AJ24" s="312"/>
      <c r="AK24" s="311"/>
      <c r="AL24" s="313"/>
      <c r="AM24" s="313"/>
      <c r="AN24" s="313"/>
      <c r="AO24" s="313"/>
      <c r="AP24" s="238"/>
      <c r="AQ24" s="313">
        <f t="shared" si="2"/>
        <v>0</v>
      </c>
      <c r="AR24" s="238"/>
      <c r="AS24" s="238">
        <f t="shared" si="3"/>
        <v>0</v>
      </c>
      <c r="AT24" s="238"/>
      <c r="AU24" s="238">
        <f t="shared" si="4"/>
        <v>0</v>
      </c>
      <c r="AV24" s="238">
        <f t="shared" si="5"/>
        <v>0</v>
      </c>
      <c r="AW24" s="238">
        <f t="shared" si="7"/>
        <v>0</v>
      </c>
      <c r="AX24" s="238" t="e">
        <f>AU24+$AY$10</f>
        <v>#VALUE!</v>
      </c>
      <c r="AY24" s="313" t="e">
        <f>(BJ24*('Setting key Duty'!$I$8+'Setting key Duty'!$I$12))+(BH24*'Setting key Duty'!$I$9)+(BC24*('Setting key Duty'!$I$13+'Setting key Duty'!$I$9))+(BA24*('Setting key Duty'!$I$13+'Setting key Duty'!$I$12+'Setting key Duty'!$I$11))+(BE24*('Setting key Duty'!$I$8+'Setting key Duty'!$I$9+'Setting key Duty'!$I$12))</f>
        <v>#VALUE!</v>
      </c>
      <c r="AZ24" s="313"/>
      <c r="BA24" s="313"/>
      <c r="BB24" s="313"/>
      <c r="BC24" s="313"/>
      <c r="BD24" s="313"/>
      <c r="BE24" s="313"/>
      <c r="BF24" s="313"/>
      <c r="BG24" s="313"/>
      <c r="BH24" s="313"/>
      <c r="BI24" s="313"/>
      <c r="BJ24" s="313"/>
      <c r="BK24" s="313"/>
      <c r="BL24" s="313"/>
      <c r="BM24" s="313"/>
      <c r="BN24" s="313"/>
      <c r="BO24" s="313"/>
      <c r="BP24" s="313"/>
      <c r="BQ24" s="314"/>
    </row>
    <row r="25" ht="19.5" customHeight="1" spans="1:69">
      <c r="A25" s="309"/>
      <c r="B25" s="328" t="s">
        <v>233</v>
      </c>
      <c r="C25" s="197"/>
      <c r="D25" s="197" t="s">
        <v>59</v>
      </c>
      <c r="E25" s="197"/>
      <c r="F25" s="197"/>
      <c r="G25" s="197"/>
      <c r="H25" s="197"/>
      <c r="I25" s="197" t="s">
        <v>57</v>
      </c>
      <c r="J25" s="197"/>
      <c r="K25" s="197"/>
      <c r="L25" s="317"/>
      <c r="M25" s="317" t="s">
        <v>57</v>
      </c>
      <c r="N25" s="355"/>
      <c r="O25" s="197" t="s">
        <v>350</v>
      </c>
      <c r="P25" s="197"/>
      <c r="Q25" s="197" t="s">
        <v>56</v>
      </c>
      <c r="R25" s="197"/>
      <c r="S25" s="197"/>
      <c r="T25" s="196"/>
      <c r="U25" s="317"/>
      <c r="V25" s="197" t="s">
        <v>429</v>
      </c>
      <c r="W25" s="197"/>
      <c r="X25" s="197" t="s">
        <v>350</v>
      </c>
      <c r="Z25" s="197" t="s">
        <v>57</v>
      </c>
      <c r="AB25" s="197"/>
      <c r="AD25" s="317"/>
      <c r="AF25" s="197" t="s">
        <v>57</v>
      </c>
      <c r="AG25" s="197"/>
      <c r="AH25" s="197"/>
      <c r="AI25" s="311"/>
      <c r="AJ25" s="312"/>
      <c r="AK25" s="311"/>
      <c r="AL25" s="313"/>
      <c r="AM25" s="313"/>
      <c r="AN25" s="313"/>
      <c r="AO25" s="313"/>
      <c r="AP25" s="238"/>
      <c r="AQ25" s="313">
        <f t="shared" si="2"/>
        <v>0</v>
      </c>
      <c r="AR25" s="238"/>
      <c r="AS25" s="238">
        <f t="shared" si="3"/>
        <v>0</v>
      </c>
      <c r="AT25" s="238"/>
      <c r="AU25" s="238">
        <f t="shared" si="4"/>
        <v>0</v>
      </c>
      <c r="AV25" s="238">
        <f t="shared" si="5"/>
        <v>0</v>
      </c>
      <c r="AW25" s="238">
        <f t="shared" si="7"/>
        <v>1</v>
      </c>
      <c r="AX25" s="238" t="e">
        <f>AU25+AY25</f>
        <v>#VALUE!</v>
      </c>
      <c r="AY25" s="313" t="e">
        <f>(BJ25*('Setting key Duty'!$I$8+'Setting key Duty'!$I$12))+(BH25*'Setting key Duty'!$I$9)+(BC25*('Setting key Duty'!$I$13+'Setting key Duty'!$I$9))+(BA25*('Setting key Duty'!$I$13+'Setting key Duty'!$I$12+'Setting key Duty'!$I$11))+(BE25*('Setting key Duty'!$I$8+'Setting key Duty'!$I$9+'Setting key Duty'!$I$12))</f>
        <v>#VALUE!</v>
      </c>
      <c r="AZ25" s="313">
        <f>COUNTIF(D25:AA25,"*BRT*")</f>
        <v>0</v>
      </c>
      <c r="BA25" s="313">
        <f t="shared" ref="BA25:BA40" si="17">COUNTIF(A25:AI25,"*$BTP*")</f>
        <v>0</v>
      </c>
      <c r="BB25" s="313" t="e">
        <f>BA25*('Setting key Duty'!$I$13+'Setting key Duty'!$I$12+'Setting key Duty'!$I$11)</f>
        <v>#VALUE!</v>
      </c>
      <c r="BC25" s="313">
        <f>COUNTIF(A25:AI25,"*$L*")</f>
        <v>0</v>
      </c>
      <c r="BD25" s="313" t="e">
        <f>BC25*('Setting key Duty'!$I$13+'Setting key Duty'!$I$9)</f>
        <v>#VALUE!</v>
      </c>
      <c r="BE25" s="313">
        <f>COUNTIF(A25:AI25,"*$M*")</f>
        <v>1</v>
      </c>
      <c r="BF25" s="313">
        <f>BE25*('Setting key Duty'!$I$8+'Setting key Duty'!$I$9+'Setting key Duty'!$I$12)</f>
        <v>0.5625</v>
      </c>
      <c r="BG25" s="313">
        <f>COUNTIF(AI25,"*$N*")</f>
        <v>0</v>
      </c>
      <c r="BH25" s="313">
        <f>COUNTIF(AI25,"*$PM*")</f>
        <v>0</v>
      </c>
      <c r="BI25" s="313">
        <f>BH25*('Setting key Duty'!$I$9)</f>
        <v>0</v>
      </c>
      <c r="BJ25" s="313">
        <f>COUNTIF(A25:AI25,"*$AM*")</f>
        <v>0</v>
      </c>
      <c r="BK25" s="313">
        <f>BJ25*('Setting key Duty'!$I$12+'Setting key Duty'!$I$8)</f>
        <v>0</v>
      </c>
      <c r="BL25" s="313">
        <f>COUNTIF(D25:AI25,"*$FC*")</f>
        <v>0</v>
      </c>
      <c r="BM25" s="313">
        <f>BL25*('Setting key Duty'!$J$11+'Setting key Duty'!$I$8)</f>
        <v>0</v>
      </c>
      <c r="BN25" s="313">
        <f>COUNTIF($D25:$AA25,BN$4)</f>
        <v>0</v>
      </c>
      <c r="BO25" s="313">
        <f>COUNTIF($D25:$AA25,BO$4)</f>
        <v>2</v>
      </c>
      <c r="BP25" s="313">
        <f>COUNTIF($D25:$AA25,BP$4)</f>
        <v>0</v>
      </c>
      <c r="BQ25" s="314"/>
    </row>
    <row r="26" ht="19.5" customHeight="1" spans="1:69">
      <c r="A26" s="309"/>
      <c r="B26" s="376" t="s">
        <v>189</v>
      </c>
      <c r="D26" s="197"/>
      <c r="E26" s="197"/>
      <c r="G26" s="324" t="s">
        <v>58</v>
      </c>
      <c r="H26" s="317"/>
      <c r="I26" s="197"/>
      <c r="J26" s="317" t="s">
        <v>58</v>
      </c>
      <c r="K26" s="317" t="s">
        <v>253</v>
      </c>
      <c r="L26" s="317" t="s">
        <v>58</v>
      </c>
      <c r="N26" s="378"/>
      <c r="O26" s="317"/>
      <c r="P26" s="197"/>
      <c r="Q26" s="197" t="s">
        <v>58</v>
      </c>
      <c r="R26" s="317" t="s">
        <v>253</v>
      </c>
      <c r="S26" s="196" t="s">
        <v>65</v>
      </c>
      <c r="T26" s="196"/>
      <c r="U26" s="197"/>
      <c r="V26" s="197" t="s">
        <v>56</v>
      </c>
      <c r="X26" s="197" t="s">
        <v>350</v>
      </c>
      <c r="Y26" s="197"/>
      <c r="Z26" s="197"/>
      <c r="AA26" s="317" t="s">
        <v>425</v>
      </c>
      <c r="AB26" s="197"/>
      <c r="AC26" s="317"/>
      <c r="AD26" s="317" t="s">
        <v>58</v>
      </c>
      <c r="AG26" s="197"/>
      <c r="AH26" s="317"/>
      <c r="AI26" s="311"/>
      <c r="AJ26" s="312"/>
      <c r="AK26" s="311"/>
      <c r="AL26" s="313"/>
      <c r="AM26" s="313"/>
      <c r="AN26" s="313"/>
      <c r="AO26" s="313"/>
      <c r="AP26" s="238"/>
      <c r="AQ26" s="313">
        <f t="shared" si="2"/>
        <v>0</v>
      </c>
      <c r="AR26" s="238"/>
      <c r="AS26" s="238">
        <f t="shared" si="3"/>
        <v>0</v>
      </c>
      <c r="AT26" s="238"/>
      <c r="AU26" s="238">
        <f t="shared" si="4"/>
        <v>0</v>
      </c>
      <c r="AV26" s="238">
        <f t="shared" si="5"/>
        <v>0</v>
      </c>
      <c r="AW26" s="238">
        <f t="shared" si="7"/>
        <v>0</v>
      </c>
      <c r="AX26" s="238" t="e">
        <f>AU26+$AY$10</f>
        <v>#VALUE!</v>
      </c>
      <c r="AY26" s="313" t="e">
        <f>(BJ26*('Setting key Duty'!$I$8+'Setting key Duty'!$I$12))+(BH26*'Setting key Duty'!$I$9)+(BC26*('Setting key Duty'!$I$13+'Setting key Duty'!$I$9))+(BA26*('Setting key Duty'!$I$13+'Setting key Duty'!$I$12+'Setting key Duty'!$I$11))+(BE26*('Setting key Duty'!$I$8+'Setting key Duty'!$I$9+'Setting key Duty'!$I$12))</f>
        <v>#VALUE!</v>
      </c>
      <c r="AZ26" s="313">
        <f>COUNTIF(D26:AA26,"*BRT*")</f>
        <v>0</v>
      </c>
      <c r="BA26" s="313">
        <f t="shared" si="17"/>
        <v>0</v>
      </c>
      <c r="BB26" s="313" t="e">
        <f>BA26*('Setting key Duty'!$I$13+'Setting key Duty'!$I$12+'Setting key Duty'!$I$11)</f>
        <v>#VALUE!</v>
      </c>
      <c r="BC26" s="313">
        <f>COUNTIF(A26:AI26,"*$L*")</f>
        <v>0</v>
      </c>
      <c r="BD26" s="313" t="e">
        <f>BC26*('Setting key Duty'!$I$13+'Setting key Duty'!$I$9)</f>
        <v>#VALUE!</v>
      </c>
      <c r="BE26" s="313">
        <f>COUNTIF(A26:AI26,"*$M*")</f>
        <v>0</v>
      </c>
      <c r="BF26" s="313">
        <f>BE26*('Setting key Duty'!$I$8+'Setting key Duty'!$I$9+'Setting key Duty'!$I$12)</f>
        <v>0</v>
      </c>
      <c r="BG26" s="313">
        <f>COUNTIF(AI26,"*$N*")</f>
        <v>0</v>
      </c>
      <c r="BH26" s="313">
        <f>COUNTIF(AI26,"*$PM*")</f>
        <v>0</v>
      </c>
      <c r="BI26" s="313">
        <f>BH26*('Setting key Duty'!$I$9)</f>
        <v>0</v>
      </c>
      <c r="BJ26" s="313">
        <f>COUNTIF(A26:AI26,"*$AM*")</f>
        <v>0</v>
      </c>
      <c r="BK26" s="313">
        <f>BJ26*('Setting key Duty'!$I$12+'Setting key Duty'!$I$8)</f>
        <v>0</v>
      </c>
      <c r="BL26" s="313">
        <f>COUNTIF(D26:AI26,"*$FC*")</f>
        <v>0</v>
      </c>
      <c r="BM26" s="313">
        <f>BL26*('Setting key Duty'!$J$11+'Setting key Duty'!$I$8)</f>
        <v>0</v>
      </c>
      <c r="BN26" s="313">
        <f>COUNTIF($D26:$AA26,BN$4)</f>
        <v>0</v>
      </c>
      <c r="BO26" s="313">
        <f>COUNTIF($D26:$AA26,BO$4)</f>
        <v>1</v>
      </c>
      <c r="BP26" s="313">
        <f>COUNTIF($D26:$AA26,BP$4)</f>
        <v>0</v>
      </c>
      <c r="BQ26" s="314"/>
    </row>
    <row r="27" ht="19.5" customHeight="1" spans="1:69">
      <c r="A27" s="309"/>
      <c r="B27" s="332" t="s">
        <v>191</v>
      </c>
      <c r="D27" s="106"/>
      <c r="E27" s="197" t="s">
        <v>56</v>
      </c>
      <c r="F27" s="197"/>
      <c r="G27" s="197"/>
      <c r="H27" s="377"/>
      <c r="I27" s="197"/>
      <c r="J27" s="197" t="s">
        <v>430</v>
      </c>
      <c r="K27" s="317" t="s">
        <v>58</v>
      </c>
      <c r="L27" s="197"/>
      <c r="M27" s="197"/>
      <c r="N27" s="197"/>
      <c r="O27" s="197" t="s">
        <v>58</v>
      </c>
      <c r="P27" s="197"/>
      <c r="R27" s="197" t="s">
        <v>58</v>
      </c>
      <c r="S27" s="197"/>
      <c r="T27" s="197"/>
      <c r="U27" s="197"/>
      <c r="V27" s="197" t="s">
        <v>431</v>
      </c>
      <c r="W27" s="197"/>
      <c r="X27" s="197"/>
      <c r="Y27" s="197" t="s">
        <v>432</v>
      </c>
      <c r="Z27" s="197"/>
      <c r="AA27" s="197"/>
      <c r="AB27" s="197"/>
      <c r="AD27" s="197" t="s">
        <v>433</v>
      </c>
      <c r="AE27" s="197"/>
      <c r="AF27" s="317"/>
      <c r="AH27" s="197" t="s">
        <v>58</v>
      </c>
      <c r="AI27" s="311"/>
      <c r="AJ27" s="312"/>
      <c r="AK27" s="311"/>
      <c r="AL27" s="313"/>
      <c r="AM27" s="313"/>
      <c r="AN27" s="313"/>
      <c r="AO27" s="313"/>
      <c r="AP27" s="238"/>
      <c r="AQ27" s="313">
        <f t="shared" si="2"/>
        <v>0</v>
      </c>
      <c r="AR27" s="238"/>
      <c r="AS27" s="238">
        <f t="shared" si="3"/>
        <v>0</v>
      </c>
      <c r="AT27" s="238"/>
      <c r="AU27" s="238">
        <f t="shared" si="4"/>
        <v>0</v>
      </c>
      <c r="AV27" s="238">
        <f t="shared" si="5"/>
        <v>0</v>
      </c>
      <c r="AW27" s="238">
        <f t="shared" si="7"/>
        <v>4</v>
      </c>
      <c r="AX27" s="238" t="e">
        <f t="shared" ref="AX27:AX40" si="18">AU27+AY27</f>
        <v>#VALUE!</v>
      </c>
      <c r="AY27" s="313" t="e">
        <f>(BJ27*('Setting key Duty'!$I$8+'Setting key Duty'!$I$12))+(BH27*'Setting key Duty'!$I$9)+(BC27*('Setting key Duty'!$I$13+'Setting key Duty'!$I$9))+(BA27*('Setting key Duty'!$I$13+'Setting key Duty'!$I$12+'Setting key Duty'!$I$11))+(BE27*('Setting key Duty'!$I$8+'Setting key Duty'!$I$9+'Setting key Duty'!$I$12))</f>
        <v>#VALUE!</v>
      </c>
      <c r="AZ27" s="313">
        <f>COUNTIF(C27:W27,"*BRT*")</f>
        <v>0</v>
      </c>
      <c r="BA27" s="313">
        <f t="shared" si="17"/>
        <v>0</v>
      </c>
      <c r="BB27" s="313" t="e">
        <f>BA27*('Setting key Duty'!$I$13+'Setting key Duty'!$I$12+'Setting key Duty'!$I$11)</f>
        <v>#VALUE!</v>
      </c>
      <c r="BC27" s="313">
        <f t="shared" ref="BC27:BC40" si="19">COUNTIF(D27:AI27,"*$L*")</f>
        <v>0</v>
      </c>
      <c r="BD27" s="313" t="e">
        <f>BC27*('Setting key Duty'!$I$13+'Setting key Duty'!$I$9)</f>
        <v>#VALUE!</v>
      </c>
      <c r="BE27" s="313">
        <f t="shared" ref="BE27:BE40" si="20">COUNTIF(D27:AI27,"*$M*")</f>
        <v>2</v>
      </c>
      <c r="BF27" s="313">
        <f>BE27*('Setting key Duty'!$I$8+'Setting key Duty'!$I$9+'Setting key Duty'!$I$12)</f>
        <v>1.125</v>
      </c>
      <c r="BG27" s="313">
        <f t="shared" ref="BG27:BG40" si="21">COUNTIF(D27:AI27,"*$N*")</f>
        <v>0</v>
      </c>
      <c r="BH27" s="313">
        <f t="shared" ref="BH27:BH40" si="22">COUNTIF(D27:AI27,"*$PM*")</f>
        <v>0</v>
      </c>
      <c r="BI27" s="313">
        <f>BH27*('Setting key Duty'!$I$9)</f>
        <v>0</v>
      </c>
      <c r="BJ27" s="313">
        <f t="shared" ref="BJ27:BJ40" si="23">COUNTIF(D27:AI27,"*$AM*")</f>
        <v>2</v>
      </c>
      <c r="BK27" s="313">
        <f>BJ27*('Setting key Duty'!$I$12+'Setting key Duty'!$I$8)</f>
        <v>0.875</v>
      </c>
      <c r="BL27" s="313">
        <f t="shared" ref="BL27:BL40" si="24">COUNTIF(C27:AI27,"*$FC*")</f>
        <v>0</v>
      </c>
      <c r="BM27" s="313">
        <f>BL27*('Setting key Duty'!$J$11+'Setting key Duty'!$I$8)</f>
        <v>0</v>
      </c>
      <c r="BN27" s="313">
        <f>COUNTIF($C27:$AG27,BN$4)</f>
        <v>0</v>
      </c>
      <c r="BO27" s="313">
        <f>COUNTIF($C27:$AG27,BO$4)</f>
        <v>0</v>
      </c>
      <c r="BP27" s="313">
        <f>COUNTIF($D27:$AD27,BP$4)</f>
        <v>0</v>
      </c>
      <c r="BQ27" s="314"/>
    </row>
    <row r="28" ht="19.5" customHeight="1" spans="1:69">
      <c r="A28" s="309"/>
      <c r="B28" s="315" t="s">
        <v>434</v>
      </c>
      <c r="C28" s="197" t="s">
        <v>350</v>
      </c>
      <c r="D28" s="197"/>
      <c r="E28" s="197"/>
      <c r="F28" s="197"/>
      <c r="G28" s="331" t="s">
        <v>435</v>
      </c>
      <c r="H28" s="377"/>
      <c r="J28" s="377"/>
      <c r="K28" s="197"/>
      <c r="L28" s="197" t="s">
        <v>350</v>
      </c>
      <c r="M28" s="197"/>
      <c r="N28" s="379"/>
      <c r="O28" s="197"/>
      <c r="P28" s="324"/>
      <c r="S28" s="196"/>
      <c r="U28" s="197" t="s">
        <v>69</v>
      </c>
      <c r="V28" s="317" t="s">
        <v>58</v>
      </c>
      <c r="W28" s="197" t="s">
        <v>247</v>
      </c>
      <c r="Z28" s="317" t="s">
        <v>65</v>
      </c>
      <c r="AA28" s="317"/>
      <c r="AB28" s="197" t="s">
        <v>58</v>
      </c>
      <c r="AD28" s="197" t="s">
        <v>428</v>
      </c>
      <c r="AG28" s="317"/>
      <c r="AH28" s="317" t="s">
        <v>65</v>
      </c>
      <c r="AI28" s="311"/>
      <c r="AJ28" s="312"/>
      <c r="AK28" s="311"/>
      <c r="AL28" s="344"/>
      <c r="AM28" s="344"/>
      <c r="AN28" s="344"/>
      <c r="AO28" s="344"/>
      <c r="AP28" s="246"/>
      <c r="AQ28" s="313">
        <f t="shared" si="2"/>
        <v>0</v>
      </c>
      <c r="AR28" s="238"/>
      <c r="AS28" s="238">
        <f t="shared" si="3"/>
        <v>0</v>
      </c>
      <c r="AT28" s="246"/>
      <c r="AU28" s="238">
        <f t="shared" si="4"/>
        <v>0</v>
      </c>
      <c r="AV28" s="238">
        <f t="shared" si="5"/>
        <v>0</v>
      </c>
      <c r="AW28" s="238">
        <f t="shared" si="7"/>
        <v>3</v>
      </c>
      <c r="AX28" s="238" t="e">
        <f t="shared" si="18"/>
        <v>#VALUE!</v>
      </c>
      <c r="AY28" s="313" t="e">
        <f>(BJ28*('Setting key Duty'!$I$8+'Setting key Duty'!$I$12))+(BH28*'Setting key Duty'!$I$9)+(BC28*('Setting key Duty'!$I$13+'Setting key Duty'!$I$9))+(BA28*('Setting key Duty'!$I$13+'Setting key Duty'!$I$12+'Setting key Duty'!$I$11))+(BE28*('Setting key Duty'!$I$8+'Setting key Duty'!$I$9+'Setting key Duty'!$I$12))</f>
        <v>#VALUE!</v>
      </c>
      <c r="AZ28" s="313">
        <f>COUNTIF(C28:Z28,"*BRT*")</f>
        <v>0</v>
      </c>
      <c r="BA28" s="313">
        <f t="shared" si="17"/>
        <v>0</v>
      </c>
      <c r="BB28" s="313" t="e">
        <f>BA28*('Setting key Duty'!$I$13+'Setting key Duty'!$I$12+'Setting key Duty'!$I$11)</f>
        <v>#VALUE!</v>
      </c>
      <c r="BC28" s="313">
        <f t="shared" si="19"/>
        <v>0</v>
      </c>
      <c r="BD28" s="313" t="e">
        <f>BC28*('Setting key Duty'!$I$13+'Setting key Duty'!$I$9)</f>
        <v>#VALUE!</v>
      </c>
      <c r="BE28" s="313">
        <f t="shared" si="20"/>
        <v>1</v>
      </c>
      <c r="BF28" s="313">
        <f>BE28*('Setting key Duty'!$I$8+'Setting key Duty'!$I$9+'Setting key Duty'!$I$12)</f>
        <v>0.5625</v>
      </c>
      <c r="BG28" s="313">
        <f t="shared" si="21"/>
        <v>0</v>
      </c>
      <c r="BH28" s="313">
        <f t="shared" si="22"/>
        <v>2</v>
      </c>
      <c r="BI28" s="313">
        <f>BH28*('Setting key Duty'!$I$9)</f>
        <v>0.25</v>
      </c>
      <c r="BJ28" s="313">
        <f t="shared" si="23"/>
        <v>0</v>
      </c>
      <c r="BK28" s="313">
        <f>BJ28*('Setting key Duty'!$I$12+'Setting key Duty'!$I$8)</f>
        <v>0</v>
      </c>
      <c r="BL28" s="313">
        <f t="shared" si="24"/>
        <v>0</v>
      </c>
      <c r="BM28" s="313">
        <f>BL28*('Setting key Duty'!$J$11+'Setting key Duty'!$I$8)</f>
        <v>0</v>
      </c>
      <c r="BN28" s="313">
        <f>COUNTIF($C28:$AE28,BN$4)</f>
        <v>0</v>
      </c>
      <c r="BO28" s="313">
        <f>COUNTIF($C28:$AE28,BO$4)</f>
        <v>2</v>
      </c>
      <c r="BP28" s="313">
        <f>COUNTIF($D28:$AB28,BP$4)</f>
        <v>0</v>
      </c>
      <c r="BQ28" s="345"/>
    </row>
    <row r="29" ht="19.5" customHeight="1" spans="1:69">
      <c r="A29" s="309"/>
      <c r="B29" s="315" t="s">
        <v>436</v>
      </c>
      <c r="C29" s="317"/>
      <c r="D29" s="324"/>
      <c r="E29" s="197"/>
      <c r="F29" s="324" t="s">
        <v>58</v>
      </c>
      <c r="G29" s="197"/>
      <c r="H29" s="377" t="s">
        <v>93</v>
      </c>
      <c r="I29" s="197"/>
      <c r="J29" s="324" t="s">
        <v>93</v>
      </c>
      <c r="K29" s="197"/>
      <c r="L29" s="197"/>
      <c r="M29" s="197"/>
      <c r="N29" s="378"/>
      <c r="O29" s="197" t="s">
        <v>437</v>
      </c>
      <c r="P29" s="321" t="s">
        <v>438</v>
      </c>
      <c r="Q29" s="197" t="s">
        <v>439</v>
      </c>
      <c r="S29" s="197"/>
      <c r="T29" s="196"/>
      <c r="V29" s="197" t="s">
        <v>440</v>
      </c>
      <c r="W29" s="324" t="s">
        <v>93</v>
      </c>
      <c r="X29" s="349"/>
      <c r="Y29" s="197" t="s">
        <v>56</v>
      </c>
      <c r="AA29" s="197" t="s">
        <v>350</v>
      </c>
      <c r="AD29" s="197" t="s">
        <v>441</v>
      </c>
      <c r="AF29" s="197"/>
      <c r="AG29" s="197" t="s">
        <v>350</v>
      </c>
      <c r="AH29" s="317"/>
      <c r="AI29" s="311"/>
      <c r="AJ29" s="312"/>
      <c r="AK29" s="311"/>
      <c r="AL29" s="344"/>
      <c r="AM29" s="344"/>
      <c r="AN29" s="344"/>
      <c r="AO29" s="344"/>
      <c r="AP29" s="246"/>
      <c r="AQ29" s="313">
        <f t="shared" si="2"/>
        <v>0</v>
      </c>
      <c r="AR29" s="238"/>
      <c r="AS29" s="238">
        <f t="shared" si="3"/>
        <v>0</v>
      </c>
      <c r="AT29" s="246"/>
      <c r="AU29" s="238">
        <f t="shared" si="4"/>
        <v>0</v>
      </c>
      <c r="AV29" s="238">
        <f t="shared" si="5"/>
        <v>0</v>
      </c>
      <c r="AW29" s="238">
        <f t="shared" si="7"/>
        <v>5</v>
      </c>
      <c r="AX29" s="238" t="e">
        <f t="shared" si="18"/>
        <v>#VALUE!</v>
      </c>
      <c r="AY29" s="313" t="e">
        <f>(BJ29*('Setting key Duty'!$I$8+'Setting key Duty'!$I$12))+(BH29*'Setting key Duty'!$I$9)+(BC29*('Setting key Duty'!$I$13+'Setting key Duty'!$I$9))+(BA29*('Setting key Duty'!$I$13+'Setting key Duty'!$I$12+'Setting key Duty'!$I$11))+(BE29*('Setting key Duty'!$I$8+'Setting key Duty'!$I$9+'Setting key Duty'!$I$12))</f>
        <v>#VALUE!</v>
      </c>
      <c r="AZ29" s="313">
        <f>COUNTIF(C29:Y29,"*BRT*")</f>
        <v>0</v>
      </c>
      <c r="BA29" s="313">
        <f t="shared" si="17"/>
        <v>0</v>
      </c>
      <c r="BB29" s="313" t="e">
        <f>BA29*('Setting key Duty'!$I$13+'Setting key Duty'!$I$12+'Setting key Duty'!$I$11)</f>
        <v>#VALUE!</v>
      </c>
      <c r="BC29" s="313">
        <f t="shared" si="19"/>
        <v>0</v>
      </c>
      <c r="BD29" s="313" t="e">
        <f>BC29*('Setting key Duty'!$I$13+'Setting key Duty'!$I$9)</f>
        <v>#VALUE!</v>
      </c>
      <c r="BE29" s="313">
        <f t="shared" si="20"/>
        <v>3</v>
      </c>
      <c r="BF29" s="313">
        <f>BE29*('Setting key Duty'!$I$8+'Setting key Duty'!$I$9+'Setting key Duty'!$I$12)</f>
        <v>1.6875</v>
      </c>
      <c r="BG29" s="313">
        <f t="shared" si="21"/>
        <v>0</v>
      </c>
      <c r="BH29" s="313">
        <f t="shared" si="22"/>
        <v>2</v>
      </c>
      <c r="BI29" s="313">
        <f>BH29*('Setting key Duty'!$I$9)</f>
        <v>0.25</v>
      </c>
      <c r="BJ29" s="313">
        <f t="shared" si="23"/>
        <v>0</v>
      </c>
      <c r="BK29" s="313">
        <f>BJ29*('Setting key Duty'!$I$12+'Setting key Duty'!$I$8)</f>
        <v>0</v>
      </c>
      <c r="BL29" s="313">
        <f t="shared" si="24"/>
        <v>0</v>
      </c>
      <c r="BM29" s="313">
        <f>BL29*('Setting key Duty'!$J$11+'Setting key Duty'!$I$8)</f>
        <v>0</v>
      </c>
      <c r="BN29" s="313">
        <f>COUNTIF($C29:$AG29,BN$4)</f>
        <v>0</v>
      </c>
      <c r="BO29" s="313">
        <f>COUNTIF($C29:$AG29,BO$4)</f>
        <v>2</v>
      </c>
      <c r="BP29" s="313">
        <f>COUNTIF($D29:$AD29,BP$4)</f>
        <v>0</v>
      </c>
      <c r="BQ29" s="345"/>
    </row>
    <row r="30" ht="19.5" customHeight="1" spans="1:69">
      <c r="A30" s="309"/>
      <c r="B30" s="315" t="s">
        <v>262</v>
      </c>
      <c r="C30" s="197" t="s">
        <v>71</v>
      </c>
      <c r="D30" s="197" t="s">
        <v>71</v>
      </c>
      <c r="E30" s="197" t="s">
        <v>71</v>
      </c>
      <c r="F30" s="197" t="s">
        <v>71</v>
      </c>
      <c r="G30" s="197" t="s">
        <v>71</v>
      </c>
      <c r="H30" s="197" t="s">
        <v>71</v>
      </c>
      <c r="I30" s="197" t="s">
        <v>71</v>
      </c>
      <c r="J30" s="197" t="s">
        <v>71</v>
      </c>
      <c r="K30" s="197" t="s">
        <v>71</v>
      </c>
      <c r="L30" s="197" t="s">
        <v>71</v>
      </c>
      <c r="M30" s="197" t="s">
        <v>71</v>
      </c>
      <c r="N30" s="197" t="s">
        <v>71</v>
      </c>
      <c r="O30" s="197" t="s">
        <v>71</v>
      </c>
      <c r="P30" s="197" t="s">
        <v>71</v>
      </c>
      <c r="Q30" s="197" t="s">
        <v>71</v>
      </c>
      <c r="R30" s="197" t="s">
        <v>71</v>
      </c>
      <c r="S30" s="197" t="s">
        <v>71</v>
      </c>
      <c r="T30" s="197" t="s">
        <v>71</v>
      </c>
      <c r="U30" s="197" t="s">
        <v>71</v>
      </c>
      <c r="V30" s="197" t="s">
        <v>71</v>
      </c>
      <c r="W30" s="197" t="s">
        <v>71</v>
      </c>
      <c r="X30" s="197" t="s">
        <v>71</v>
      </c>
      <c r="Y30" s="197" t="s">
        <v>71</v>
      </c>
      <c r="Z30" s="197" t="s">
        <v>71</v>
      </c>
      <c r="AA30" s="197" t="s">
        <v>71</v>
      </c>
      <c r="AB30" s="197" t="s">
        <v>71</v>
      </c>
      <c r="AC30" s="197" t="s">
        <v>71</v>
      </c>
      <c r="AD30" s="197" t="s">
        <v>71</v>
      </c>
      <c r="AE30" s="197" t="s">
        <v>71</v>
      </c>
      <c r="AF30" s="197" t="s">
        <v>71</v>
      </c>
      <c r="AG30" s="197" t="s">
        <v>71</v>
      </c>
      <c r="AH30" s="197" t="s">
        <v>71</v>
      </c>
      <c r="AI30" s="311"/>
      <c r="AJ30" s="312"/>
      <c r="AK30" s="311"/>
      <c r="AL30" s="344"/>
      <c r="AM30" s="344"/>
      <c r="AN30" s="344"/>
      <c r="AO30" s="344"/>
      <c r="AP30" s="246"/>
      <c r="AQ30" s="313">
        <f t="shared" si="2"/>
        <v>0</v>
      </c>
      <c r="AR30" s="238"/>
      <c r="AS30" s="238">
        <f t="shared" si="3"/>
        <v>0</v>
      </c>
      <c r="AT30" s="246"/>
      <c r="AU30" s="238">
        <f t="shared" si="4"/>
        <v>0</v>
      </c>
      <c r="AV30" s="238">
        <f t="shared" si="5"/>
        <v>0</v>
      </c>
      <c r="AW30" s="238">
        <f t="shared" si="7"/>
        <v>0</v>
      </c>
      <c r="AX30" s="238" t="e">
        <f t="shared" si="18"/>
        <v>#VALUE!</v>
      </c>
      <c r="AY30" s="313" t="e">
        <f>(BJ30*('Setting key Duty'!$I$8+'Setting key Duty'!$I$12))+(BH30*'Setting key Duty'!$I$9)+(BC30*('Setting key Duty'!$I$13+'Setting key Duty'!$I$9))+(BA30*('Setting key Duty'!$I$13+'Setting key Duty'!$I$12+'Setting key Duty'!$I$11))+(BE30*('Setting key Duty'!$I$8+'Setting key Duty'!$I$9+'Setting key Duty'!$I$12))</f>
        <v>#VALUE!</v>
      </c>
      <c r="AZ30" s="313">
        <f>COUNTIF(C30:Y30,"*BRT*")</f>
        <v>0</v>
      </c>
      <c r="BA30" s="313">
        <f t="shared" si="17"/>
        <v>0</v>
      </c>
      <c r="BB30" s="313" t="e">
        <f>BA30*('Setting key Duty'!$I$13+'Setting key Duty'!$I$12+'Setting key Duty'!$I$11)</f>
        <v>#VALUE!</v>
      </c>
      <c r="BC30" s="313">
        <f t="shared" si="19"/>
        <v>0</v>
      </c>
      <c r="BD30" s="313" t="e">
        <f>BC30*('Setting key Duty'!$I$13+'Setting key Duty'!$I$9)</f>
        <v>#VALUE!</v>
      </c>
      <c r="BE30" s="313">
        <f t="shared" si="20"/>
        <v>0</v>
      </c>
      <c r="BF30" s="313">
        <f>BE30*('Setting key Duty'!$I$8+'Setting key Duty'!$I$9+'Setting key Duty'!$I$12)</f>
        <v>0</v>
      </c>
      <c r="BG30" s="313">
        <f t="shared" si="21"/>
        <v>0</v>
      </c>
      <c r="BH30" s="313">
        <f t="shared" si="22"/>
        <v>0</v>
      </c>
      <c r="BI30" s="313">
        <f>BH30*('Setting key Duty'!$I$9)</f>
        <v>0</v>
      </c>
      <c r="BJ30" s="313">
        <f t="shared" si="23"/>
        <v>0</v>
      </c>
      <c r="BK30" s="313">
        <f>BJ30*('Setting key Duty'!$I$12+'Setting key Duty'!$I$8)</f>
        <v>0</v>
      </c>
      <c r="BL30" s="313">
        <f t="shared" si="24"/>
        <v>0</v>
      </c>
      <c r="BM30" s="313">
        <f>BL30*('Setting key Duty'!$J$11+'Setting key Duty'!$I$8)</f>
        <v>0</v>
      </c>
      <c r="BN30" s="313">
        <f>COUNTIF($C30:$AG30,BN$4)</f>
        <v>0</v>
      </c>
      <c r="BO30" s="313">
        <f>COUNTIF($C30:$AG30,BO$4)</f>
        <v>0</v>
      </c>
      <c r="BP30" s="313">
        <f>COUNTIF($D30:$AE30,BP$4)</f>
        <v>0</v>
      </c>
      <c r="BQ30" s="345"/>
    </row>
    <row r="31" ht="19.5" customHeight="1" spans="1:69">
      <c r="A31" s="309"/>
      <c r="B31" s="336" t="s">
        <v>442</v>
      </c>
      <c r="D31" s="197"/>
      <c r="E31" s="197"/>
      <c r="F31" s="197"/>
      <c r="G31" s="197"/>
      <c r="H31" s="197"/>
      <c r="I31" s="197"/>
      <c r="K31" s="197" t="s">
        <v>443</v>
      </c>
      <c r="L31" s="198"/>
      <c r="N31" s="196"/>
      <c r="O31" s="106"/>
      <c r="P31" s="197" t="s">
        <v>88</v>
      </c>
      <c r="Q31" s="197" t="s">
        <v>88</v>
      </c>
      <c r="R31" s="197" t="s">
        <v>88</v>
      </c>
      <c r="S31" s="197" t="s">
        <v>88</v>
      </c>
      <c r="T31" s="378"/>
      <c r="V31" s="197" t="s">
        <v>444</v>
      </c>
      <c r="X31" s="197"/>
      <c r="AA31" s="197" t="s">
        <v>58</v>
      </c>
      <c r="AB31" s="197" t="s">
        <v>445</v>
      </c>
      <c r="AE31" s="197"/>
      <c r="AF31" s="197" t="s">
        <v>446</v>
      </c>
      <c r="AI31" s="311"/>
      <c r="AJ31" s="312"/>
      <c r="AK31" s="311"/>
      <c r="AL31" s="344"/>
      <c r="AM31" s="344"/>
      <c r="AN31" s="344"/>
      <c r="AO31" s="344"/>
      <c r="AP31" s="246"/>
      <c r="AQ31" s="313">
        <f t="shared" si="2"/>
        <v>0</v>
      </c>
      <c r="AR31" s="238"/>
      <c r="AS31" s="238">
        <f t="shared" si="3"/>
        <v>0</v>
      </c>
      <c r="AT31" s="246"/>
      <c r="AU31" s="238">
        <f t="shared" si="4"/>
        <v>0</v>
      </c>
      <c r="AV31" s="238">
        <f t="shared" si="5"/>
        <v>0</v>
      </c>
      <c r="AW31" s="238">
        <f t="shared" si="7"/>
        <v>7</v>
      </c>
      <c r="AX31" s="238" t="e">
        <f t="shared" si="18"/>
        <v>#VALUE!</v>
      </c>
      <c r="AY31" s="313" t="e">
        <f>(BJ31*('Setting key Duty'!$I$8+'Setting key Duty'!$I$12))+(BH31*'Setting key Duty'!$I$9)+(BC31*('Setting key Duty'!$I$13+'Setting key Duty'!$I$9))+(BA31*('Setting key Duty'!$I$13+'Setting key Duty'!$I$12+'Setting key Duty'!$I$11))+(BE31*('Setting key Duty'!$I$8+'Setting key Duty'!$I$9+'Setting key Duty'!$I$12))</f>
        <v>#VALUE!</v>
      </c>
      <c r="AZ31" s="313">
        <f>COUNTIF(C31:X31,"*BRT*")</f>
        <v>0</v>
      </c>
      <c r="BA31" s="313">
        <f t="shared" si="17"/>
        <v>0</v>
      </c>
      <c r="BB31" s="313" t="e">
        <f>BA31*('Setting key Duty'!$I$13+'Setting key Duty'!$I$12+'Setting key Duty'!$I$11)</f>
        <v>#VALUE!</v>
      </c>
      <c r="BC31" s="313">
        <f t="shared" si="19"/>
        <v>0</v>
      </c>
      <c r="BD31" s="313" t="e">
        <f>BC31*('Setting key Duty'!$I$13+'Setting key Duty'!$I$9)</f>
        <v>#VALUE!</v>
      </c>
      <c r="BE31" s="313">
        <f t="shared" si="20"/>
        <v>2</v>
      </c>
      <c r="BF31" s="313">
        <f>BE31*('Setting key Duty'!$I$8+'Setting key Duty'!$I$9+'Setting key Duty'!$I$12)</f>
        <v>1.125</v>
      </c>
      <c r="BG31" s="313">
        <f t="shared" si="21"/>
        <v>0</v>
      </c>
      <c r="BH31" s="313">
        <f t="shared" si="22"/>
        <v>0</v>
      </c>
      <c r="BI31" s="313">
        <f>BH31*('Setting key Duty'!$I$9)</f>
        <v>0</v>
      </c>
      <c r="BJ31" s="313">
        <f t="shared" si="23"/>
        <v>0</v>
      </c>
      <c r="BK31" s="313">
        <f>BJ31*('Setting key Duty'!$I$12+'Setting key Duty'!$I$8)</f>
        <v>0</v>
      </c>
      <c r="BL31" s="313">
        <f t="shared" si="24"/>
        <v>5</v>
      </c>
      <c r="BM31" s="313">
        <f>BL31*('Setting key Duty'!$J$11+'Setting key Duty'!$I$8)</f>
        <v>0.625</v>
      </c>
      <c r="BN31" s="313">
        <f>COUNTIF($C31:$AG31,BN$4)</f>
        <v>0</v>
      </c>
      <c r="BO31" s="313">
        <f>COUNTIF($C31:$AG31,BO$4)</f>
        <v>0</v>
      </c>
      <c r="BP31" s="313">
        <f>COUNTIF($D31:$AE31,BP$4)</f>
        <v>0</v>
      </c>
      <c r="BQ31" s="345"/>
    </row>
    <row r="32" ht="19.5" customHeight="1" spans="1:69">
      <c r="A32" s="309"/>
      <c r="B32" s="346" t="s">
        <v>365</v>
      </c>
      <c r="C32" s="317"/>
      <c r="D32" s="317" t="s">
        <v>65</v>
      </c>
      <c r="E32" s="106"/>
      <c r="F32" s="197"/>
      <c r="H32" s="197" t="s">
        <v>447</v>
      </c>
      <c r="I32" s="106"/>
      <c r="J32" s="197" t="s">
        <v>448</v>
      </c>
      <c r="K32" s="324" t="s">
        <v>65</v>
      </c>
      <c r="M32" s="197"/>
      <c r="N32" s="196"/>
      <c r="O32" s="324"/>
      <c r="P32" s="197" t="s">
        <v>449</v>
      </c>
      <c r="Q32" s="197" t="s">
        <v>449</v>
      </c>
      <c r="R32" s="197" t="s">
        <v>449</v>
      </c>
      <c r="S32" s="197"/>
      <c r="U32" s="197" t="s">
        <v>449</v>
      </c>
      <c r="V32" s="197" t="s">
        <v>449</v>
      </c>
      <c r="W32" s="197" t="s">
        <v>449</v>
      </c>
      <c r="X32" s="197" t="s">
        <v>449</v>
      </c>
      <c r="Y32" s="197" t="s">
        <v>449</v>
      </c>
      <c r="Z32" s="197" t="s">
        <v>450</v>
      </c>
      <c r="AA32" s="317"/>
      <c r="AB32" s="324" t="s">
        <v>93</v>
      </c>
      <c r="AC32" s="197" t="s">
        <v>449</v>
      </c>
      <c r="AD32" s="324" t="s">
        <v>93</v>
      </c>
      <c r="AE32" s="197" t="s">
        <v>449</v>
      </c>
      <c r="AF32" s="197" t="s">
        <v>451</v>
      </c>
      <c r="AG32" s="317"/>
      <c r="AH32" s="317"/>
      <c r="AI32" s="311"/>
      <c r="AJ32" s="312"/>
      <c r="AK32" s="311"/>
      <c r="AL32" s="344"/>
      <c r="AM32" s="344"/>
      <c r="AN32" s="344"/>
      <c r="AO32" s="344"/>
      <c r="AP32" s="246"/>
      <c r="AQ32" s="313">
        <f t="shared" si="2"/>
        <v>0</v>
      </c>
      <c r="AR32" s="246"/>
      <c r="AS32" s="238">
        <f t="shared" si="3"/>
        <v>0</v>
      </c>
      <c r="AT32" s="246"/>
      <c r="AU32" s="238">
        <f t="shared" si="4"/>
        <v>0</v>
      </c>
      <c r="AV32" s="238">
        <f t="shared" si="5"/>
        <v>0</v>
      </c>
      <c r="AW32" s="238">
        <f t="shared" si="7"/>
        <v>4</v>
      </c>
      <c r="AX32" s="238" t="e">
        <f t="shared" si="18"/>
        <v>#VALUE!</v>
      </c>
      <c r="AY32" s="313" t="e">
        <f>(BJ32*('Setting key Duty'!$I$8+'Setting key Duty'!$I$12))+(BH32*'Setting key Duty'!$I$9)+(BC32*('Setting key Duty'!$I$13+'Setting key Duty'!$I$9))+(BA32*('Setting key Duty'!$I$13+'Setting key Duty'!$I$12+'Setting key Duty'!$I$11))+(BE32*('Setting key Duty'!$I$8+'Setting key Duty'!$I$9+'Setting key Duty'!$I$12))</f>
        <v>#VALUE!</v>
      </c>
      <c r="AZ32" s="313">
        <f>COUNTIF(C32:Y32,"*BRT*")</f>
        <v>0</v>
      </c>
      <c r="BA32" s="313">
        <f t="shared" si="17"/>
        <v>0</v>
      </c>
      <c r="BB32" s="313" t="e">
        <f>BA32*('Setting key Duty'!$I$13+'Setting key Duty'!$I$12+'Setting key Duty'!$I$11)</f>
        <v>#VALUE!</v>
      </c>
      <c r="BC32" s="313">
        <f t="shared" si="19"/>
        <v>0</v>
      </c>
      <c r="BD32" s="313" t="e">
        <f>BC32*('Setting key Duty'!$I$13+'Setting key Duty'!$I$9)</f>
        <v>#VALUE!</v>
      </c>
      <c r="BE32" s="313">
        <f t="shared" si="20"/>
        <v>1</v>
      </c>
      <c r="BF32" s="313">
        <f>BE32*('Setting key Duty'!$I$8+'Setting key Duty'!$I$9+'Setting key Duty'!$I$12)</f>
        <v>0.5625</v>
      </c>
      <c r="BG32" s="313">
        <f t="shared" si="21"/>
        <v>0</v>
      </c>
      <c r="BH32" s="313">
        <f t="shared" si="22"/>
        <v>0</v>
      </c>
      <c r="BI32" s="313">
        <f>BH32*('Setting key Duty'!$I$9)</f>
        <v>0</v>
      </c>
      <c r="BJ32" s="313">
        <f t="shared" si="23"/>
        <v>3</v>
      </c>
      <c r="BK32" s="313">
        <f>BJ32*('Setting key Duty'!$I$12+'Setting key Duty'!$I$8)</f>
        <v>1.3125</v>
      </c>
      <c r="BL32" s="313">
        <f t="shared" si="24"/>
        <v>0</v>
      </c>
      <c r="BM32" s="313">
        <f>BL32*('Setting key Duty'!$J$11+'Setting key Duty'!$I$8)</f>
        <v>0</v>
      </c>
      <c r="BN32" s="313">
        <f>COUNTIF($C32:$AG32,BN$4)</f>
        <v>0</v>
      </c>
      <c r="BO32" s="313">
        <f>COUNTIF($C32:$AG32,BO$4)</f>
        <v>0</v>
      </c>
      <c r="BP32" s="313"/>
      <c r="BQ32" s="345"/>
    </row>
    <row r="33" ht="19.5" customHeight="1" spans="1:69">
      <c r="A33" s="309"/>
      <c r="B33" s="347" t="s">
        <v>366</v>
      </c>
      <c r="C33" s="317"/>
      <c r="D33" s="349"/>
      <c r="E33" s="197"/>
      <c r="F33" s="106"/>
      <c r="G33" s="324" t="s">
        <v>93</v>
      </c>
      <c r="H33" s="197" t="s">
        <v>65</v>
      </c>
      <c r="I33" s="197"/>
      <c r="J33" s="197" t="s">
        <v>65</v>
      </c>
      <c r="K33" s="197"/>
      <c r="L33" s="197" t="s">
        <v>65</v>
      </c>
      <c r="M33" s="155"/>
      <c r="N33" s="196" t="s">
        <v>65</v>
      </c>
      <c r="O33" s="324" t="s">
        <v>176</v>
      </c>
      <c r="P33" s="324" t="s">
        <v>176</v>
      </c>
      <c r="Q33" s="324" t="s">
        <v>176</v>
      </c>
      <c r="R33" s="324" t="s">
        <v>176</v>
      </c>
      <c r="S33" s="197"/>
      <c r="V33" s="324" t="s">
        <v>65</v>
      </c>
      <c r="X33" s="324" t="s">
        <v>65</v>
      </c>
      <c r="Z33" s="106"/>
      <c r="AB33" s="324" t="s">
        <v>65</v>
      </c>
      <c r="AD33" s="324" t="s">
        <v>65</v>
      </c>
      <c r="AF33" s="197" t="s">
        <v>93</v>
      </c>
      <c r="AG33" s="317" t="s">
        <v>65</v>
      </c>
      <c r="AH33" s="317"/>
      <c r="AI33" s="311"/>
      <c r="AJ33" s="312"/>
      <c r="AK33" s="311"/>
      <c r="AL33" s="344"/>
      <c r="AM33" s="344"/>
      <c r="AN33" s="344"/>
      <c r="AO33" s="344"/>
      <c r="AP33" s="246"/>
      <c r="AQ33" s="313">
        <f t="shared" si="2"/>
        <v>0</v>
      </c>
      <c r="AR33" s="246"/>
      <c r="AS33" s="238">
        <f t="shared" si="3"/>
        <v>0</v>
      </c>
      <c r="AT33" s="246"/>
      <c r="AU33" s="238">
        <f t="shared" si="4"/>
        <v>0</v>
      </c>
      <c r="AV33" s="238">
        <f t="shared" si="5"/>
        <v>0</v>
      </c>
      <c r="AW33" s="238">
        <f t="shared" si="7"/>
        <v>0</v>
      </c>
      <c r="AX33" s="238" t="e">
        <f t="shared" si="18"/>
        <v>#VALUE!</v>
      </c>
      <c r="AY33" s="313" t="e">
        <f>(BJ33*('Setting key Duty'!$I$8+'Setting key Duty'!$I$12))+(BH33*'Setting key Duty'!$I$9)+(BC33*('Setting key Duty'!$I$13+'Setting key Duty'!$I$9))+(BA33*('Setting key Duty'!$I$13+'Setting key Duty'!$I$12+'Setting key Duty'!$I$11))+(BE33*('Setting key Duty'!$I$8+'Setting key Duty'!$I$9+'Setting key Duty'!$I$12))</f>
        <v>#VALUE!</v>
      </c>
      <c r="AZ33" s="313">
        <f>COUNTIF(C33:Y33,"*BRT*")</f>
        <v>0</v>
      </c>
      <c r="BA33" s="313">
        <f t="shared" si="17"/>
        <v>0</v>
      </c>
      <c r="BB33" s="313" t="e">
        <f>BA33*('Setting key Duty'!$I$13+'Setting key Duty'!$I$12+'Setting key Duty'!$I$11)</f>
        <v>#VALUE!</v>
      </c>
      <c r="BC33" s="313">
        <f t="shared" si="19"/>
        <v>0</v>
      </c>
      <c r="BD33" s="313" t="e">
        <f>BC33*('Setting key Duty'!$I$13+'Setting key Duty'!$I$9)</f>
        <v>#VALUE!</v>
      </c>
      <c r="BE33" s="313">
        <f t="shared" si="20"/>
        <v>0</v>
      </c>
      <c r="BF33" s="313">
        <f>BE33*('Setting key Duty'!$I$8+'Setting key Duty'!$I$9+'Setting key Duty'!$I$12)</f>
        <v>0</v>
      </c>
      <c r="BG33" s="313">
        <f t="shared" si="21"/>
        <v>0</v>
      </c>
      <c r="BH33" s="313">
        <f t="shared" si="22"/>
        <v>0</v>
      </c>
      <c r="BI33" s="313">
        <f>BH33*('Setting key Duty'!$I$9)</f>
        <v>0</v>
      </c>
      <c r="BJ33" s="313">
        <f t="shared" si="23"/>
        <v>0</v>
      </c>
      <c r="BK33" s="313">
        <f>BJ33*('Setting key Duty'!$I$12+'Setting key Duty'!$I$8)</f>
        <v>0</v>
      </c>
      <c r="BL33" s="313">
        <f t="shared" si="24"/>
        <v>0</v>
      </c>
      <c r="BM33" s="313">
        <f>BL33*('Setting key Duty'!$J$11+'Setting key Duty'!$I$8)</f>
        <v>0</v>
      </c>
      <c r="BN33" s="313">
        <f>COUNTIF($C33:$AH33,BN$4)</f>
        <v>0</v>
      </c>
      <c r="BO33" s="313">
        <f>COUNTIF($C33:$AH33,BO$4)</f>
        <v>0</v>
      </c>
      <c r="BP33" s="313"/>
      <c r="BQ33" s="345"/>
    </row>
    <row r="34" ht="19.5" customHeight="1" spans="1:69">
      <c r="A34" s="309"/>
      <c r="B34" s="347" t="s">
        <v>367</v>
      </c>
      <c r="C34" s="317"/>
      <c r="D34" s="317"/>
      <c r="E34" s="197" t="s">
        <v>65</v>
      </c>
      <c r="I34" s="197" t="s">
        <v>308</v>
      </c>
      <c r="K34" s="197" t="s">
        <v>104</v>
      </c>
      <c r="L34" s="324"/>
      <c r="M34" s="197"/>
      <c r="N34" s="350"/>
      <c r="O34" s="324"/>
      <c r="P34" s="197" t="s">
        <v>452</v>
      </c>
      <c r="R34" s="197" t="s">
        <v>387</v>
      </c>
      <c r="S34" s="197"/>
      <c r="T34" s="196"/>
      <c r="U34" s="197" t="s">
        <v>453</v>
      </c>
      <c r="V34" s="197" t="s">
        <v>454</v>
      </c>
      <c r="X34" s="197"/>
      <c r="Y34" s="197"/>
      <c r="AA34" s="197"/>
      <c r="AB34" s="197" t="s">
        <v>246</v>
      </c>
      <c r="AC34" s="136" t="s">
        <v>455</v>
      </c>
      <c r="AD34" s="317" t="s">
        <v>225</v>
      </c>
      <c r="AE34" s="317" t="s">
        <v>225</v>
      </c>
      <c r="AG34" s="317"/>
      <c r="AH34" s="317"/>
      <c r="AI34" s="311"/>
      <c r="AJ34" s="312"/>
      <c r="AK34" s="311"/>
      <c r="AL34" s="344"/>
      <c r="AM34" s="344"/>
      <c r="AN34" s="344"/>
      <c r="AO34" s="344"/>
      <c r="AP34" s="246"/>
      <c r="AQ34" s="313">
        <f t="shared" si="2"/>
        <v>0</v>
      </c>
      <c r="AR34" s="246"/>
      <c r="AS34" s="238">
        <f t="shared" si="3"/>
        <v>0</v>
      </c>
      <c r="AT34" s="246"/>
      <c r="AU34" s="238">
        <f t="shared" si="4"/>
        <v>0</v>
      </c>
      <c r="AV34" s="238">
        <f t="shared" si="5"/>
        <v>0</v>
      </c>
      <c r="AW34" s="238">
        <f t="shared" si="7"/>
        <v>9</v>
      </c>
      <c r="AX34" s="238" t="e">
        <f t="shared" si="18"/>
        <v>#VALUE!</v>
      </c>
      <c r="AY34" s="313" t="e">
        <f>(BJ34*('Setting key Duty'!$I$8+'Setting key Duty'!$I$12))+(BH34*'Setting key Duty'!$I$9)+(BC34*('Setting key Duty'!$I$13+'Setting key Duty'!$I$9))+(BA34*('Setting key Duty'!$I$13+'Setting key Duty'!$I$12+'Setting key Duty'!$I$11))+(BE34*('Setting key Duty'!$I$8+'Setting key Duty'!$I$9+'Setting key Duty'!$I$12))</f>
        <v>#VALUE!</v>
      </c>
      <c r="AZ34" s="313">
        <f>COUNTIF(C34:W34,"*BRT*")</f>
        <v>0</v>
      </c>
      <c r="BA34" s="313">
        <f t="shared" si="17"/>
        <v>2</v>
      </c>
      <c r="BB34" s="313" t="e">
        <f>BA34*('Setting key Duty'!$I$13+'Setting key Duty'!$I$12+'Setting key Duty'!$I$11)</f>
        <v>#VALUE!</v>
      </c>
      <c r="BC34" s="313">
        <f t="shared" si="19"/>
        <v>0</v>
      </c>
      <c r="BD34" s="313" t="e">
        <f>BC34*('Setting key Duty'!$I$13+'Setting key Duty'!$I$9)</f>
        <v>#VALUE!</v>
      </c>
      <c r="BE34" s="313">
        <f t="shared" si="20"/>
        <v>0</v>
      </c>
      <c r="BF34" s="313">
        <f>BE34*('Setting key Duty'!$I$8+'Setting key Duty'!$I$9+'Setting key Duty'!$I$12)</f>
        <v>0</v>
      </c>
      <c r="BG34" s="313">
        <f t="shared" si="21"/>
        <v>0</v>
      </c>
      <c r="BH34" s="313">
        <f t="shared" si="22"/>
        <v>1</v>
      </c>
      <c r="BI34" s="313">
        <f>BH34*('Setting key Duty'!$I$9)</f>
        <v>0.125</v>
      </c>
      <c r="BJ34" s="313">
        <f t="shared" si="23"/>
        <v>4</v>
      </c>
      <c r="BK34" s="313">
        <f>BJ34*('Setting key Duty'!$I$12+'Setting key Duty'!$I$8)</f>
        <v>1.75</v>
      </c>
      <c r="BL34" s="313">
        <f t="shared" si="24"/>
        <v>2</v>
      </c>
      <c r="BM34" s="313">
        <f>BL34*('Setting key Duty'!$J$11+'Setting key Duty'!$I$8)</f>
        <v>0.25</v>
      </c>
      <c r="BN34" s="313">
        <f t="shared" ref="BN34:BN40" si="25">COUNTIF($C34:$AG34,BN$4)</f>
        <v>0</v>
      </c>
      <c r="BO34" s="313">
        <f t="shared" ref="BO34:BO40" si="26">COUNTIF($C34:$AG34,BO$4)</f>
        <v>0</v>
      </c>
      <c r="BP34" s="313"/>
      <c r="BQ34" s="345"/>
    </row>
    <row r="35" ht="19.5" customHeight="1" spans="1:69">
      <c r="A35" s="309"/>
      <c r="B35" s="347" t="s">
        <v>368</v>
      </c>
      <c r="C35" s="317"/>
      <c r="D35" s="317"/>
      <c r="E35" s="197"/>
      <c r="F35" s="106"/>
      <c r="G35" s="106"/>
      <c r="H35" s="106"/>
      <c r="I35" s="197" t="s">
        <v>275</v>
      </c>
      <c r="J35" s="197" t="s">
        <v>308</v>
      </c>
      <c r="K35" s="197"/>
      <c r="M35" s="349"/>
      <c r="N35" s="350"/>
      <c r="O35" s="324" t="s">
        <v>176</v>
      </c>
      <c r="Q35" s="324" t="s">
        <v>176</v>
      </c>
      <c r="R35" s="197" t="s">
        <v>136</v>
      </c>
      <c r="S35" s="197"/>
      <c r="T35" s="196"/>
      <c r="V35" s="197" t="s">
        <v>456</v>
      </c>
      <c r="W35" s="197"/>
      <c r="X35" s="197" t="s">
        <v>457</v>
      </c>
      <c r="Y35" s="324" t="s">
        <v>65</v>
      </c>
      <c r="AA35" s="197"/>
      <c r="AB35" s="197" t="s">
        <v>354</v>
      </c>
      <c r="AC35" s="197" t="s">
        <v>458</v>
      </c>
      <c r="AD35" s="1" t="s">
        <v>55</v>
      </c>
      <c r="AE35" s="1" t="s">
        <v>55</v>
      </c>
      <c r="AF35" s="1" t="s">
        <v>459</v>
      </c>
      <c r="AG35" s="317"/>
      <c r="AH35" s="317"/>
      <c r="AI35" s="311"/>
      <c r="AJ35" s="312"/>
      <c r="AK35" s="311"/>
      <c r="AL35" s="344"/>
      <c r="AM35" s="344"/>
      <c r="AN35" s="344"/>
      <c r="AO35" s="344"/>
      <c r="AP35" s="246"/>
      <c r="AQ35" s="313">
        <f t="shared" si="2"/>
        <v>0</v>
      </c>
      <c r="AR35" s="246"/>
      <c r="AS35" s="238">
        <f t="shared" si="3"/>
        <v>0</v>
      </c>
      <c r="AT35" s="246"/>
      <c r="AU35" s="238">
        <f t="shared" si="4"/>
        <v>0</v>
      </c>
      <c r="AV35" s="238">
        <f t="shared" si="5"/>
        <v>0</v>
      </c>
      <c r="AW35" s="238">
        <f t="shared" si="7"/>
        <v>7</v>
      </c>
      <c r="AX35" s="238" t="e">
        <f t="shared" si="18"/>
        <v>#VALUE!</v>
      </c>
      <c r="AY35" s="313" t="e">
        <f>(BJ35*('Setting key Duty'!$I$8+'Setting key Duty'!$I$12))+(BH35*'Setting key Duty'!$I$9)+(BC35*('Setting key Duty'!$I$13+'Setting key Duty'!$I$9))+(BA35*('Setting key Duty'!$I$13+'Setting key Duty'!$I$12+'Setting key Duty'!$I$11))+(BE35*('Setting key Duty'!$I$8+'Setting key Duty'!$I$9+'Setting key Duty'!$I$12))</f>
        <v>#VALUE!</v>
      </c>
      <c r="AZ35" s="313">
        <f t="shared" ref="AZ35:AZ40" si="27">COUNTIF(C35:Y35,"*BRT*")</f>
        <v>0</v>
      </c>
      <c r="BA35" s="313">
        <f t="shared" si="17"/>
        <v>1</v>
      </c>
      <c r="BB35" s="313" t="e">
        <f>BA35*('Setting key Duty'!$I$13+'Setting key Duty'!$I$12+'Setting key Duty'!$I$11)</f>
        <v>#VALUE!</v>
      </c>
      <c r="BC35" s="313">
        <f t="shared" si="19"/>
        <v>0</v>
      </c>
      <c r="BD35" s="313" t="e">
        <f>BC35*('Setting key Duty'!$I$13+'Setting key Duty'!$I$9)</f>
        <v>#VALUE!</v>
      </c>
      <c r="BE35" s="313">
        <f t="shared" si="20"/>
        <v>3</v>
      </c>
      <c r="BF35" s="313">
        <f>BE35*('Setting key Duty'!$I$8+'Setting key Duty'!$I$9+'Setting key Duty'!$I$12)</f>
        <v>1.6875</v>
      </c>
      <c r="BG35" s="313">
        <f t="shared" si="21"/>
        <v>0</v>
      </c>
      <c r="BH35" s="313">
        <f t="shared" si="22"/>
        <v>0</v>
      </c>
      <c r="BI35" s="313">
        <f>BH35*('Setting key Duty'!$I$9)</f>
        <v>0</v>
      </c>
      <c r="BJ35" s="313">
        <f t="shared" si="23"/>
        <v>3</v>
      </c>
      <c r="BK35" s="313">
        <f>BJ35*('Setting key Duty'!$I$12+'Setting key Duty'!$I$8)</f>
        <v>1.3125</v>
      </c>
      <c r="BL35" s="313">
        <f t="shared" si="24"/>
        <v>0</v>
      </c>
      <c r="BM35" s="313">
        <f>BL35*('Setting key Duty'!$J$11+'Setting key Duty'!$I$8)</f>
        <v>0</v>
      </c>
      <c r="BN35" s="313">
        <f t="shared" si="25"/>
        <v>0</v>
      </c>
      <c r="BO35" s="313">
        <f t="shared" si="26"/>
        <v>0</v>
      </c>
      <c r="BP35" s="313"/>
      <c r="BQ35" s="345"/>
    </row>
    <row r="36" ht="19.5" customHeight="1" spans="1:69">
      <c r="A36" s="309"/>
      <c r="B36" s="347" t="s">
        <v>369</v>
      </c>
      <c r="C36" s="317"/>
      <c r="D36" s="317"/>
      <c r="E36" s="197"/>
      <c r="F36" s="197" t="s">
        <v>95</v>
      </c>
      <c r="G36" s="197" t="s">
        <v>95</v>
      </c>
      <c r="H36" s="197" t="s">
        <v>95</v>
      </c>
      <c r="I36" s="197" t="s">
        <v>95</v>
      </c>
      <c r="J36" s="197" t="s">
        <v>95</v>
      </c>
      <c r="M36" s="317"/>
      <c r="N36" s="350"/>
      <c r="O36" s="324"/>
      <c r="Q36" s="197" t="s">
        <v>354</v>
      </c>
      <c r="R36" s="197" t="s">
        <v>460</v>
      </c>
      <c r="S36" s="197"/>
      <c r="T36" s="196"/>
      <c r="U36" s="197" t="s">
        <v>454</v>
      </c>
      <c r="W36" s="197" t="s">
        <v>461</v>
      </c>
      <c r="X36" s="197" t="s">
        <v>462</v>
      </c>
      <c r="AA36" s="197"/>
      <c r="AB36" s="197" t="s">
        <v>463</v>
      </c>
      <c r="AF36" s="317"/>
      <c r="AG36" s="317"/>
      <c r="AI36" s="311"/>
      <c r="AJ36" s="312"/>
      <c r="AK36" s="311"/>
      <c r="AL36" s="344"/>
      <c r="AM36" s="344"/>
      <c r="AN36" s="344"/>
      <c r="AO36" s="344"/>
      <c r="AP36" s="246"/>
      <c r="AQ36" s="313">
        <f t="shared" si="2"/>
        <v>0</v>
      </c>
      <c r="AR36" s="246"/>
      <c r="AS36" s="238">
        <f t="shared" si="3"/>
        <v>0</v>
      </c>
      <c r="AT36" s="246"/>
      <c r="AU36" s="238">
        <f t="shared" si="4"/>
        <v>0</v>
      </c>
      <c r="AV36" s="238">
        <f t="shared" si="5"/>
        <v>0</v>
      </c>
      <c r="AW36" s="238">
        <f t="shared" si="7"/>
        <v>11</v>
      </c>
      <c r="AX36" s="238" t="e">
        <f t="shared" si="18"/>
        <v>#VALUE!</v>
      </c>
      <c r="AY36" s="313" t="e">
        <f>(BJ36*('Setting key Duty'!$I$8+'Setting key Duty'!$I$12))+(BH36*'Setting key Duty'!$I$9)+(BC36*('Setting key Duty'!$I$13+'Setting key Duty'!$I$9))+(BA36*('Setting key Duty'!$I$13+'Setting key Duty'!$I$12+'Setting key Duty'!$I$11))+(BE36*('Setting key Duty'!$I$8+'Setting key Duty'!$I$9+'Setting key Duty'!$I$12))</f>
        <v>#VALUE!</v>
      </c>
      <c r="AZ36" s="313">
        <f t="shared" si="27"/>
        <v>0</v>
      </c>
      <c r="BA36" s="313">
        <f t="shared" si="17"/>
        <v>2</v>
      </c>
      <c r="BB36" s="313" t="e">
        <f>BA36*('Setting key Duty'!$I$13+'Setting key Duty'!$I$12+'Setting key Duty'!$I$11)</f>
        <v>#VALUE!</v>
      </c>
      <c r="BC36" s="313">
        <f t="shared" si="19"/>
        <v>0</v>
      </c>
      <c r="BD36" s="313" t="e">
        <f>BC36*('Setting key Duty'!$I$13+'Setting key Duty'!$I$9)</f>
        <v>#VALUE!</v>
      </c>
      <c r="BE36" s="313">
        <f t="shared" si="20"/>
        <v>0</v>
      </c>
      <c r="BF36" s="313">
        <f>BE36*('Setting key Duty'!$I$8+'Setting key Duty'!$I$9+'Setting key Duty'!$I$12)</f>
        <v>0</v>
      </c>
      <c r="BG36" s="313">
        <f t="shared" si="21"/>
        <v>0</v>
      </c>
      <c r="BH36" s="313">
        <f t="shared" si="22"/>
        <v>0</v>
      </c>
      <c r="BI36" s="313">
        <f>BH36*('Setting key Duty'!$I$9)</f>
        <v>0</v>
      </c>
      <c r="BJ36" s="313">
        <f t="shared" si="23"/>
        <v>2</v>
      </c>
      <c r="BK36" s="313">
        <f>BJ36*('Setting key Duty'!$I$12+'Setting key Duty'!$I$8)</f>
        <v>0.875</v>
      </c>
      <c r="BL36" s="313">
        <f t="shared" si="24"/>
        <v>7</v>
      </c>
      <c r="BM36" s="313">
        <f>BL36*('Setting key Duty'!$J$11+'Setting key Duty'!$I$8)</f>
        <v>0.875</v>
      </c>
      <c r="BN36" s="313">
        <f t="shared" si="25"/>
        <v>0</v>
      </c>
      <c r="BO36" s="313">
        <f t="shared" si="26"/>
        <v>0</v>
      </c>
      <c r="BP36" s="313"/>
      <c r="BQ36" s="345"/>
    </row>
    <row r="37" ht="19.5" customHeight="1" spans="1:69">
      <c r="A37" s="309"/>
      <c r="B37" s="347" t="s">
        <v>370</v>
      </c>
      <c r="C37" s="317"/>
      <c r="D37" s="317" t="s">
        <v>464</v>
      </c>
      <c r="E37" s="197"/>
      <c r="F37" s="197" t="s">
        <v>65</v>
      </c>
      <c r="G37" s="197"/>
      <c r="H37" s="106"/>
      <c r="I37" s="349" t="s">
        <v>65</v>
      </c>
      <c r="K37" s="324" t="s">
        <v>93</v>
      </c>
      <c r="N37" s="350"/>
      <c r="O37" s="197" t="s">
        <v>65</v>
      </c>
      <c r="Q37" s="324" t="s">
        <v>93</v>
      </c>
      <c r="R37" s="317" t="s">
        <v>65</v>
      </c>
      <c r="S37" s="197"/>
      <c r="U37" s="324" t="s">
        <v>65</v>
      </c>
      <c r="V37" s="197" t="s">
        <v>421</v>
      </c>
      <c r="X37" s="324" t="s">
        <v>93</v>
      </c>
      <c r="Y37" s="106"/>
      <c r="Z37" s="197" t="s">
        <v>58</v>
      </c>
      <c r="AA37" s="106"/>
      <c r="AC37" s="324" t="s">
        <v>65</v>
      </c>
      <c r="AE37" s="317" t="s">
        <v>65</v>
      </c>
      <c r="AF37" s="1" t="s">
        <v>446</v>
      </c>
      <c r="AG37" s="317"/>
      <c r="AH37" s="317"/>
      <c r="AI37" s="311"/>
      <c r="AJ37" s="312"/>
      <c r="AK37" s="311"/>
      <c r="AL37" s="344"/>
      <c r="AM37" s="344"/>
      <c r="AN37" s="344"/>
      <c r="AO37" s="344"/>
      <c r="AP37" s="246"/>
      <c r="AQ37" s="313">
        <f t="shared" si="2"/>
        <v>0</v>
      </c>
      <c r="AR37" s="246"/>
      <c r="AS37" s="238">
        <f t="shared" si="3"/>
        <v>0</v>
      </c>
      <c r="AT37" s="246"/>
      <c r="AU37" s="238">
        <f t="shared" si="4"/>
        <v>0</v>
      </c>
      <c r="AV37" s="238">
        <f t="shared" si="5"/>
        <v>0</v>
      </c>
      <c r="AW37" s="238">
        <f t="shared" si="7"/>
        <v>0</v>
      </c>
      <c r="AX37" s="238" t="e">
        <f t="shared" si="18"/>
        <v>#VALUE!</v>
      </c>
      <c r="AY37" s="313" t="e">
        <f>(BJ37*('Setting key Duty'!$I$8+'Setting key Duty'!$I$12))+(BH37*'Setting key Duty'!$I$9)+(BC37*('Setting key Duty'!$I$13+'Setting key Duty'!$I$9))+(BA37*('Setting key Duty'!$I$13+'Setting key Duty'!$I$12+'Setting key Duty'!$I$11))+(BE37*('Setting key Duty'!$I$8+'Setting key Duty'!$I$9+'Setting key Duty'!$I$12))</f>
        <v>#VALUE!</v>
      </c>
      <c r="AZ37" s="313">
        <f t="shared" si="27"/>
        <v>0</v>
      </c>
      <c r="BA37" s="313">
        <f t="shared" si="17"/>
        <v>0</v>
      </c>
      <c r="BB37" s="313" t="e">
        <f>BA37*('Setting key Duty'!$I$13+'Setting key Duty'!$I$12+'Setting key Duty'!$I$11)</f>
        <v>#VALUE!</v>
      </c>
      <c r="BC37" s="313">
        <f t="shared" si="19"/>
        <v>0</v>
      </c>
      <c r="BD37" s="313" t="e">
        <f>BC37*('Setting key Duty'!$I$13+'Setting key Duty'!$I$9)</f>
        <v>#VALUE!</v>
      </c>
      <c r="BE37" s="313">
        <f t="shared" si="20"/>
        <v>0</v>
      </c>
      <c r="BF37" s="313">
        <f>BE37*('Setting key Duty'!$I$8+'Setting key Duty'!$I$9+'Setting key Duty'!$I$12)</f>
        <v>0</v>
      </c>
      <c r="BG37" s="313">
        <f t="shared" si="21"/>
        <v>0</v>
      </c>
      <c r="BH37" s="313">
        <f t="shared" si="22"/>
        <v>0</v>
      </c>
      <c r="BI37" s="313">
        <f>BH37*('Setting key Duty'!$I$9)</f>
        <v>0</v>
      </c>
      <c r="BJ37" s="313">
        <f t="shared" si="23"/>
        <v>0</v>
      </c>
      <c r="BK37" s="313">
        <f>BJ37*('Setting key Duty'!$I$12+'Setting key Duty'!$I$8)</f>
        <v>0</v>
      </c>
      <c r="BL37" s="313">
        <f t="shared" si="24"/>
        <v>0</v>
      </c>
      <c r="BM37" s="313">
        <f>BL37*('Setting key Duty'!$J$11+'Setting key Duty'!$I$8)</f>
        <v>0</v>
      </c>
      <c r="BN37" s="313">
        <f t="shared" si="25"/>
        <v>0</v>
      </c>
      <c r="BO37" s="313">
        <f t="shared" si="26"/>
        <v>0</v>
      </c>
      <c r="BP37" s="313"/>
      <c r="BQ37" s="345"/>
    </row>
    <row r="38" ht="19.5" customHeight="1" spans="1:69">
      <c r="A38" s="309"/>
      <c r="B38" s="347" t="s">
        <v>371</v>
      </c>
      <c r="C38" s="317" t="s">
        <v>409</v>
      </c>
      <c r="D38" s="350" t="s">
        <v>409</v>
      </c>
      <c r="E38" s="350" t="s">
        <v>409</v>
      </c>
      <c r="F38" s="350" t="s">
        <v>409</v>
      </c>
      <c r="G38" s="350" t="s">
        <v>409</v>
      </c>
      <c r="H38" s="350" t="s">
        <v>409</v>
      </c>
      <c r="I38" s="350" t="s">
        <v>409</v>
      </c>
      <c r="J38" s="350" t="s">
        <v>409</v>
      </c>
      <c r="K38" s="350" t="s">
        <v>409</v>
      </c>
      <c r="L38" s="350" t="s">
        <v>409</v>
      </c>
      <c r="M38" s="350" t="s">
        <v>409</v>
      </c>
      <c r="N38" s="350" t="s">
        <v>409</v>
      </c>
      <c r="O38" s="350" t="s">
        <v>409</v>
      </c>
      <c r="P38" s="350" t="s">
        <v>409</v>
      </c>
      <c r="Q38" s="350" t="s">
        <v>409</v>
      </c>
      <c r="R38" s="350" t="s">
        <v>409</v>
      </c>
      <c r="S38" s="350" t="s">
        <v>409</v>
      </c>
      <c r="T38" s="350" t="s">
        <v>409</v>
      </c>
      <c r="U38" s="350" t="s">
        <v>409</v>
      </c>
      <c r="V38" s="350" t="s">
        <v>409</v>
      </c>
      <c r="W38" s="350" t="s">
        <v>409</v>
      </c>
      <c r="X38" s="350" t="s">
        <v>409</v>
      </c>
      <c r="Y38" s="350" t="s">
        <v>409</v>
      </c>
      <c r="Z38" s="350" t="s">
        <v>409</v>
      </c>
      <c r="AA38" s="350" t="s">
        <v>409</v>
      </c>
      <c r="AB38" s="350" t="s">
        <v>409</v>
      </c>
      <c r="AC38" s="350" t="s">
        <v>409</v>
      </c>
      <c r="AD38" s="350" t="s">
        <v>409</v>
      </c>
      <c r="AE38" s="350" t="s">
        <v>409</v>
      </c>
      <c r="AF38" s="350" t="s">
        <v>409</v>
      </c>
      <c r="AG38" s="350" t="s">
        <v>409</v>
      </c>
      <c r="AH38" s="350" t="s">
        <v>409</v>
      </c>
      <c r="AI38" s="311"/>
      <c r="AJ38" s="312"/>
      <c r="AK38" s="311"/>
      <c r="AL38" s="344"/>
      <c r="AM38" s="344"/>
      <c r="AN38" s="344"/>
      <c r="AO38" s="344"/>
      <c r="AP38" s="246"/>
      <c r="AQ38" s="313">
        <f t="shared" si="2"/>
        <v>0</v>
      </c>
      <c r="AR38" s="246"/>
      <c r="AS38" s="238">
        <f t="shared" si="3"/>
        <v>0</v>
      </c>
      <c r="AT38" s="246"/>
      <c r="AU38" s="238">
        <f t="shared" si="4"/>
        <v>0</v>
      </c>
      <c r="AV38" s="238">
        <f t="shared" si="5"/>
        <v>0</v>
      </c>
      <c r="AW38" s="238">
        <f t="shared" si="7"/>
        <v>0</v>
      </c>
      <c r="AX38" s="238" t="e">
        <f t="shared" si="18"/>
        <v>#VALUE!</v>
      </c>
      <c r="AY38" s="313" t="e">
        <f>(BJ38*('Setting key Duty'!$I$8+'Setting key Duty'!$I$12))+(BH38*'Setting key Duty'!$I$9)+(BC38*('Setting key Duty'!$I$13+'Setting key Duty'!$I$9))+(BA38*('Setting key Duty'!$I$13+'Setting key Duty'!$I$12+'Setting key Duty'!$I$11))+(BE38*('Setting key Duty'!$I$8+'Setting key Duty'!$I$9+'Setting key Duty'!$I$12))</f>
        <v>#VALUE!</v>
      </c>
      <c r="AZ38" s="313">
        <f t="shared" si="27"/>
        <v>0</v>
      </c>
      <c r="BA38" s="313">
        <f t="shared" si="17"/>
        <v>0</v>
      </c>
      <c r="BB38" s="313" t="e">
        <f>BA38*('Setting key Duty'!$I$13+'Setting key Duty'!$I$12+'Setting key Duty'!$I$11)</f>
        <v>#VALUE!</v>
      </c>
      <c r="BC38" s="313">
        <f t="shared" si="19"/>
        <v>0</v>
      </c>
      <c r="BD38" s="313" t="e">
        <f>BC38*('Setting key Duty'!$I$13+'Setting key Duty'!$I$9)</f>
        <v>#VALUE!</v>
      </c>
      <c r="BE38" s="313">
        <f t="shared" si="20"/>
        <v>0</v>
      </c>
      <c r="BF38" s="313">
        <f>BE38*('Setting key Duty'!$I$8+'Setting key Duty'!$I$9+'Setting key Duty'!$I$12)</f>
        <v>0</v>
      </c>
      <c r="BG38" s="313">
        <f t="shared" si="21"/>
        <v>0</v>
      </c>
      <c r="BH38" s="313">
        <f t="shared" si="22"/>
        <v>0</v>
      </c>
      <c r="BI38" s="313">
        <f>BH38*('Setting key Duty'!$I$9)</f>
        <v>0</v>
      </c>
      <c r="BJ38" s="313">
        <f t="shared" si="23"/>
        <v>0</v>
      </c>
      <c r="BK38" s="313">
        <f>BJ38*('Setting key Duty'!$I$12+'Setting key Duty'!$I$8)</f>
        <v>0</v>
      </c>
      <c r="BL38" s="313">
        <f t="shared" si="24"/>
        <v>0</v>
      </c>
      <c r="BM38" s="313">
        <f>BL38*('Setting key Duty'!$J$11+'Setting key Duty'!$I$8)</f>
        <v>0</v>
      </c>
      <c r="BN38" s="313">
        <f t="shared" si="25"/>
        <v>0</v>
      </c>
      <c r="BO38" s="313">
        <f t="shared" si="26"/>
        <v>0</v>
      </c>
      <c r="BP38" s="313"/>
      <c r="BQ38" s="345"/>
    </row>
    <row r="39" ht="19.5" customHeight="1" spans="1:69">
      <c r="A39" s="309"/>
      <c r="B39" s="347" t="s">
        <v>410</v>
      </c>
      <c r="C39" s="350"/>
      <c r="D39" s="324" t="s">
        <v>93</v>
      </c>
      <c r="E39" s="317"/>
      <c r="F39" s="4"/>
      <c r="G39" s="324" t="s">
        <v>65</v>
      </c>
      <c r="H39" s="106"/>
      <c r="I39" s="324" t="s">
        <v>93</v>
      </c>
      <c r="J39" s="317" t="s">
        <v>69</v>
      </c>
      <c r="L39" s="324"/>
      <c r="M39" s="317" t="s">
        <v>65</v>
      </c>
      <c r="N39" s="350"/>
      <c r="O39" s="324" t="s">
        <v>93</v>
      </c>
      <c r="Q39" s="324" t="s">
        <v>65</v>
      </c>
      <c r="R39" s="197"/>
      <c r="S39" s="197"/>
      <c r="T39" s="197" t="s">
        <v>65</v>
      </c>
      <c r="U39" s="324" t="s">
        <v>93</v>
      </c>
      <c r="V39" s="324" t="s">
        <v>93</v>
      </c>
      <c r="W39" s="324" t="s">
        <v>65</v>
      </c>
      <c r="Y39" s="324" t="s">
        <v>93</v>
      </c>
      <c r="Z39" s="321"/>
      <c r="AA39" s="197" t="s">
        <v>65</v>
      </c>
      <c r="AC39" s="324" t="s">
        <v>93</v>
      </c>
      <c r="AE39" s="324" t="s">
        <v>93</v>
      </c>
      <c r="AF39" s="324" t="s">
        <v>65</v>
      </c>
      <c r="AG39" s="350"/>
      <c r="AH39" s="197"/>
      <c r="AI39" s="311"/>
      <c r="AJ39" s="312"/>
      <c r="AK39" s="311"/>
      <c r="AL39" s="344"/>
      <c r="AM39" s="344"/>
      <c r="AN39" s="344"/>
      <c r="AO39" s="344"/>
      <c r="AP39" s="246"/>
      <c r="AQ39" s="313">
        <f t="shared" si="2"/>
        <v>0</v>
      </c>
      <c r="AR39" s="246"/>
      <c r="AS39" s="238">
        <f t="shared" si="3"/>
        <v>0</v>
      </c>
      <c r="AT39" s="246"/>
      <c r="AU39" s="238">
        <f t="shared" si="4"/>
        <v>0</v>
      </c>
      <c r="AV39" s="238">
        <f t="shared" si="5"/>
        <v>0</v>
      </c>
      <c r="AW39" s="238">
        <f t="shared" si="7"/>
        <v>0</v>
      </c>
      <c r="AX39" s="238" t="e">
        <f t="shared" si="18"/>
        <v>#VALUE!</v>
      </c>
      <c r="AY39" s="313" t="e">
        <f>(BJ39*('Setting key Duty'!$I$8+'Setting key Duty'!$I$12))+(BH39*'Setting key Duty'!$I$9)+(BC39*('Setting key Duty'!$I$13+'Setting key Duty'!$I$9))+(BA39*('Setting key Duty'!$I$13+'Setting key Duty'!$I$12+'Setting key Duty'!$I$11))+(BE39*('Setting key Duty'!$I$8+'Setting key Duty'!$I$9+'Setting key Duty'!$I$12))</f>
        <v>#VALUE!</v>
      </c>
      <c r="AZ39" s="313">
        <f t="shared" si="27"/>
        <v>0</v>
      </c>
      <c r="BA39" s="313">
        <f t="shared" si="17"/>
        <v>0</v>
      </c>
      <c r="BB39" s="313" t="e">
        <f>BA39*('Setting key Duty'!$I$13+'Setting key Duty'!$I$12+'Setting key Duty'!$I$11)</f>
        <v>#VALUE!</v>
      </c>
      <c r="BC39" s="313">
        <f t="shared" si="19"/>
        <v>0</v>
      </c>
      <c r="BD39" s="313" t="e">
        <f>BC39*('Setting key Duty'!$I$13+'Setting key Duty'!$I$9)</f>
        <v>#VALUE!</v>
      </c>
      <c r="BE39" s="313">
        <f t="shared" si="20"/>
        <v>0</v>
      </c>
      <c r="BF39" s="313">
        <f>BE39*('Setting key Duty'!$I$8+'Setting key Duty'!$I$9+'Setting key Duty'!$I$12)</f>
        <v>0</v>
      </c>
      <c r="BG39" s="313">
        <f t="shared" si="21"/>
        <v>0</v>
      </c>
      <c r="BH39" s="313">
        <f t="shared" si="22"/>
        <v>0</v>
      </c>
      <c r="BI39" s="313">
        <f>BH39*('Setting key Duty'!$I$9)</f>
        <v>0</v>
      </c>
      <c r="BJ39" s="313">
        <f t="shared" si="23"/>
        <v>0</v>
      </c>
      <c r="BK39" s="313">
        <f>BJ39*('Setting key Duty'!$I$12+'Setting key Duty'!$I$8)</f>
        <v>0</v>
      </c>
      <c r="BL39" s="313">
        <f t="shared" si="24"/>
        <v>0</v>
      </c>
      <c r="BM39" s="313">
        <f>BL39*('Setting key Duty'!$J$11+'Setting key Duty'!$I$8)</f>
        <v>0</v>
      </c>
      <c r="BN39" s="313">
        <f t="shared" si="25"/>
        <v>0</v>
      </c>
      <c r="BO39" s="313">
        <f t="shared" si="26"/>
        <v>0</v>
      </c>
      <c r="BP39" s="313"/>
      <c r="BQ39" s="345"/>
    </row>
    <row r="40" ht="19.5" customHeight="1" spans="1:69">
      <c r="A40" s="309"/>
      <c r="B40" s="354"/>
      <c r="C40" s="350"/>
      <c r="D40" s="317"/>
      <c r="E40" s="106"/>
      <c r="F40" s="106"/>
      <c r="G40" s="106"/>
      <c r="H40" s="106"/>
      <c r="I40" s="106"/>
      <c r="J40" s="317"/>
      <c r="K40" s="324"/>
      <c r="L40" s="324"/>
      <c r="M40" s="155"/>
      <c r="N40" s="350"/>
      <c r="O40" s="324"/>
      <c r="P40" s="317"/>
      <c r="Q40" s="106"/>
      <c r="R40" s="106"/>
      <c r="S40" s="106"/>
      <c r="T40" s="350"/>
      <c r="U40" s="106"/>
      <c r="V40" s="317"/>
      <c r="W40" s="106"/>
      <c r="X40" s="317"/>
      <c r="Y40" s="106"/>
      <c r="Z40" s="106"/>
      <c r="AA40" s="106"/>
      <c r="AB40" s="106"/>
      <c r="AC40" s="106"/>
      <c r="AD40" s="317"/>
      <c r="AE40" s="317"/>
      <c r="AF40" s="317"/>
      <c r="AG40" s="350"/>
      <c r="AH40" s="317"/>
      <c r="AI40" s="311"/>
      <c r="AJ40" s="312"/>
      <c r="AK40" s="311"/>
      <c r="AL40" s="344"/>
      <c r="AM40" s="344"/>
      <c r="AN40" s="344"/>
      <c r="AO40" s="344"/>
      <c r="AP40" s="246"/>
      <c r="AQ40" s="313">
        <f t="shared" si="2"/>
        <v>0</v>
      </c>
      <c r="AR40" s="246"/>
      <c r="AS40" s="238">
        <f t="shared" si="3"/>
        <v>0</v>
      </c>
      <c r="AT40" s="246"/>
      <c r="AU40" s="238">
        <f t="shared" si="4"/>
        <v>0</v>
      </c>
      <c r="AV40" s="238">
        <f t="shared" si="5"/>
        <v>0</v>
      </c>
      <c r="AW40" s="238">
        <f t="shared" si="7"/>
        <v>0</v>
      </c>
      <c r="AX40" s="238" t="e">
        <f t="shared" si="18"/>
        <v>#VALUE!</v>
      </c>
      <c r="AY40" s="313" t="e">
        <f>(BJ40*('Setting key Duty'!$I$8+'Setting key Duty'!$I$12))+(BH40*'Setting key Duty'!$I$9)+(BC40*('Setting key Duty'!$I$13+'Setting key Duty'!$I$9))+(BA40*('Setting key Duty'!$I$13+'Setting key Duty'!$I$12+'Setting key Duty'!$I$11))+(BE40*('Setting key Duty'!$I$8+'Setting key Duty'!$I$9+'Setting key Duty'!$I$12))</f>
        <v>#VALUE!</v>
      </c>
      <c r="AZ40" s="313">
        <f t="shared" si="27"/>
        <v>0</v>
      </c>
      <c r="BA40" s="313">
        <f t="shared" si="17"/>
        <v>0</v>
      </c>
      <c r="BB40" s="313" t="e">
        <f>BA40*('Setting key Duty'!$I$13+'Setting key Duty'!$I$12+'Setting key Duty'!$I$11)</f>
        <v>#VALUE!</v>
      </c>
      <c r="BC40" s="313">
        <f t="shared" si="19"/>
        <v>0</v>
      </c>
      <c r="BD40" s="313" t="e">
        <f>BC40*('Setting key Duty'!$I$13+'Setting key Duty'!$I$9)</f>
        <v>#VALUE!</v>
      </c>
      <c r="BE40" s="313">
        <f t="shared" si="20"/>
        <v>0</v>
      </c>
      <c r="BF40" s="313">
        <f>BE40*('Setting key Duty'!$I$8+'Setting key Duty'!$I$9+'Setting key Duty'!$I$12)</f>
        <v>0</v>
      </c>
      <c r="BG40" s="313">
        <f t="shared" si="21"/>
        <v>0</v>
      </c>
      <c r="BH40" s="313">
        <f t="shared" si="22"/>
        <v>0</v>
      </c>
      <c r="BI40" s="313">
        <f>BH40*('Setting key Duty'!$I$9)</f>
        <v>0</v>
      </c>
      <c r="BJ40" s="313">
        <f t="shared" si="23"/>
        <v>0</v>
      </c>
      <c r="BK40" s="313">
        <f>BJ40*('Setting key Duty'!$I$12+'Setting key Duty'!$I$8)</f>
        <v>0</v>
      </c>
      <c r="BL40" s="313">
        <f t="shared" si="24"/>
        <v>0</v>
      </c>
      <c r="BM40" s="313">
        <f>BL40*('Setting key Duty'!$J$11+'Setting key Duty'!$I$8)</f>
        <v>0</v>
      </c>
      <c r="BN40" s="313">
        <f t="shared" si="25"/>
        <v>0</v>
      </c>
      <c r="BO40" s="313">
        <f t="shared" si="26"/>
        <v>0</v>
      </c>
      <c r="BP40" s="313"/>
      <c r="BQ40" s="345"/>
    </row>
    <row r="41" ht="19.5" customHeight="1" spans="1:69">
      <c r="A41" s="309"/>
      <c r="B41" s="354" t="s">
        <v>148</v>
      </c>
      <c r="C41" s="355"/>
      <c r="D41" s="317"/>
      <c r="E41" s="317"/>
      <c r="F41" s="317"/>
      <c r="G41" s="317"/>
      <c r="H41" s="317"/>
      <c r="I41" s="317"/>
      <c r="J41" s="317"/>
      <c r="K41" s="317"/>
      <c r="L41" s="317"/>
      <c r="N41" s="350"/>
      <c r="O41" s="317"/>
      <c r="P41" s="317"/>
      <c r="Q41" s="106"/>
      <c r="R41" s="106"/>
      <c r="S41" s="317"/>
      <c r="T41" s="350"/>
      <c r="U41" s="198"/>
      <c r="V41" s="317"/>
      <c r="W41" s="317"/>
      <c r="X41" s="317"/>
      <c r="Y41" s="356"/>
      <c r="Z41" s="356"/>
      <c r="AA41" s="356"/>
      <c r="AB41" s="356"/>
      <c r="AC41" s="356"/>
      <c r="AD41" s="356"/>
      <c r="AE41" s="317"/>
      <c r="AF41" s="317"/>
      <c r="AG41" s="350"/>
      <c r="AH41" s="317"/>
      <c r="AI41" s="311">
        <f t="shared" ref="AI41:AO41" si="28">COUNTIF($C41:$AG41,AI$4)</f>
        <v>0</v>
      </c>
      <c r="AJ41" s="312">
        <f t="shared" si="28"/>
        <v>0</v>
      </c>
      <c r="AK41" s="311">
        <f t="shared" si="28"/>
        <v>0</v>
      </c>
      <c r="AL41" s="344">
        <f t="shared" si="28"/>
        <v>0</v>
      </c>
      <c r="AM41" s="344">
        <f t="shared" si="28"/>
        <v>0</v>
      </c>
      <c r="AN41" s="344">
        <f t="shared" si="28"/>
        <v>0</v>
      </c>
      <c r="AO41" s="344">
        <f t="shared" si="28"/>
        <v>0</v>
      </c>
      <c r="AP41" s="246"/>
      <c r="AQ41" s="313"/>
      <c r="AR41" s="246"/>
      <c r="AS41" s="238"/>
      <c r="AT41" s="246"/>
      <c r="AU41" s="246"/>
      <c r="AV41" s="238"/>
      <c r="AW41" s="238"/>
      <c r="AX41" s="238"/>
      <c r="AY41" s="313"/>
      <c r="AZ41" s="313"/>
      <c r="BA41" s="313"/>
      <c r="BB41" s="313"/>
      <c r="BC41" s="313"/>
      <c r="BD41" s="313"/>
      <c r="BE41" s="313"/>
      <c r="BF41" s="313"/>
      <c r="BG41" s="313"/>
      <c r="BH41" s="313"/>
      <c r="BI41" s="313"/>
      <c r="BJ41" s="313"/>
      <c r="BK41" s="313"/>
      <c r="BL41" s="313"/>
      <c r="BM41" s="313"/>
      <c r="BN41" s="344"/>
      <c r="BO41" s="344"/>
      <c r="BP41" s="344"/>
      <c r="BQ41" s="345"/>
    </row>
    <row r="42" ht="19.5" customHeight="1" spans="1:69">
      <c r="A42" s="309"/>
      <c r="B42" s="357"/>
      <c r="C42" s="358"/>
      <c r="D42" s="359"/>
      <c r="E42" s="359"/>
      <c r="F42" s="359"/>
      <c r="G42" s="359"/>
      <c r="H42" s="358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  <c r="AA42" s="358"/>
      <c r="AB42" s="358"/>
      <c r="AC42" s="358"/>
      <c r="AD42" s="358"/>
      <c r="AE42" s="358"/>
      <c r="AF42" s="358"/>
      <c r="AG42" s="358"/>
      <c r="AH42" s="360"/>
      <c r="AI42" s="361"/>
      <c r="AJ42" s="362"/>
      <c r="AK42" s="361"/>
      <c r="AL42" s="363"/>
      <c r="AM42" s="363"/>
      <c r="AN42" s="363"/>
      <c r="AO42" s="363"/>
      <c r="AP42" s="253"/>
      <c r="AQ42" s="253"/>
      <c r="AR42" s="253"/>
      <c r="AS42" s="253">
        <f>SUMPRODUCT(--WEEKDAY(C$3:AG$3,2)&gt;5,--((C42:AG42="DM"))+(C42:AG42="CS1")+((C42:AG42="CS2"))+(C42:AG42="SB1")+(C42:AG42="AE")+(C42:AG42="EM"))</f>
        <v>0</v>
      </c>
      <c r="AT42" s="253"/>
      <c r="AU42" s="253">
        <f>(AQ42-AR42)/2+(AS42-AT42)</f>
        <v>0</v>
      </c>
      <c r="AV42" s="253"/>
      <c r="AW42" s="253"/>
      <c r="AX42" s="253"/>
      <c r="AY42" s="363"/>
      <c r="AZ42" s="363"/>
      <c r="BA42" s="363"/>
      <c r="BB42" s="363"/>
      <c r="BC42" s="363"/>
      <c r="BD42" s="363"/>
      <c r="BE42" s="363"/>
      <c r="BF42" s="363"/>
      <c r="BG42" s="363"/>
      <c r="BH42" s="363"/>
      <c r="BI42" s="363"/>
      <c r="BJ42" s="363"/>
      <c r="BK42" s="363"/>
      <c r="BL42" s="363"/>
      <c r="BM42" s="363"/>
      <c r="BN42" s="363"/>
      <c r="BO42" s="363"/>
      <c r="BP42" s="363"/>
      <c r="BQ42" s="364"/>
    </row>
    <row r="43" ht="19.5" customHeight="1" spans="1:69">
      <c r="A43" s="309"/>
      <c r="B43" s="365" t="s">
        <v>57</v>
      </c>
      <c r="C43" s="366" t="str">
        <f>VLOOKUP("DM",C4:C41,1,FALSE)</f>
        <v>DM</v>
      </c>
      <c r="D43" s="366" t="str">
        <f>VLOOKUP("DM",D4:D41,1,FALSE)</f>
        <v>DM</v>
      </c>
      <c r="E43" s="366" t="str">
        <f>VLOOKUP("DM",E1:E41,1,FALSE)</f>
        <v>DM</v>
      </c>
      <c r="F43" s="366" t="str">
        <f t="shared" ref="F43:L43" si="29">VLOOKUP("DM",F4:F41,1,FALSE)</f>
        <v>DM</v>
      </c>
      <c r="G43" s="366" t="str">
        <f t="shared" si="29"/>
        <v>DM</v>
      </c>
      <c r="H43" s="366" t="str">
        <f t="shared" si="29"/>
        <v>DM</v>
      </c>
      <c r="I43" s="366" t="str">
        <f t="shared" si="29"/>
        <v>DM</v>
      </c>
      <c r="J43" s="366" t="str">
        <f t="shared" si="29"/>
        <v>DM</v>
      </c>
      <c r="K43" s="366" t="str">
        <f t="shared" si="29"/>
        <v>DM</v>
      </c>
      <c r="L43" s="366" t="str">
        <f t="shared" si="29"/>
        <v>DM</v>
      </c>
      <c r="M43" s="366" t="str">
        <f>VLOOKUP("DM",M4:M27,1,FALSE)</f>
        <v>DM</v>
      </c>
      <c r="N43" s="366" t="str">
        <f>VLOOKUP("DM",N4:N41,1,FALSE)</f>
        <v>DM</v>
      </c>
      <c r="O43" s="366" t="str">
        <f>VLOOKUP("DM",O4:O41,1,FALSE)</f>
        <v>DM</v>
      </c>
      <c r="P43" s="366" t="str">
        <f>VLOOKUP("DM",P4:P41,1,FALSE)</f>
        <v>DM</v>
      </c>
      <c r="Q43" s="366" t="str">
        <f>VLOOKUP("DM",Q4:Q30,1,FALSE)</f>
        <v>DM</v>
      </c>
      <c r="R43" s="366" t="str">
        <f>VLOOKUP("DM",R4:R25,1,FALSE)</f>
        <v>DM</v>
      </c>
      <c r="S43" s="366" t="str">
        <f>VLOOKUP("DM",S4:S41,1,FALSE)</f>
        <v>DM</v>
      </c>
      <c r="T43" s="366" t="str">
        <f>VLOOKUP("DM",T4:T41,1,FALSE)</f>
        <v>DM</v>
      </c>
      <c r="U43" s="366" t="str">
        <f>VLOOKUP("DM",U4:U41,1,FALSE)</f>
        <v>DM</v>
      </c>
      <c r="V43" s="366" t="str">
        <f>VLOOKUP("DM",V4:V25,1,FALSE)</f>
        <v>DM</v>
      </c>
      <c r="W43" s="366" t="str">
        <f>VLOOKUP("DM",W4:W25,1,FALSE)</f>
        <v>DM</v>
      </c>
      <c r="X43" s="366" t="str">
        <f>VLOOKUP("DM",X4:X41,1,FALSE)</f>
        <v>DM</v>
      </c>
      <c r="Y43" s="366" t="str">
        <f>VLOOKUP("DM",Y4:Y41,1,FALSE)</f>
        <v>DM</v>
      </c>
      <c r="Z43" s="366" t="str">
        <f>VLOOKUP("DM",Z4:Z41,1,FALSE)</f>
        <v>DM</v>
      </c>
      <c r="AA43" s="366" t="str">
        <f>VLOOKUP("DM",AA1:AA41,1,FALSE)</f>
        <v>DM</v>
      </c>
      <c r="AB43" s="366" t="str">
        <f t="shared" ref="AB43:AH43" si="30">VLOOKUP("DM",AB4:AB41,1,FALSE)</f>
        <v>DM</v>
      </c>
      <c r="AC43" s="366" t="str">
        <f t="shared" si="30"/>
        <v>DM</v>
      </c>
      <c r="AD43" s="366" t="str">
        <f t="shared" si="30"/>
        <v>DM</v>
      </c>
      <c r="AE43" s="366" t="str">
        <f t="shared" si="30"/>
        <v>DM</v>
      </c>
      <c r="AF43" s="366" t="str">
        <f t="shared" si="30"/>
        <v>DM</v>
      </c>
      <c r="AG43" s="366" t="str">
        <f t="shared" si="30"/>
        <v>DM</v>
      </c>
      <c r="AH43" s="366" t="str">
        <f t="shared" si="30"/>
        <v>DM</v>
      </c>
      <c r="AI43" s="311"/>
      <c r="AJ43" s="312"/>
      <c r="AK43" s="311"/>
      <c r="AL43" s="313"/>
      <c r="AM43" s="313"/>
      <c r="AN43" s="313"/>
      <c r="AO43" s="313"/>
      <c r="AP43" s="313"/>
      <c r="AQ43" s="313"/>
      <c r="AR43" s="313"/>
      <c r="AS43" s="313"/>
      <c r="AT43" s="313"/>
      <c r="AU43" s="313"/>
      <c r="AV43" s="313"/>
      <c r="AW43" s="313"/>
      <c r="AX43" s="313"/>
      <c r="AY43" s="313"/>
      <c r="AZ43" s="313"/>
      <c r="BA43" s="313"/>
      <c r="BB43" s="313"/>
      <c r="BC43" s="313"/>
      <c r="BD43" s="313"/>
      <c r="BE43" s="313"/>
      <c r="BF43" s="313"/>
      <c r="BG43" s="313"/>
      <c r="BH43" s="313"/>
      <c r="BI43" s="313"/>
      <c r="BJ43" s="313"/>
      <c r="BK43" s="313"/>
      <c r="BL43" s="313"/>
      <c r="BM43" s="313"/>
      <c r="BN43" s="313"/>
      <c r="BO43" s="313"/>
      <c r="BP43" s="313"/>
      <c r="BQ43" s="314"/>
    </row>
    <row r="44" ht="19.5" customHeight="1" spans="1:69">
      <c r="A44" s="309" t="e">
        <f>LTE()</f>
        <v>#NAME?</v>
      </c>
      <c r="B44" s="368" t="s">
        <v>56</v>
      </c>
      <c r="C44" s="366" t="str">
        <f>VLOOKUP("CS1",C5:C41,1,FALSE)</f>
        <v>CS1</v>
      </c>
      <c r="D44" s="366" t="str">
        <f>VLOOKUP("CS1",D1:D41,1,FALSE)</f>
        <v>CS1</v>
      </c>
      <c r="E44" s="366" t="str">
        <f>VLOOKUP("CS1",E1:E41,1,FALSE)</f>
        <v>CS1</v>
      </c>
      <c r="F44" s="366" t="str">
        <f>VLOOKUP("CS1",F8:F41,1,FALSE)</f>
        <v>CS1</v>
      </c>
      <c r="G44" s="366" t="str">
        <f>VLOOKUP("CS1",G1:G41,1,FALSE)</f>
        <v>CS1</v>
      </c>
      <c r="H44" s="366" t="str">
        <f>VLOOKUP("CS1",H6:H41,1,FALSE)</f>
        <v>CS1</v>
      </c>
      <c r="I44" s="366" t="str">
        <f>VLOOKUP("CS1",I7:I41,1,FALSE)</f>
        <v>CS1</v>
      </c>
      <c r="J44" s="366" t="str">
        <f>VLOOKUP("CS1",J4:J41,1,FALSE)</f>
        <v>CS1</v>
      </c>
      <c r="K44" s="366" t="str">
        <f>VLOOKUP("CS1",K1:K41,1,FALSE)</f>
        <v>CS1</v>
      </c>
      <c r="L44" s="366" t="str">
        <f>VLOOKUP("CS1",L1:L41,1,FALSE)</f>
        <v>CS1</v>
      </c>
      <c r="M44" s="366" t="str">
        <f>VLOOKUP("CS1",M7:M27,1,FALSE)</f>
        <v>CS1</v>
      </c>
      <c r="N44" s="366" t="str">
        <f>VLOOKUP("CS1",N6:N41,1,FALSE)</f>
        <v>CS1</v>
      </c>
      <c r="O44" s="366" t="str">
        <f>VLOOKUP("CS1",O1:O41,1,FALSE)</f>
        <v>CS1</v>
      </c>
      <c r="P44" s="366" t="str">
        <f>VLOOKUP("CS1",P5:P41,1,FALSE)</f>
        <v>CS1</v>
      </c>
      <c r="Q44" s="366" t="str">
        <f>VLOOKUP("CS1",Q6:Q30,1,FALSE)</f>
        <v>CS1</v>
      </c>
      <c r="R44" s="366" t="str">
        <f>VLOOKUP("CS1",R6:R25,1,FALSE)</f>
        <v>CS1</v>
      </c>
      <c r="S44" s="366" t="str">
        <f>VLOOKUP("CS1",S1:S41,1,FALSE)</f>
        <v>CS1</v>
      </c>
      <c r="T44" s="366" t="str">
        <f>VLOOKUP("CS1",T1:T41,1,FALSE)</f>
        <v>CS1</v>
      </c>
      <c r="U44" s="366" t="str">
        <f>VLOOKUP("CS1",U6:U41,1,FALSE)</f>
        <v>CS1</v>
      </c>
      <c r="V44" s="366" t="str">
        <f>VLOOKUP("CS1",V1:V35,1,FALSE)</f>
        <v>CS1</v>
      </c>
      <c r="W44" s="366" t="str">
        <f>VLOOKUP("CS1",W1:W25,1,FALSE)</f>
        <v>CS1</v>
      </c>
      <c r="X44" s="366" t="str">
        <f>VLOOKUP("CS1",X1:X41,1,FALSE)</f>
        <v>CS1</v>
      </c>
      <c r="Y44" s="366" t="str">
        <f>VLOOKUP("CS1",Y8:Y41,1,FALSE)</f>
        <v>CS1</v>
      </c>
      <c r="Z44" s="366" t="str">
        <f>VLOOKUP("CS1",Z1:Z41,1,FALSE)</f>
        <v>CS1</v>
      </c>
      <c r="AA44" s="366" t="str">
        <f>VLOOKUP("CS1",AA1:AA41,1,FALSE)</f>
        <v>CS1</v>
      </c>
      <c r="AB44" s="366" t="str">
        <f>VLOOKUP("CS1",AB5:AB41,1,FALSE)</f>
        <v>CS1</v>
      </c>
      <c r="AC44" s="366" t="str">
        <f>VLOOKUP("CS1",AC1:AC41,1,FALSE)</f>
        <v>CS1</v>
      </c>
      <c r="AD44" s="366" t="str">
        <f>VLOOKUP("CS1",AD1:AD41,1,FALSE)</f>
        <v>CS1</v>
      </c>
      <c r="AE44" s="366" t="str">
        <f>VLOOKUP("CS1",AE1:AE41,1,FALSE)</f>
        <v>CS1</v>
      </c>
      <c r="AF44" s="366" t="str">
        <f>VLOOKUP("CS1",AF7:AF41,1,FALSE)</f>
        <v>CS1</v>
      </c>
      <c r="AG44" s="366" t="str">
        <f>VLOOKUP("CS1",AG1:AG41,1,FALSE)</f>
        <v>CS1</v>
      </c>
      <c r="AH44" s="366" t="str">
        <f>VLOOKUP("CS1",AH1:AH41,1,FALSE)</f>
        <v>CS1</v>
      </c>
      <c r="AI44" s="311"/>
      <c r="AJ44" s="312"/>
      <c r="AK44" s="311"/>
      <c r="AL44" s="313"/>
      <c r="AM44" s="313"/>
      <c r="AN44" s="313"/>
      <c r="AO44" s="313"/>
      <c r="AP44" s="313"/>
      <c r="AQ44" s="313"/>
      <c r="AR44" s="313"/>
      <c r="AS44" s="313"/>
      <c r="AT44" s="313"/>
      <c r="AU44" s="313"/>
      <c r="AV44" s="313"/>
      <c r="AW44" s="313"/>
      <c r="AX44" s="313"/>
      <c r="AY44" s="313"/>
      <c r="AZ44" s="313"/>
      <c r="BA44" s="313"/>
      <c r="BB44" s="313"/>
      <c r="BC44" s="313"/>
      <c r="BD44" s="313"/>
      <c r="BE44" s="313"/>
      <c r="BF44" s="313"/>
      <c r="BG44" s="313"/>
      <c r="BH44" s="313"/>
      <c r="BI44" s="313"/>
      <c r="BJ44" s="313"/>
      <c r="BK44" s="313"/>
      <c r="BL44" s="313"/>
      <c r="BM44" s="313"/>
      <c r="BN44" s="313"/>
      <c r="BO44" s="313"/>
      <c r="BP44" s="313"/>
      <c r="BQ44" s="314"/>
    </row>
    <row r="45" ht="19.5" customHeight="1" spans="1:69">
      <c r="A45" s="309"/>
      <c r="B45" s="369" t="s">
        <v>59</v>
      </c>
      <c r="C45" s="366" t="str">
        <f>VLOOKUP("CS2",C6:C41,1,FALSE)</f>
        <v>CS2</v>
      </c>
      <c r="D45" s="366" t="str">
        <f>VLOOKUP("CS2",D9:D41,1,FALSE)</f>
        <v>CS2</v>
      </c>
      <c r="E45" s="366" t="str">
        <f>VLOOKUP("CS2",E8:E41,1,FALSE)</f>
        <v>CS2</v>
      </c>
      <c r="F45" s="366" t="str">
        <f>VLOOKUP("CS2",F8:F41,1,FALSE)</f>
        <v>CS2</v>
      </c>
      <c r="G45" s="366" t="str">
        <f>VLOOKUP("CS2",G1:G41,1,FALSE)</f>
        <v>CS2</v>
      </c>
      <c r="H45" s="366" t="str">
        <f>VLOOKUP("CS2",H1:H41,1,FALSE)</f>
        <v>CS2</v>
      </c>
      <c r="I45" s="366" t="str">
        <f>VLOOKUP("CS2",I7:I41,1,FALSE)</f>
        <v>CS2</v>
      </c>
      <c r="J45" s="366" t="str">
        <f>VLOOKUP("CS2",J4:J41,1,FALSE)</f>
        <v>CS2</v>
      </c>
      <c r="K45" s="366" t="str">
        <f>VLOOKUP("CS2",K5:K41,1,FALSE)</f>
        <v>CS2</v>
      </c>
      <c r="L45" s="366" t="str">
        <f>VLOOKUP("CS2",L4:L41,1,FALSE)</f>
        <v>CS2</v>
      </c>
      <c r="M45" s="366" t="str">
        <f>VLOOKUP("CS2",M1:M27,1,FALSE)</f>
        <v>CS2</v>
      </c>
      <c r="N45" s="366" t="str">
        <f>VLOOKUP("CS2",N1:N41,1,FALSE)</f>
        <v>CS2</v>
      </c>
      <c r="O45" s="366" t="str">
        <f>VLOOKUP("CS2",O1:O41,1,FALSE)</f>
        <v>CS2</v>
      </c>
      <c r="P45" s="366" t="str">
        <f>VLOOKUP("CS2",P1:P41,1,FALSE)</f>
        <v>CS2</v>
      </c>
      <c r="Q45" s="366" t="str">
        <f>VLOOKUP("CS2",Q6:Q30,1,FALSE)</f>
        <v>CS2</v>
      </c>
      <c r="R45" s="366" t="str">
        <f>VLOOKUP("CS2",R6:R25,1,FALSE)</f>
        <v>CS2</v>
      </c>
      <c r="S45" s="366" t="str">
        <f>VLOOKUP("CS2",S1:S41,1,FALSE)</f>
        <v>CS2</v>
      </c>
      <c r="T45" s="366" t="str">
        <f>VLOOKUP("CS2",T1:T41,1,FALSE)</f>
        <v>CS2</v>
      </c>
      <c r="U45" s="366" t="str">
        <f>VLOOKUP("CS2",U1:U41,1,FALSE)</f>
        <v>CS2</v>
      </c>
      <c r="V45" s="366" t="str">
        <f>VLOOKUP("CS2",V1:V25,1,FALSE)</f>
        <v>CS2</v>
      </c>
      <c r="W45" s="366" t="str">
        <f>VLOOKUP("CS2",W1:W35,1,FALSE)</f>
        <v>CS2</v>
      </c>
      <c r="X45" s="366" t="str">
        <f>VLOOKUP("CS2",X8:X41,1,FALSE)</f>
        <v>CS2</v>
      </c>
      <c r="Y45" s="366" t="str">
        <f>VLOOKUP("CS2",Y1:Y41,1,FALSE)</f>
        <v>CS2</v>
      </c>
      <c r="Z45" s="366" t="str">
        <f>VLOOKUP("CS2",Z1:Z41,1,FALSE)</f>
        <v>CS2</v>
      </c>
      <c r="AA45" s="366" t="str">
        <f>VLOOKUP("CS2",AA1:AA41,1,FALSE)</f>
        <v>CS2</v>
      </c>
      <c r="AB45" s="366" t="str">
        <f>VLOOKUP("CS2",AB1:AB41,1,FALSE)</f>
        <v>CS2</v>
      </c>
      <c r="AC45" s="366" t="str">
        <f>VLOOKUP("CS2",AC8:AC41,1,FALSE)</f>
        <v>CS2</v>
      </c>
      <c r="AD45" s="366" t="str">
        <f>VLOOKUP("CS2",AD1:AD41,1,FALSE)</f>
        <v>CS2</v>
      </c>
      <c r="AE45" s="366" t="str">
        <f>VLOOKUP("CS2",AE1:AE41,1,FALSE)</f>
        <v>CS2</v>
      </c>
      <c r="AF45" s="366" t="str">
        <f>VLOOKUP("CS2",AF1:AF41,1,FALSE)</f>
        <v>CS2</v>
      </c>
      <c r="AG45" s="366" t="str">
        <f>VLOOKUP("CS2",AG7:AG41,1,FALSE)</f>
        <v>CS2</v>
      </c>
      <c r="AH45" s="366" t="str">
        <f>VLOOKUP("CS2",AH7:AH41,1,FALSE)</f>
        <v>CS2</v>
      </c>
      <c r="AI45" s="311"/>
      <c r="AJ45" s="312"/>
      <c r="AK45" s="311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  <c r="BN45" s="313"/>
      <c r="BO45" s="313"/>
      <c r="BP45" s="313"/>
      <c r="BQ45" s="314"/>
    </row>
    <row r="46" ht="19.5" customHeight="1" spans="1:69">
      <c r="A46" s="309"/>
      <c r="B46" s="370" t="s">
        <v>58</v>
      </c>
      <c r="C46" s="366" t="e">
        <f>VLOOKUP("SB1",C6:C41,1,FALSE)</f>
        <v>#N/A</v>
      </c>
      <c r="D46" s="366" t="e">
        <f>VLOOKUP("SB1",D3:D41,1,FALSE)</f>
        <v>#N/A</v>
      </c>
      <c r="E46" s="366" t="e">
        <f>VLOOKUP("SB1",E1:E41,1,FALSE)</f>
        <v>#N/A</v>
      </c>
      <c r="F46" s="366" t="str">
        <f>VLOOKUP("SB1",F8:F41,1,FALSE)</f>
        <v>SB1</v>
      </c>
      <c r="G46" s="366" t="str">
        <f>VLOOKUP("SB1",G6:G41,1,FALSE)</f>
        <v>SB1</v>
      </c>
      <c r="H46" s="366" t="str">
        <f>VLOOKUP("SB1",H6:H41,1,FALSE)</f>
        <v>SB1</v>
      </c>
      <c r="I46" s="366" t="str">
        <f>VLOOKUP("SB1",I1:I41,1,FALSE)</f>
        <v>SB1</v>
      </c>
      <c r="J46" s="366" t="str">
        <f>VLOOKUP("SB1",J4:J41,1,FALSE)</f>
        <v>SB1</v>
      </c>
      <c r="K46" s="366" t="str">
        <f>VLOOKUP("SB1",K6:K41,1,FALSE)</f>
        <v>SB1</v>
      </c>
      <c r="L46" s="366" t="str">
        <f>VLOOKUP("SB1",L1:L41,1,FALSE)</f>
        <v>SB1</v>
      </c>
      <c r="M46" s="366" t="e">
        <f>VLOOKUP("SB1",M1:M27,1,FALSE)</f>
        <v>#N/A</v>
      </c>
      <c r="N46" s="366" t="e">
        <f>VLOOKUP("SB1",N6:N41,1,FALSE)</f>
        <v>#N/A</v>
      </c>
      <c r="O46" s="366" t="str">
        <f>VLOOKUP("SB1",O1:O41,1,FALSE)</f>
        <v>SB1</v>
      </c>
      <c r="P46" s="366" t="str">
        <f>VLOOKUP("SB1",P1:P41,1,FALSE)</f>
        <v>SB1</v>
      </c>
      <c r="Q46" s="366" t="str">
        <f>VLOOKUP("SB1",Q1:Q30,1,FALSE)</f>
        <v>SB1</v>
      </c>
      <c r="R46" s="366" t="str">
        <f>VLOOKUP("SB1",R6:R34,1,FALSE)</f>
        <v>SB1</v>
      </c>
      <c r="S46" s="366" t="e">
        <f>VLOOKUP("SB1",S1:S41,1,FALSE)</f>
        <v>#N/A</v>
      </c>
      <c r="T46" s="366" t="str">
        <f>VLOOKUP("SB1",T8:T41,1,FALSE)</f>
        <v>SB1</v>
      </c>
      <c r="U46" s="366" t="e">
        <f>VLOOKUP("SB1",U1:U41,1,FALSE)</f>
        <v>#N/A</v>
      </c>
      <c r="V46" s="366" t="str">
        <f>VLOOKUP("SB1",V10:V35,1,FALSE)</f>
        <v>SB1</v>
      </c>
      <c r="W46" s="366" t="str">
        <f>VLOOKUP("SB1",W5:W25,1,FALSE)</f>
        <v>SB1</v>
      </c>
      <c r="X46" s="366" t="str">
        <f>VLOOKUP("SB1",X6:X41,1,FALSE)</f>
        <v>SB1</v>
      </c>
      <c r="Y46" s="366" t="str">
        <f>VLOOKUP("SB1",Y1:Y41,1,FALSE)</f>
        <v>SB1</v>
      </c>
      <c r="Z46" s="366" t="str">
        <f>VLOOKUP("SB1",Z6:Z41,1,FALSE)</f>
        <v>SB1</v>
      </c>
      <c r="AA46" s="366" t="str">
        <f>VLOOKUP("SB1",AA1:AA41,1,FALSE)</f>
        <v>SB1</v>
      </c>
      <c r="AB46" s="366" t="str">
        <f>VLOOKUP("SB1",AB1:AB41,1,FALSE)</f>
        <v>SB1</v>
      </c>
      <c r="AC46" s="366" t="str">
        <f>VLOOKUP("SB1",AC1:AC41,1,FALSE)</f>
        <v>SB1</v>
      </c>
      <c r="AD46" s="366" t="str">
        <f>VLOOKUP("SB1",AD8:AD41,1,FALSE)</f>
        <v>SB1</v>
      </c>
      <c r="AE46" s="366" t="str">
        <f>VLOOKUP("SB1",AE8:AE41,1,FALSE)</f>
        <v>SB1</v>
      </c>
      <c r="AF46" s="366" t="e">
        <f>VLOOKUP("SB1",AF7:AF41,1,FALSE)</f>
        <v>#N/A</v>
      </c>
      <c r="AG46" s="366" t="e">
        <f>VLOOKUP("SB1",AG7:AG41,1,FALSE)</f>
        <v>#N/A</v>
      </c>
      <c r="AH46" s="366" t="str">
        <f>VLOOKUP("SB1",AH7:AH41,1,FALSE)</f>
        <v>SB1</v>
      </c>
      <c r="AI46" s="311"/>
      <c r="AJ46" s="312"/>
      <c r="AK46" s="311"/>
      <c r="AL46" s="313"/>
      <c r="AM46" s="313"/>
      <c r="AN46" s="313"/>
      <c r="AO46" s="313"/>
      <c r="AP46" s="313"/>
      <c r="AQ46" s="313"/>
      <c r="AR46" s="313"/>
      <c r="AS46" s="313"/>
      <c r="AT46" s="313"/>
      <c r="AU46" s="313"/>
      <c r="AV46" s="313"/>
      <c r="AW46" s="313"/>
      <c r="AX46" s="313"/>
      <c r="AY46" s="313"/>
      <c r="AZ46" s="313"/>
      <c r="BA46" s="313"/>
      <c r="BB46" s="313"/>
      <c r="BC46" s="313"/>
      <c r="BD46" s="313"/>
      <c r="BE46" s="313"/>
      <c r="BF46" s="313"/>
      <c r="BG46" s="313"/>
      <c r="BH46" s="313"/>
      <c r="BI46" s="313"/>
      <c r="BJ46" s="313"/>
      <c r="BK46" s="313"/>
      <c r="BL46" s="313"/>
      <c r="BM46" s="313"/>
      <c r="BN46" s="313"/>
      <c r="BO46" s="313"/>
      <c r="BP46" s="313"/>
      <c r="BQ46" s="314"/>
    </row>
    <row r="47" ht="19.5" customHeight="1" spans="1:69">
      <c r="A47" s="309"/>
      <c r="B47" s="371" t="s">
        <v>93</v>
      </c>
      <c r="C47" s="366" t="e">
        <f>VLOOKUP("SB2",C6:C41,1,FALSE)</f>
        <v>#N/A</v>
      </c>
      <c r="D47" s="366" t="str">
        <f>VLOOKUP("SB2",D9:D41,1,FALSE)</f>
        <v>SB2</v>
      </c>
      <c r="E47" s="366" t="e">
        <f>VLOOKUP("SB2",E8:E41,1,FALSE)</f>
        <v>#N/A</v>
      </c>
      <c r="F47" s="366" t="e">
        <f>VLOOKUP("SB2",F1:F41,1,FALSE)</f>
        <v>#N/A</v>
      </c>
      <c r="G47" s="366" t="str">
        <f>VLOOKUP("SB2",G8:G41,1,FALSE)</f>
        <v>SB2</v>
      </c>
      <c r="H47" s="366" t="str">
        <f>VLOOKUP("SB2",H6:H41,1,FALSE)</f>
        <v>SB2</v>
      </c>
      <c r="I47" s="366" t="str">
        <f>VLOOKUP("SB2",I7:I41,1,FALSE)</f>
        <v>SB2</v>
      </c>
      <c r="J47" s="366" t="str">
        <f>VLOOKUP("SB2",J4:J41,1,FALSE)</f>
        <v>SB2</v>
      </c>
      <c r="K47" s="366" t="str">
        <f>VLOOKUP("SB2",K6:K41,1,FALSE)</f>
        <v>SB2</v>
      </c>
      <c r="L47" s="366" t="e">
        <f>VLOOKUP("SB2",L11:L41,1,FALSE)</f>
        <v>#N/A</v>
      </c>
      <c r="M47" s="366" t="e">
        <f>VLOOKUP("SB2",M8:M45,1,FALSE)</f>
        <v>#N/A</v>
      </c>
      <c r="N47" s="366" t="e">
        <f>VLOOKUP("SB2",N6:N41,1,FALSE)</f>
        <v>#N/A</v>
      </c>
      <c r="O47" s="366" t="str">
        <f>VLOOKUP("SB2",O8:O41,1,FALSE)</f>
        <v>SB2</v>
      </c>
      <c r="P47" s="366" t="e">
        <f>VLOOKUP("SB2",P8:P41,1,FALSE)</f>
        <v>#N/A</v>
      </c>
      <c r="Q47" s="366" t="str">
        <f>VLOOKUP("SB2",Q11:Q40,1,FALSE)</f>
        <v>SB2</v>
      </c>
      <c r="R47" s="366" t="e">
        <f>VLOOKUP("SB2",R6:R40,1,FALSE)</f>
        <v>#N/A</v>
      </c>
      <c r="S47" s="366" t="e">
        <f>VLOOKUP("SB2",S12:S41,1,FALSE)</f>
        <v>#N/A</v>
      </c>
      <c r="T47" s="366" t="e">
        <f>VLOOKUP("SB2",T8:T41,1,FALSE)</f>
        <v>#N/A</v>
      </c>
      <c r="U47" s="366" t="str">
        <f>VLOOKUP("SB2",U9:U41,1,FALSE)</f>
        <v>SB2</v>
      </c>
      <c r="V47" s="366" t="str">
        <f>VLOOKUP("SB2",V5:V41,1,FALSE)</f>
        <v>SB2</v>
      </c>
      <c r="W47" s="366" t="str">
        <f>VLOOKUP("SB2",W12:W40,1,FALSE)</f>
        <v>SB2</v>
      </c>
      <c r="X47" s="366" t="str">
        <f>VLOOKUP("SB2",X8:X41,1,FALSE)</f>
        <v>SB2</v>
      </c>
      <c r="Y47" s="366" t="str">
        <f>VLOOKUP("SB2",Y8:Y41,1,FALSE)</f>
        <v>SB2</v>
      </c>
      <c r="Z47" s="366" t="e">
        <f>VLOOKUP("SB2",Z6:Z41,1,FALSE)</f>
        <v>#N/A</v>
      </c>
      <c r="AA47" s="366" t="e">
        <f>VLOOKUP("SB2",AA11:AA41,1,FALSE)</f>
        <v>#N/A</v>
      </c>
      <c r="AB47" s="366" t="str">
        <f>VLOOKUP("SB2",AB9:AB41,1,FALSE)</f>
        <v>SB2</v>
      </c>
      <c r="AC47" s="366" t="str">
        <f>VLOOKUP("SB2",AC11:AC41,1,FALSE)</f>
        <v>SB2</v>
      </c>
      <c r="AD47" s="366" t="str">
        <f>VLOOKUP("SB2",AD8:AD41,1,FALSE)</f>
        <v>SB2</v>
      </c>
      <c r="AE47" s="366" t="str">
        <f>VLOOKUP("SB2",AE8:AE41,1,FALSE)</f>
        <v>SB2</v>
      </c>
      <c r="AF47" s="366" t="str">
        <f>VLOOKUP("SB2",AF7:AF41,1,FALSE)</f>
        <v>SB2</v>
      </c>
      <c r="AG47" s="366" t="e">
        <f>VLOOKUP("SB2",AG7:AG41,1,FALSE)</f>
        <v>#N/A</v>
      </c>
      <c r="AH47" s="366" t="e">
        <f>VLOOKUP("SB2",AH7:AH41,1,FALSE)</f>
        <v>#N/A</v>
      </c>
      <c r="AI47" s="311"/>
      <c r="AJ47" s="312"/>
      <c r="AK47" s="311"/>
      <c r="AL47" s="313"/>
      <c r="AM47" s="313"/>
      <c r="AN47" s="313"/>
      <c r="AO47" s="313"/>
      <c r="AP47" s="313"/>
      <c r="AQ47" s="313"/>
      <c r="AR47" s="313"/>
      <c r="AS47" s="313"/>
      <c r="AT47" s="313"/>
      <c r="AU47" s="313"/>
      <c r="AV47" s="313"/>
      <c r="AW47" s="313"/>
      <c r="AX47" s="313"/>
      <c r="AY47" s="313"/>
      <c r="AZ47" s="313"/>
      <c r="BA47" s="313"/>
      <c r="BB47" s="313"/>
      <c r="BC47" s="313"/>
      <c r="BD47" s="313"/>
      <c r="BE47" s="313"/>
      <c r="BF47" s="313"/>
      <c r="BG47" s="313"/>
      <c r="BH47" s="313"/>
      <c r="BI47" s="313"/>
      <c r="BJ47" s="313"/>
      <c r="BK47" s="313"/>
      <c r="BL47" s="313"/>
      <c r="BM47" s="313"/>
      <c r="BN47" s="313"/>
      <c r="BO47" s="313"/>
      <c r="BP47" s="313"/>
      <c r="BQ47" s="314"/>
    </row>
    <row r="48" ht="19.5" customHeight="1" spans="1:69">
      <c r="A48" s="309"/>
      <c r="B48" s="372" t="s">
        <v>65</v>
      </c>
      <c r="C48" s="366" t="str">
        <f>VLOOKUP("AE",C6:C41,1,FALSE)</f>
        <v>AE</v>
      </c>
      <c r="D48" s="366" t="str">
        <f>VLOOKUP("AE",D9:D41,1,FALSE)</f>
        <v>AE</v>
      </c>
      <c r="E48" s="366" t="str">
        <f>VLOOKUP("AE",E8:E41,1,FALSE)</f>
        <v>AE</v>
      </c>
      <c r="F48" s="366" t="str">
        <f>VLOOKUP("AE",F1:F41,1,FALSE)</f>
        <v>AE</v>
      </c>
      <c r="G48" s="366" t="str">
        <f>VLOOKUP("AE",G1:G41,1,FALSE)</f>
        <v>AE</v>
      </c>
      <c r="H48" s="366" t="str">
        <f>VLOOKUP("AE",H8:H41,1,FALSE)</f>
        <v>AE</v>
      </c>
      <c r="I48" s="366" t="str">
        <f>VLOOKUP("AE",I7:I41,1,FALSE)</f>
        <v>AE</v>
      </c>
      <c r="J48" s="366" t="str">
        <f>VLOOKUP("AE",J4:J41,1,FALSE)</f>
        <v>AE</v>
      </c>
      <c r="K48" s="366" t="str">
        <f>VLOOKUP("AE",K6:K41,1,FALSE)</f>
        <v>AE</v>
      </c>
      <c r="L48" s="366" t="str">
        <f>VLOOKUP("AE",L11:L41,1,FALSE)</f>
        <v>AE</v>
      </c>
      <c r="M48" s="366" t="str">
        <f>VLOOKUP("AE",M8:M45,1,FALSE)</f>
        <v>AE</v>
      </c>
      <c r="N48" s="366" t="str">
        <f>VLOOKUP("AE",N6:N41,1,FALSE)</f>
        <v>AE</v>
      </c>
      <c r="O48" s="366" t="str">
        <f>VLOOKUP("AE",O8:O41,1,FALSE)</f>
        <v>AE</v>
      </c>
      <c r="P48" s="366" t="e">
        <f>VLOOKUP("AE",P8:P41,1,FALSE)</f>
        <v>#N/A</v>
      </c>
      <c r="Q48" s="366" t="str">
        <f>VLOOKUP("AE",Q11:Q48,1,FALSE)</f>
        <v>AE</v>
      </c>
      <c r="R48" s="366" t="str">
        <f>VLOOKUP("AE",R6:R39,1,FALSE)</f>
        <v>AE</v>
      </c>
      <c r="S48" s="366" t="str">
        <f>VLOOKUP("AE",S12:S41,1,FALSE)</f>
        <v>AE</v>
      </c>
      <c r="T48" s="366" t="str">
        <f>VLOOKUP("AE",T8:T41,1,FALSE)</f>
        <v>AE</v>
      </c>
      <c r="U48" s="366" t="str">
        <f>VLOOKUP("AE",U9:U41,1,FALSE)</f>
        <v>AE</v>
      </c>
      <c r="V48" s="366" t="str">
        <f>VLOOKUP("AE",V10:V43,1,FALSE)</f>
        <v>AE</v>
      </c>
      <c r="W48" s="366" t="str">
        <f>VLOOKUP("AE",W12:W41,1,FALSE)</f>
        <v>AE</v>
      </c>
      <c r="X48" s="366" t="str">
        <f>VLOOKUP("AE",X8:X41,1,FALSE)</f>
        <v>AE</v>
      </c>
      <c r="Y48" s="366" t="str">
        <f>VLOOKUP("AE",Y8:Y41,1,FALSE)</f>
        <v>AE</v>
      </c>
      <c r="Z48" s="366" t="str">
        <f>VLOOKUP("AE",Z6:Z41,1,FALSE)</f>
        <v>AE</v>
      </c>
      <c r="AA48" s="366" t="str">
        <f>VLOOKUP("AE",AA11:AA41,1,FALSE)</f>
        <v>AE</v>
      </c>
      <c r="AB48" s="366" t="str">
        <f>VLOOKUP("AE",AB9:AB41,1,FALSE)</f>
        <v>AE</v>
      </c>
      <c r="AC48" s="366" t="str">
        <f>VLOOKUP("AE",AC11:AC41,1,FALSE)</f>
        <v>AE</v>
      </c>
      <c r="AD48" s="366" t="str">
        <f>VLOOKUP("AE",AD8:AD41,1,FALSE)</f>
        <v>AE</v>
      </c>
      <c r="AE48" s="366" t="str">
        <f>VLOOKUP("AE",AE8:AE41,1,FALSE)</f>
        <v>AE</v>
      </c>
      <c r="AF48" s="366" t="str">
        <f>VLOOKUP("AE",AF7:AF41,1,FALSE)</f>
        <v>AE</v>
      </c>
      <c r="AG48" s="366" t="str">
        <f>VLOOKUP("AE",AG7:AG41,1,FALSE)</f>
        <v>AE</v>
      </c>
      <c r="AH48" s="366" t="str">
        <f>VLOOKUP("AE",AH7:AH41,1,FALSE)</f>
        <v>AE</v>
      </c>
      <c r="AI48" s="311"/>
      <c r="AJ48" s="312"/>
      <c r="AK48" s="311"/>
      <c r="AL48" s="313"/>
      <c r="AM48" s="313"/>
      <c r="AN48" s="313"/>
      <c r="AO48" s="313"/>
      <c r="AP48" s="313"/>
      <c r="AQ48" s="313"/>
      <c r="AR48" s="313"/>
      <c r="AS48" s="313"/>
      <c r="AT48" s="313"/>
      <c r="AU48" s="313"/>
      <c r="AV48" s="313"/>
      <c r="AW48" s="313"/>
      <c r="AX48" s="313"/>
      <c r="AY48" s="313"/>
      <c r="AZ48" s="313"/>
      <c r="BA48" s="313"/>
      <c r="BB48" s="313"/>
      <c r="BC48" s="313"/>
      <c r="BD48" s="313"/>
      <c r="BE48" s="313"/>
      <c r="BF48" s="313"/>
      <c r="BG48" s="313"/>
      <c r="BH48" s="313"/>
      <c r="BI48" s="313"/>
      <c r="BJ48" s="313"/>
      <c r="BK48" s="313"/>
      <c r="BL48" s="313"/>
      <c r="BM48" s="313"/>
      <c r="BN48" s="313"/>
      <c r="BO48" s="313"/>
      <c r="BP48" s="313"/>
      <c r="BQ48" s="314"/>
    </row>
  </sheetData>
  <mergeCells count="1">
    <mergeCell ref="C1:S1"/>
  </mergeCells>
  <conditionalFormatting sqref="P12">
    <cfRule type="expression" dxfId="136" priority="10">
      <formula>WEEKDAY(K$3,2)&gt;5</formula>
    </cfRule>
    <cfRule type="expression" dxfId="136" priority="11">
      <formula>WEEKDAY(J$3,2)&gt;5</formula>
    </cfRule>
  </conditionalFormatting>
  <conditionalFormatting sqref="J19">
    <cfRule type="expression" dxfId="136" priority="1">
      <formula>WEEKDAY(L$3,2)&gt;5</formula>
    </cfRule>
  </conditionalFormatting>
  <conditionalFormatting sqref="X25">
    <cfRule type="expression" dxfId="136" priority="4">
      <formula>WEEKDAY(AA$3,2)&gt;5</formula>
    </cfRule>
    <cfRule type="expression" dxfId="136" priority="5">
      <formula>WEEKDAY(Z$3,2)&gt;5</formula>
    </cfRule>
  </conditionalFormatting>
  <conditionalFormatting sqref="AF25">
    <cfRule type="expression" dxfId="136" priority="6">
      <formula>WEEKDAY(AG$3,2)&gt;5</formula>
    </cfRule>
    <cfRule type="expression" dxfId="136" priority="7">
      <formula>WEEKDAY(AF$3,2)&gt;5</formula>
    </cfRule>
  </conditionalFormatting>
  <conditionalFormatting sqref="S28">
    <cfRule type="notContainsBlanks" dxfId="837" priority="78">
      <formula>LEN(TRIM(S28))&gt;0</formula>
    </cfRule>
  </conditionalFormatting>
  <conditionalFormatting sqref="K28:K29">
    <cfRule type="expression" dxfId="136" priority="9">
      <formula>WEEKDAY(M$3,2)&gt;5</formula>
    </cfRule>
  </conditionalFormatting>
  <conditionalFormatting sqref="A1:BQ48">
    <cfRule type="cellIs" dxfId="155" priority="79" operator="equal">
      <formula>"RESERVE"</formula>
    </cfRule>
  </conditionalFormatting>
  <conditionalFormatting sqref="T2:X41 C3:S41 Y3:AH41">
    <cfRule type="expression" dxfId="136" priority="71">
      <formula>WEEKDAY(T$3,2)&gt;5</formula>
    </cfRule>
  </conditionalFormatting>
  <conditionalFormatting sqref="J4:J48 AA4:AA48 C5:I48 K5:Z48 AB5:AH48">
    <cfRule type="cellIs" dxfId="137" priority="56" operator="equal">
      <formula>"B"</formula>
    </cfRule>
    <cfRule type="cellIs" dxfId="137" priority="57" operator="equal">
      <formula>"AL"</formula>
    </cfRule>
    <cfRule type="cellIs" dxfId="138" priority="58" operator="equal">
      <formula>"DM"</formula>
    </cfRule>
    <cfRule type="cellIs" dxfId="139" priority="59" operator="equal">
      <formula>"CS1"</formula>
    </cfRule>
    <cfRule type="cellIs" dxfId="140" priority="60" operator="equal">
      <formula>"CS2"</formula>
    </cfRule>
    <cfRule type="cellIs" dxfId="141" priority="61" operator="equal">
      <formula>"SB1"</formula>
    </cfRule>
    <cfRule type="cellIs" dxfId="142" priority="62" operator="equal">
      <formula>"SB2"</formula>
    </cfRule>
    <cfRule type="cellIs" dxfId="143" priority="63" operator="equal">
      <formula>"AE"</formula>
    </cfRule>
  </conditionalFormatting>
  <conditionalFormatting sqref="J4:J41 AA4:AA41 C5:I41 K5:Z41 AB5:AH41">
    <cfRule type="cellIs" dxfId="137" priority="65" operator="equal">
      <formula>"DB"</formula>
    </cfRule>
    <cfRule type="containsText" dxfId="144" priority="66" operator="between" text="$AM">
      <formula>NOT(ISERROR(SEARCH("$AM",C4)))</formula>
    </cfRule>
    <cfRule type="containsText" dxfId="145" priority="67" operator="between" text="$PM">
      <formula>NOT(ISERROR(SEARCH("$PM",C4)))</formula>
    </cfRule>
    <cfRule type="containsText" dxfId="146" priority="68" operator="between" text="$L">
      <formula>NOT(ISERROR(SEARCH("$L",C4)))</formula>
    </cfRule>
    <cfRule type="containsText" dxfId="147" priority="69" operator="between" text="$BTP">
      <formula>NOT(ISERROR(SEARCH("$BTP",C4)))</formula>
    </cfRule>
    <cfRule type="containsText" dxfId="148" priority="70" operator="between" text="$M">
      <formula>NOT(ISERROR(SEARCH("$M",C4)))</formula>
    </cfRule>
    <cfRule type="containsText" dxfId="149" priority="72" operator="between" text="$N">
      <formula>NOT(ISERROR(SEARCH("$N",C4)))</formula>
    </cfRule>
    <cfRule type="containsText" dxfId="150" priority="73" operator="between" text="$FC">
      <formula>NOT(ISERROR(SEARCH("$FC",C4)))</formula>
    </cfRule>
    <cfRule type="containsText" dxfId="151" priority="74" operator="between" text="OAL">
      <formula>NOT(ISERROR(SEARCH("OAL",C4)))</formula>
    </cfRule>
    <cfRule type="containsText" dxfId="152" priority="75" operator="between" text="S+">
      <formula>NOT(ISERROR(SEARCH("S+",C4)))</formula>
    </cfRule>
    <cfRule type="containsText" dxfId="153" priority="76" operator="between" text="EX-D">
      <formula>NOT(ISERROR(SEARCH("EX-D",C4)))</formula>
    </cfRule>
  </conditionalFormatting>
  <conditionalFormatting sqref="J4:J25 C5:C25 D5:D21 E5:E20 F5:F21 G5:H9 I5:I27 K5:K21 L5:M30 N5:N25 O5:O8 P5:P16 Q5:Q29 R5:R25 S5:S7 T5:T29 U5:U7 V5:V16 W5:W10 X5:X26 Y5:Y29 Z5:AB40 AC5:AC30 AD5:AD34 AE5:AE28 AF5:AF25 AG5:AG26 AH5:AH16 S9:S29 U9:U29 O10:O28 G11:H25 W12:W26 P18:P26 V18:V29 AH18:AH25 E22:E29 D23 F23:F25 K23:K25 D25:D27 F27:F28 G27:G30 H27:H29 K27:K29 N27:N32 R27 AF27 AH27 J28:J30 P28 W28:W29 X28 I29 AF29:AF31 AG29:AG30 R30 AE30:AE32 AH30 C31:F31 H31:I31 O31 P31:P32 Q31:Q36 S31:S39 U31:U34 V31:V39 W31:W33 G32 R32 X32:X36 Y32:Y40 AC32:AC40 E33 H33:K33 T33:T39 AF33 F34:G34 R34 AE34:AE36 E35:E37 J35:J36 W35:W36 F36 G36:G37 H36:I36 K36:L36 P36 U36:U39 C37 O37 R37 AD37 W38:W39 Q39:R39 X39 AE39:AF39 AH39 U41">
    <cfRule type="containsText" dxfId="154" priority="77" operator="between" text="VACC">
      <formula>NOT(ISERROR(SEARCH("VACC",C4)))</formula>
    </cfRule>
  </conditionalFormatting>
  <conditionalFormatting sqref="C5:C39 D5:D16 E5:E20 F5:F14 H5:H9 I5:I6 J5:K5 L5:L6 M5:O8 P5:P6 Q5:Q8 R5:R10 S5:S6 U5 V5:V6 W5 X5:X6 AA5:AA6 AC5 AG5:AG8 AH5:AH6 G6:G9 T6:T7 AE6 U7 Y7:Y8 AC7:AC9 AF7 K8 L8:L10 P8 Z8 AD8 I9 T9 U9:U10 W9 X9:X10 AB9 AF9 K10:K16 O10:O11 S10:S14 Z10 AG10:AG15 AH10 H11:H12 J11:J12 M11:N14 P11:Q12 V11:V12 AA11:AA14 AF11 G12 I12 L12:L15 T12:U14 Y12:Y15 Z12:Z14 O13:O17 W13:W16 X13:X14 AE13:AE14 G14 H14:H15 I14:I16 J14:J15 P14:R14 V14 AB14:AD14 AF14:AF15 AH14 G16 N16:N17 P16 Q16:Q23 R16 AF17:AF20 F18:F20 H18:I20 K18:K20 M18:M21 R18:R21 U18:V20 X18:X22 Y18:Y24 Z18:Z21 AD18:AD20 D19:D21 G19:G20 J19:J20 L19:L20 N19:N20 O19:O21 P19:P22 S19:T21 W19:W20 AA19:AB20 AC19:AC21 AE19:AE20 AG19:AG21 AH19:AH20 E22:E29 G22:G25 I22:J22 N22 U22:V22 W22:W23 AD22 H23 L23 R23:R25 AC23:AC24 AF23 F24:F25 I24 J24:K25 M24:M25 P24 U24 X24:X26 Z24:AA24 AD24:AD25 AE24 AG24:AG25 AH24 H25 L25:L30 O25:O26 S25 AF25 D26 Q26 V26 Y26:Z26 AB26 F27 G27:G29 I27 K27 M27:M29 N27 R27 T27:U27 AD27:AD28 AE27 J28 V28 W28:W29 Y28:Y29 Z28 K29 S29 AA29 AF29:AG29 D31:F31 N31:N32 Q31 AA31:AA32 AF31 G32 AE32 E33 V33 R34 X34:X35 Y34:Z34 AB34 AE34 E35:E37 Q35 AC35 AE36 R37 Z37 U39:V39 AH39">
    <cfRule type="cellIs" dxfId="137" priority="12" operator="equal">
      <formula>"B"</formula>
    </cfRule>
    <cfRule type="cellIs" dxfId="137" priority="13" operator="equal">
      <formula>"AL"</formula>
    </cfRule>
    <cfRule type="cellIs" dxfId="138" priority="14" operator="equal">
      <formula>"DM"</formula>
    </cfRule>
    <cfRule type="cellIs" dxfId="139" priority="15" operator="equal">
      <formula>"CS1"</formula>
    </cfRule>
    <cfRule type="cellIs" dxfId="140" priority="16" operator="equal">
      <formula>"CS2"</formula>
    </cfRule>
    <cfRule type="cellIs" dxfId="141" priority="17" operator="equal">
      <formula>"SB1"</formula>
    </cfRule>
    <cfRule type="cellIs" dxfId="142" priority="18" operator="equal">
      <formula>"SB2"</formula>
    </cfRule>
    <cfRule type="cellIs" dxfId="143" priority="19" operator="equal">
      <formula>"AE"</formula>
    </cfRule>
    <cfRule type="cellIs" dxfId="137" priority="20" operator="equal">
      <formula>"DB"</formula>
    </cfRule>
    <cfRule type="containsText" dxfId="144" priority="21" operator="between" text="$AM">
      <formula>NOT(ISERROR(SEARCH("$AM",C5)))</formula>
    </cfRule>
    <cfRule type="containsText" dxfId="145" priority="22" operator="between" text="$PM">
      <formula>NOT(ISERROR(SEARCH("$PM",C5)))</formula>
    </cfRule>
    <cfRule type="containsText" dxfId="146" priority="23" operator="between" text="$L">
      <formula>NOT(ISERROR(SEARCH("$L",C5)))</formula>
    </cfRule>
    <cfRule type="containsText" dxfId="147" priority="24" operator="between" text="$BTP">
      <formula>NOT(ISERROR(SEARCH("$BTP",C5)))</formula>
    </cfRule>
    <cfRule type="containsText" dxfId="148" priority="25" operator="between" text="$M">
      <formula>NOT(ISERROR(SEARCH("$M",C5)))</formula>
    </cfRule>
    <cfRule type="containsText" dxfId="149" priority="26" operator="between" text="$N">
      <formula>NOT(ISERROR(SEARCH("$N",C5)))</formula>
    </cfRule>
    <cfRule type="containsText" dxfId="150" priority="27" operator="between" text="$FC">
      <formula>NOT(ISERROR(SEARCH("$FC",C5)))</formula>
    </cfRule>
    <cfRule type="containsText" dxfId="151" priority="28" operator="between" text="OAL">
      <formula>NOT(ISERROR(SEARCH("OAL",C5)))</formula>
    </cfRule>
    <cfRule type="containsText" dxfId="152" priority="29" operator="between" text="S+">
      <formula>NOT(ISERROR(SEARCH("S+",C5)))</formula>
    </cfRule>
    <cfRule type="containsText" dxfId="153" priority="30" operator="between" text="EX-D">
      <formula>NOT(ISERROR(SEARCH("EX-D",C5)))</formula>
    </cfRule>
  </conditionalFormatting>
  <conditionalFormatting sqref="C5:C26 D5:D16 E5:E20 F5:F14 H5:H9 I5:I6 J5:K5 L5:L6 M5:O8 P5:P6 Q5:Q8 R5:R10 S5:S6 U5 V5:V6 W5 X5:X6 AA5:AA6 AC5 AG5:AG8 AH5:AH6 G6:G9 T6:T7 AE6 U7 Y7 AC7:AC9 AF7 K8 L8:L10 P8 Z8 AD8 I9 T9 U9:U10 W9 X9:X10 AB9 AF9 K10:K16 O10:O11 S10:S14 Z10 AG10:AG15 AH10 H11:H12 J11:J12 M11:N14 P11:Q12 V11:V12 AA11:AA14 AF11 G12 I12 L12:L15 T12:U14 Z12:Z14 O13:O14 W13:W16 X13:X14 Y13:Y15 AE13:AE14 G14 H14:H15 I14:I16 J14:J15 P14:R14 V14 AB14:AD14 AF14:AF15 AH14 G16 N16:O17 P16 Q16:Q23 R16 AF17 F18:F20 H18:I20 K18:K20 M18:M21 R18:R21 U18:V20 X18:Z21 AD18:AD20 D19:D21 G19:G20 J19:J20 L19:L20 N19:N20 O19:O21 P19:P22 S19:T21 W19:W20 AA19:AB20 AC19:AC21 AE19:AF20 AG19:AG21 AH19:AH20 E22:E31 G22:G25 I22:J22 N22 AD22 H23 L23 R23:R25 W23 Y23:Y24 AC23:AC24 AF23 D24 F24:F25 I24 J24:K25 P24 U24 X24:X26 Z24:AA24 AD24:AD25 AE24 AG24:AG25 AH24 H25 L25:M25 O25 S25 AF25 D26 Q26 V26 Y26:Z26 AB26 F27 G27:G30 I27 L27:M30 N27 P27 R27 T27:U27 W27:W30 AD27:AD28 AE27 C28 J28 K28:K31 V28 O29:O30 S29:S30 Y29:Y30 AA29:AA32 AF29:AF31 AG29:AG30 C30:D31 F30:F32 H30:J30 N30:N32 P30 Q30:Q31 R30 T30:V30 X30 Z30 AB30:AE30 AH30 G32 J32 AE32 E33:E37 V33 I34:I36 R34 X34:X35 Y34:Z34 AB34 AE34 J35:J36 Q35 AC35 F36:F37 G36:H36 AB36 AE36 C37 Z37 U39:V39 AH39">
    <cfRule type="expression" dxfId="136" priority="31">
      <formula>WEEKDAY(#REF!,2)&gt;5</formula>
    </cfRule>
  </conditionalFormatting>
  <conditionalFormatting sqref="F5 X6 AA6 U7 Z8 AB9 C12 S12 T12:U13 Z12:Z13 AA12 Y13 Y15 C19:D19 T19:U19 T22 AE24 E25 V26 Y26:Z26 AB26 T27 AD27:AD28 AE27 AA28:AA29 S29 AF29 Q31 AE32 R34 AE34 Q35 Z37 AH39">
    <cfRule type="expression" dxfId="136" priority="32">
      <formula>WEEKDAY(H$3,2)&gt;5</formula>
    </cfRule>
  </conditionalFormatting>
  <conditionalFormatting sqref="F5 C9 E11 C12 C19:D19 C23">
    <cfRule type="expression" dxfId="136" priority="34">
      <formula>WEEKDAY(H$3,2)&gt;5</formula>
    </cfRule>
  </conditionalFormatting>
  <conditionalFormatting sqref="C5:C25 D5:D21 E5:E20 F5:F21 G5:H9 I5:I27 J5:J25 K5:K21 L5:M30 N5:N25 O5:O8 P5:P16 Q5:Q29 R5:R25 S5:S7 T5:T29 U5:U7 V5:V16 W5:W10 X5:X26 Y5:Y29 Z5:AB40 AC5:AC30 AD5:AD34 AE5:AE28 AF5:AF25 AG5:AG26 AH5:AH16 S9:S29 U9:U16 O10:O28 G11:H25 W12:W17 P18:P26 U18:V29 AH18:AH25 W19:W26 E22:E29 D23 F23:F25 K23:K25 D25:D27 F27:F28 G27:G30 H27:H29 K27:K29 N27:N32 R27 AF27 AH27 J28:J30 P28 W28:W29 X28 I29 AF29:AF31 AG29:AG30 R30 AE30:AE32 AH30 C31:F31 H31:I31 O31 P31:P32 Q31:Q36 S31:S39 U31:U34 V31:V39 W31:W33 G32 R32 X32:X36 Y32:Y40 AC32:AC40 E33 H33:K33 T33:T39 AF33 F34:G34 R34 AE34:AE36 E35:E37 J35:J36 W35:W36 F36 G36:G37 H36:I36 K36:L36 P36 U36:U39 C37 O37 R37 AD37 W38:W39 Q39:R39 X39 AE39:AF39 AH39 U41">
    <cfRule type="cellIs" dxfId="137" priority="35" operator="equal">
      <formula>"B"</formula>
    </cfRule>
    <cfRule type="cellIs" dxfId="137" priority="36" operator="equal">
      <formula>"AL"</formula>
    </cfRule>
    <cfRule type="cellIs" dxfId="138" priority="37" operator="equal">
      <formula>"DM"</formula>
    </cfRule>
    <cfRule type="cellIs" dxfId="139" priority="38" operator="equal">
      <formula>"CS1"</formula>
    </cfRule>
    <cfRule type="cellIs" dxfId="140" priority="39" operator="equal">
      <formula>"CS2"</formula>
    </cfRule>
    <cfRule type="cellIs" dxfId="141" priority="40" operator="equal">
      <formula>"SB1"</formula>
    </cfRule>
    <cfRule type="cellIs" dxfId="142" priority="41" operator="equal">
      <formula>"SB2"</formula>
    </cfRule>
    <cfRule type="cellIs" dxfId="143" priority="42" operator="equal">
      <formula>"AE"</formula>
    </cfRule>
    <cfRule type="cellIs" dxfId="137" priority="44" operator="equal">
      <formula>"DB"</formula>
    </cfRule>
    <cfRule type="containsText" dxfId="144" priority="45" operator="between" text="$AM">
      <formula>NOT(ISERROR(SEARCH("$AM",C5)))</formula>
    </cfRule>
    <cfRule type="containsText" dxfId="145" priority="46" operator="between" text="$PM">
      <formula>NOT(ISERROR(SEARCH("$PM",C5)))</formula>
    </cfRule>
    <cfRule type="containsText" dxfId="146" priority="47" operator="between" text="$L">
      <formula>NOT(ISERROR(SEARCH("$L",C5)))</formula>
    </cfRule>
    <cfRule type="containsText" dxfId="147" priority="48" operator="between" text="$BTP">
      <formula>NOT(ISERROR(SEARCH("$BTP",C5)))</formula>
    </cfRule>
    <cfRule type="containsText" dxfId="148" priority="49" operator="between" text="$M">
      <formula>NOT(ISERROR(SEARCH("$M",C5)))</formula>
    </cfRule>
    <cfRule type="containsText" dxfId="149" priority="50" operator="between" text="$N">
      <formula>NOT(ISERROR(SEARCH("$N",C5)))</formula>
    </cfRule>
    <cfRule type="containsText" dxfId="150" priority="51" operator="between" text="$FC">
      <formula>NOT(ISERROR(SEARCH("$FC",C5)))</formula>
    </cfRule>
    <cfRule type="containsText" dxfId="151" priority="52" operator="between" text="OAL">
      <formula>NOT(ISERROR(SEARCH("OAL",C5)))</formula>
    </cfRule>
    <cfRule type="containsText" dxfId="152" priority="53" operator="between" text="S+">
      <formula>NOT(ISERROR(SEARCH("S+",C5)))</formula>
    </cfRule>
    <cfRule type="containsText" dxfId="153" priority="54" operator="between" text="EX-D">
      <formula>NOT(ISERROR(SEARCH("EX-D",C5)))</formula>
    </cfRule>
  </conditionalFormatting>
  <conditionalFormatting sqref="C5:C26 D5:D21 E5:E20 F5:F21 G5:H9 I5:I27 J5:J25 K5:K21 L5:M30 N5:N25 O5:O8 P5:P16 Q5:Q36 R5:R25 S5:S7 T5:T30 U5:U7 V5:V16 W5:W10 X5:X26 Y5:Y30 Z5:AB40 AC5:AC30 AD5:AD34 AE5:AE28 AF5:AF25 AG5:AG26 AH5:AH16 S9:S39 U9:U16 O10:O31 G11:H25 W12:W17 P18:P28 U18:U34 V18:V39 AH18:AH25 W19:W33 E22:E31 D23:D27 F23:F25 K23:K25 F27:F28 G27:G30 H27:H31 K27:K31 N27:N32 R27 AF27 AH27 C28 J28:J30 X28 I29:I31 AF29:AF31 AG29:AG30 C30:D31 F30:F32 P30:P32 R30 X30 AE30:AE32 AH30 G32 J32:J33 R32 X32:X36 Y32:Y40 AC32:AC40 E33:E37 H33 I33:I36 K33 T33:T39 AF33 F34:G34 R34 AE34:AE36 J35:J37 W35:W36 F36:G37 H36 K36:L36 P36 U36:U39 C37 O37 R37 AD37 W38:W39 Q39:R39 X39 AE39:AF39 AH39 U41">
    <cfRule type="containsText" dxfId="154" priority="43" operator="between" text="VACC">
      <formula>NOT(ISERROR(SEARCH("VACC",C5)))</formula>
    </cfRule>
  </conditionalFormatting>
  <conditionalFormatting sqref="C5:C25 D5:D21 E5:E20 F5:F21 G5:H9 I5:I27 J5:J25 K5:K21 L5:M30 N5:N25 O5:O8 P5:P16 Q5:Q29 R5:R25 S5:S7 T5:T29 U5:U7 V5:V16 W5:W10 X5:X26 Y5:Y29 Z5:AB40 AC5:AC30 AD5:AD34 AE5:AE28 AF5:AF12 AG5:AG26 AH5:AH16 S9:S29 U9:U16 O10:O28 G11:H25 W12:W17 AF14:AF25 P18:P26 U18:V29 AH18:AH25 W19:W26 E22:E29 D23 F23:F25 K23:K25 D25:D27 F27:F28 G27:G30 H27:H29 K27:K29 N27:N32 R27 AF27 AH27 J28:J30 P28 W28:W29 X28 I29 AF29:AF31 AG29:AG30 R30 AE30:AE32 AH30 C31:F31 H31:I31 O31 P31:P32 Q31:Q36 S31:S39 U31:U34 V31:V39 W31:W33 G32 R32 X32:X36 Y32:Y40 AC32:AC40 E33 H33:K33 T33:T39 AF33 F34:G34 R34 AE34:AE36 E35:E37 J35:J36 W35:W36 F36 G36:G37 H36:I36 K36:L36 P36 U36:U39 C37 O37 R37 AD37 W38:W39 Q39:R39 X39 AE39:AF39 AH39 U41">
    <cfRule type="expression" dxfId="136" priority="55">
      <formula>WEEKDAY(#REF!,2)&gt;5</formula>
    </cfRule>
  </conditionalFormatting>
  <conditionalFormatting sqref="BP5:BQ41">
    <cfRule type="cellIs" dxfId="155" priority="64" operator="lessThan">
      <formula>1</formula>
    </cfRule>
  </conditionalFormatting>
  <conditionalFormatting sqref="X6 AA6 U7 P8 Z8 AB9 P12 S12 T12:U13 Z12:Z13 AA12:AB12 Y13 Y15 T19:U19 T22 AA22 G24 AE24 E25 V26 Y26:Z26 AB26 T27 AD27:AD28 AE27 F28 AA28:AA29 S29 AF29 Q31 AE32 R34 AE34 Q35 Z37 AH39 U41">
    <cfRule type="expression" dxfId="136" priority="33">
      <formula>WEEKDAY(Y$3,2)&gt;5</formula>
    </cfRule>
  </conditionalFormatting>
  <conditionalFormatting sqref="D15 C21 C24">
    <cfRule type="expression" dxfId="136" priority="8">
      <formula>WEEKDAY(E$3,2)&gt;5</formula>
    </cfRule>
  </conditionalFormatting>
  <conditionalFormatting sqref="T18 G23:H23 D24 T24 C25 G25:H25">
    <cfRule type="expression" dxfId="136" priority="2">
      <formula>WEEKDAY(U$3,2)&gt;5</formula>
    </cfRule>
  </conditionalFormatting>
  <conditionalFormatting sqref="T18 T24">
    <cfRule type="expression" dxfId="136" priority="3">
      <formula>WEEKDAY(V$3,2)&gt;5</formula>
    </cfRule>
  </conditionalFormatting>
  <dataValidations count="2">
    <dataValidation type="list" allowBlank="1" sqref="C5:F5 H5:S5 U5:X5 AE5:AH5 C6:V6 X6 AE6 AG6:AH6 D7:H7 J7:V7 X7:Y7 AA7:AC7 AF7:AH7 C8:P8 R8 T8:V8 X8:Z8 AB8 AE8 AG8:AH8 D9:I9 L9:O9 Q9:Z9 AB9:AC9 AE9:AH9 C10 E10:F10 H10:U10 W10:X10 Z10:AD10 C11:E11 G11:H11 J11 L11:M11 O11:T11 V11 AA11:AC11 C12:W12 Y12:AD12 C13:F13 H13:V13 X13:AB13 AD13 AG13:AH13 C14:AH14 C15:AE15 AG15:AH15 C16:T16 V16:W16 Z16:AA16 AC16:AH16 C17:I17 N17:U17 X17:AB17 AD17 AF17:AG17 C18:F18 H18:I18 K18:N18 P18:X18 Z18:AA18 AC18:AD18 AF18:AH18 C21:E21 H21:T21 V21:AA21 AC21:AD21 AF21:AG21 D22:E22 G22:H22 L22 N22 P22 R22:AA22 AC22:AH22 K23:L23 N23:R23 T23:AD23 AF23:AH23 J24 L24:O24 S24:U24 X24:AH24 C25:X25 Z25 AB25 AD25 AF25:AH25 D26:E26 G26:L26 O26:V26 X26:AD26 AG26:AH26 E27:P27 R27:AB27 AD27:AF27 AH27 C28:H28 J28:P28 S28 U28:W28 Z28:AB28 AG28:AH28 C29:M29 O29:Q29 S29:T29 V29:Y29 AA29 AF29:AH29 C30:AH30 D31:I31 K31:L31 N31 P31:S31 V31 X31 AA31:AB31 AE31:AF31 C32:D32 F32 H32 J32:K32 M32:S32 U32:AH32 G33:L33 N33:S33 V33 X33 AB33 AD33 AF33:AH33 I34 K34:P34 R34:V34 X34:Y34 AA34:AB34 AD34:AE34 I35:K35 Q35:T35 V35:Y35 AA35:AC35 C36:J36 Q36:U36 W36:X36 AA36:AB36 AF36:AG36 C37:G37 I37 K37 N37:O37 Q37:S37 U37:V37 X37 Z37 AC37 AE37 AG37:AH37 C38:AH38 C39:E39 G39 I39:J39 L39:O39 Q39:W39 Y39:AA39 AC39 AE39:AH39 C40:D40 J40:L40 T40 V40 X40 AD40:AH40 C41:L41 S41:AH41 AD28:AD29 C19:AH20 C23:H24 C33:E35 M35:O36 N40:P41 Z5:AC6 AF10:AH12 AG34:AH35" showDropDown="1">
      <formula1>'Setting key Duty'!$B$7:$B$56</formula1>
    </dataValidation>
    <dataValidation type="list" allowBlank="1" sqref="C42:AH48" showDropDown="1">
      <formula1>'Setting key Duty'!$B$7:$B$23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BQ4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B2" sqref="B2"/>
    </sheetView>
  </sheetViews>
  <sheetFormatPr defaultColWidth="12.6285714285714" defaultRowHeight="15.75" customHeight="1"/>
  <cols>
    <col min="1" max="1" width="2.13333333333333" customWidth="1"/>
    <col min="2" max="2" width="29.752380952381" customWidth="1"/>
    <col min="3" max="11" width="9.24761904761905" customWidth="1"/>
    <col min="12" max="12" width="9.38095238095238" customWidth="1"/>
    <col min="13" max="13" width="10.6285714285714" customWidth="1"/>
    <col min="14" max="14" width="9.24761904761905" customWidth="1"/>
    <col min="15" max="15" width="10" customWidth="1"/>
    <col min="16" max="17" width="9.24761904761905" customWidth="1"/>
    <col min="18" max="18" width="9.62857142857143" customWidth="1"/>
    <col min="19" max="19" width="9.13333333333333" customWidth="1"/>
    <col min="20" max="26" width="9.24761904761905" customWidth="1"/>
    <col min="27" max="27" width="10.5047619047619" customWidth="1"/>
    <col min="28" max="30" width="9.24761904761905" customWidth="1"/>
    <col min="31" max="31" width="10.5047619047619" customWidth="1"/>
    <col min="32" max="32" width="9.38095238095238" customWidth="1"/>
    <col min="33" max="34" width="9.24761904761905" customWidth="1"/>
    <col min="35" max="41" width="9.38095238095238" hidden="1" customWidth="1" outlineLevel="1"/>
    <col min="42" max="42" width="6.75238095238095" customWidth="1" collapsed="1"/>
    <col min="43" max="43" width="8.87619047619048" customWidth="1" outlineLevel="1"/>
    <col min="44" max="44" width="7.87619047619048" customWidth="1" outlineLevel="1"/>
    <col min="45" max="45" width="9.13333333333333" customWidth="1" outlineLevel="1"/>
    <col min="46" max="46" width="8.24761904761905" customWidth="1" outlineLevel="1"/>
    <col min="47" max="47" width="5.5047619047619" customWidth="1" outlineLevel="1"/>
    <col min="48" max="50" width="9.38095238095238" customWidth="1"/>
    <col min="51" max="58" width="9.38095238095238" customWidth="1" outlineLevel="1"/>
    <col min="59" max="59" width="10" customWidth="1" outlineLevel="1"/>
    <col min="60" max="65" width="9.38095238095238" customWidth="1" outlineLevel="1"/>
    <col min="66" max="66" width="9.38095238095238" customWidth="1"/>
    <col min="67" max="67" width="9.5047619047619" customWidth="1"/>
    <col min="68" max="69" width="9.38095238095238" customWidth="1"/>
  </cols>
  <sheetData>
    <row r="1" ht="16.5" spans="1:69">
      <c r="A1" s="284"/>
      <c r="B1" s="285" t="s">
        <v>0</v>
      </c>
      <c r="C1" s="286" t="str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>
  Enter DM for DM, CS1 for CS1, CS2 for CS2, and SB1 for SB1. Use the 'Setting key' tab to customise. Change Date on highlighted cell
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287"/>
      <c r="U1" s="287"/>
      <c r="V1" s="288"/>
      <c r="W1" s="287"/>
      <c r="X1" s="287"/>
      <c r="Y1" s="289"/>
      <c r="Z1" s="289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0"/>
      <c r="BE1" s="290"/>
      <c r="BF1" s="290"/>
      <c r="BG1" s="290"/>
      <c r="BH1" s="290"/>
      <c r="BI1" s="290"/>
      <c r="BJ1" s="290"/>
      <c r="BK1" s="290"/>
      <c r="BL1" s="290"/>
      <c r="BM1" s="290"/>
      <c r="BN1" s="290"/>
      <c r="BO1" s="290"/>
      <c r="BP1" s="290"/>
      <c r="BQ1" s="291"/>
    </row>
    <row r="2" ht="26.25" customHeight="1" spans="1:69">
      <c r="A2" s="292"/>
      <c r="B2" s="24" t="s">
        <v>1</v>
      </c>
      <c r="C2" s="167"/>
      <c r="D2" s="167" t="s">
        <v>8</v>
      </c>
      <c r="E2" s="167" t="s">
        <v>149</v>
      </c>
      <c r="F2" s="167" t="s">
        <v>149</v>
      </c>
      <c r="G2" s="167"/>
      <c r="H2" s="167" t="s">
        <v>150</v>
      </c>
      <c r="I2" s="167" t="s">
        <v>465</v>
      </c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8"/>
      <c r="U2" s="167"/>
      <c r="V2" s="293"/>
      <c r="W2" s="167"/>
      <c r="X2" s="167"/>
      <c r="Y2" s="167"/>
      <c r="Z2" s="167"/>
      <c r="AA2" s="294"/>
      <c r="AB2" s="167"/>
      <c r="AC2" s="167"/>
      <c r="AD2" s="167"/>
      <c r="AE2" s="167"/>
      <c r="AF2" s="167"/>
      <c r="AG2" s="167"/>
      <c r="AH2" s="258"/>
      <c r="AI2" s="218"/>
      <c r="AJ2" s="218"/>
      <c r="AK2" s="218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  <c r="AX2" s="295"/>
      <c r="AY2" s="295"/>
      <c r="AZ2" s="295"/>
      <c r="BA2" s="296" t="s">
        <v>16</v>
      </c>
      <c r="BB2" s="296"/>
      <c r="BC2" s="296" t="s">
        <v>17</v>
      </c>
      <c r="BD2" s="296"/>
      <c r="BE2" s="296" t="s">
        <v>18</v>
      </c>
      <c r="BF2" s="296"/>
      <c r="BG2" s="296"/>
      <c r="BH2" s="296" t="s">
        <v>19</v>
      </c>
      <c r="BI2" s="296"/>
      <c r="BJ2" s="296" t="s">
        <v>20</v>
      </c>
      <c r="BK2" s="296"/>
      <c r="BL2" s="296"/>
      <c r="BM2" s="296"/>
      <c r="BN2" s="295"/>
      <c r="BO2" s="295"/>
      <c r="BP2" s="295"/>
      <c r="BQ2" s="297"/>
    </row>
    <row r="3" ht="26.25" customHeight="1" spans="1:69">
      <c r="A3" s="292"/>
      <c r="B3" s="24" t="s">
        <v>21</v>
      </c>
      <c r="C3" s="298">
        <v>45809</v>
      </c>
      <c r="D3" s="299">
        <f t="shared" ref="D3:AH3" si="0">C3+1</f>
        <v>45810</v>
      </c>
      <c r="E3" s="299">
        <f t="shared" si="0"/>
        <v>45811</v>
      </c>
      <c r="F3" s="299">
        <f t="shared" si="0"/>
        <v>45812</v>
      </c>
      <c r="G3" s="299">
        <f t="shared" si="0"/>
        <v>45813</v>
      </c>
      <c r="H3" s="299">
        <f t="shared" si="0"/>
        <v>45814</v>
      </c>
      <c r="I3" s="299">
        <f t="shared" si="0"/>
        <v>45815</v>
      </c>
      <c r="J3" s="299">
        <f t="shared" si="0"/>
        <v>45816</v>
      </c>
      <c r="K3" s="299">
        <f t="shared" si="0"/>
        <v>45817</v>
      </c>
      <c r="L3" s="299">
        <f t="shared" si="0"/>
        <v>45818</v>
      </c>
      <c r="M3" s="299">
        <f t="shared" si="0"/>
        <v>45819</v>
      </c>
      <c r="N3" s="299">
        <f t="shared" si="0"/>
        <v>45820</v>
      </c>
      <c r="O3" s="299">
        <f t="shared" si="0"/>
        <v>45821</v>
      </c>
      <c r="P3" s="299">
        <f t="shared" si="0"/>
        <v>45822</v>
      </c>
      <c r="Q3" s="299">
        <f t="shared" si="0"/>
        <v>45823</v>
      </c>
      <c r="R3" s="299">
        <f t="shared" si="0"/>
        <v>45824</v>
      </c>
      <c r="S3" s="299">
        <f t="shared" si="0"/>
        <v>45825</v>
      </c>
      <c r="T3" s="300">
        <f t="shared" si="0"/>
        <v>45826</v>
      </c>
      <c r="U3" s="299">
        <f t="shared" si="0"/>
        <v>45827</v>
      </c>
      <c r="V3" s="301">
        <f t="shared" si="0"/>
        <v>45828</v>
      </c>
      <c r="W3" s="299">
        <f t="shared" si="0"/>
        <v>45829</v>
      </c>
      <c r="X3" s="299">
        <f t="shared" si="0"/>
        <v>45830</v>
      </c>
      <c r="Y3" s="299">
        <f t="shared" si="0"/>
        <v>45831</v>
      </c>
      <c r="Z3" s="299">
        <f t="shared" si="0"/>
        <v>45832</v>
      </c>
      <c r="AA3" s="299">
        <f t="shared" si="0"/>
        <v>45833</v>
      </c>
      <c r="AB3" s="299">
        <f t="shared" si="0"/>
        <v>45834</v>
      </c>
      <c r="AC3" s="299">
        <f t="shared" si="0"/>
        <v>45835</v>
      </c>
      <c r="AD3" s="299">
        <f t="shared" si="0"/>
        <v>45836</v>
      </c>
      <c r="AE3" s="299">
        <f t="shared" si="0"/>
        <v>45837</v>
      </c>
      <c r="AF3" s="299">
        <f t="shared" si="0"/>
        <v>45838</v>
      </c>
      <c r="AG3" s="300">
        <f t="shared" si="0"/>
        <v>45839</v>
      </c>
      <c r="AH3" s="299">
        <f t="shared" si="0"/>
        <v>45840</v>
      </c>
      <c r="AI3" s="221" t="str">
        <f>'Setting key Duty'!$C7</f>
        <v>DM</v>
      </c>
      <c r="AJ3" s="222" t="str">
        <f>'Setting key Duty'!$C8</f>
        <v>CS1</v>
      </c>
      <c r="AK3" s="223" t="str">
        <f>'Setting key Duty'!$C9</f>
        <v>CS2</v>
      </c>
      <c r="AL3" s="302" t="str">
        <f>'Setting key Duty'!$C11</f>
        <v>SB1</v>
      </c>
      <c r="AM3" s="302" t="str">
        <f>'Setting key Duty'!$C12</f>
        <v>SB2</v>
      </c>
      <c r="AN3" s="302" t="str">
        <f>'Setting key Duty'!$C13</f>
        <v>AE</v>
      </c>
      <c r="AO3" s="302" t="str">
        <f>'Setting key Duty'!C14</f>
        <v>EM</v>
      </c>
      <c r="AP3" s="223"/>
      <c r="AQ3" s="223" t="s">
        <v>22</v>
      </c>
      <c r="AR3" s="223" t="s">
        <v>23</v>
      </c>
      <c r="AS3" s="223" t="s">
        <v>24</v>
      </c>
      <c r="AT3" s="223" t="s">
        <v>25</v>
      </c>
      <c r="AU3" s="223" t="s">
        <v>26</v>
      </c>
      <c r="AV3" s="223" t="s">
        <v>27</v>
      </c>
      <c r="AW3" s="223" t="s">
        <v>28</v>
      </c>
      <c r="AX3" s="223" t="s">
        <v>29</v>
      </c>
      <c r="AY3" s="223" t="s">
        <v>30</v>
      </c>
      <c r="AZ3" s="223" t="s">
        <v>31</v>
      </c>
      <c r="BA3" s="302" t="s">
        <v>32</v>
      </c>
      <c r="BB3" s="302" t="s">
        <v>33</v>
      </c>
      <c r="BC3" s="302" t="s">
        <v>34</v>
      </c>
      <c r="BD3" s="302" t="s">
        <v>35</v>
      </c>
      <c r="BE3" s="302" t="s">
        <v>36</v>
      </c>
      <c r="BF3" s="302" t="s">
        <v>37</v>
      </c>
      <c r="BG3" s="302" t="s">
        <v>38</v>
      </c>
      <c r="BH3" s="302" t="s">
        <v>39</v>
      </c>
      <c r="BI3" s="302" t="s">
        <v>40</v>
      </c>
      <c r="BJ3" s="302" t="s">
        <v>41</v>
      </c>
      <c r="BK3" s="302" t="s">
        <v>42</v>
      </c>
      <c r="BL3" s="302" t="str">
        <f>'Setting key Duty'!C52</f>
        <v>Field Camp</v>
      </c>
      <c r="BM3" s="302" t="s">
        <v>43</v>
      </c>
      <c r="BN3" s="302" t="str">
        <f>'Setting key Duty'!$C15</f>
        <v>Block</v>
      </c>
      <c r="BO3" s="302" t="str">
        <f>'Setting key Duty'!C17</f>
        <v>Reserve</v>
      </c>
      <c r="BP3" s="302" t="str">
        <f>'Setting key Duty'!$C22</f>
        <v>AL</v>
      </c>
      <c r="BQ3" s="297"/>
    </row>
    <row r="4" ht="18" customHeight="1" spans="1:69">
      <c r="A4" s="303"/>
      <c r="B4" s="260" t="s">
        <v>156</v>
      </c>
      <c r="C4" s="304" t="str">
        <f t="shared" ref="C4:AH4" si="1">TEXT(C3,"ddd")</f>
        <v>Sun</v>
      </c>
      <c r="D4" s="305" t="str">
        <f t="shared" si="1"/>
        <v>Mon</v>
      </c>
      <c r="E4" s="305" t="str">
        <f t="shared" si="1"/>
        <v>Tue</v>
      </c>
      <c r="F4" s="305" t="str">
        <f t="shared" si="1"/>
        <v>Wed</v>
      </c>
      <c r="G4" s="305" t="str">
        <f t="shared" si="1"/>
        <v>Thu</v>
      </c>
      <c r="H4" s="305" t="str">
        <f t="shared" si="1"/>
        <v>Fri</v>
      </c>
      <c r="I4" s="305" t="str">
        <f t="shared" si="1"/>
        <v>Sat</v>
      </c>
      <c r="J4" s="305" t="str">
        <f t="shared" si="1"/>
        <v>Sun</v>
      </c>
      <c r="K4" s="305" t="str">
        <f t="shared" si="1"/>
        <v>Mon</v>
      </c>
      <c r="L4" s="305" t="str">
        <f t="shared" si="1"/>
        <v>Tue</v>
      </c>
      <c r="M4" s="305" t="str">
        <f t="shared" si="1"/>
        <v>Wed</v>
      </c>
      <c r="N4" s="305" t="str">
        <f t="shared" si="1"/>
        <v>Thu</v>
      </c>
      <c r="O4" s="305" t="str">
        <f t="shared" si="1"/>
        <v>Fri</v>
      </c>
      <c r="P4" s="305" t="str">
        <f t="shared" si="1"/>
        <v>Sat</v>
      </c>
      <c r="Q4" s="305" t="str">
        <f t="shared" si="1"/>
        <v>Sun</v>
      </c>
      <c r="R4" s="305" t="str">
        <f t="shared" si="1"/>
        <v>Mon</v>
      </c>
      <c r="S4" s="305" t="str">
        <f t="shared" si="1"/>
        <v>Tue</v>
      </c>
      <c r="T4" s="304" t="str">
        <f t="shared" si="1"/>
        <v>Wed</v>
      </c>
      <c r="U4" s="305" t="str">
        <f t="shared" si="1"/>
        <v>Thu</v>
      </c>
      <c r="V4" s="306" t="str">
        <f t="shared" si="1"/>
        <v>Fri</v>
      </c>
      <c r="W4" s="305" t="str">
        <f t="shared" si="1"/>
        <v>Sat</v>
      </c>
      <c r="X4" s="305" t="str">
        <f t="shared" si="1"/>
        <v>Sun</v>
      </c>
      <c r="Y4" s="305" t="str">
        <f t="shared" si="1"/>
        <v>Mon</v>
      </c>
      <c r="Z4" s="305" t="str">
        <f t="shared" si="1"/>
        <v>Tue</v>
      </c>
      <c r="AA4" s="305" t="str">
        <f t="shared" si="1"/>
        <v>Wed</v>
      </c>
      <c r="AB4" s="305" t="str">
        <f t="shared" si="1"/>
        <v>Thu</v>
      </c>
      <c r="AC4" s="305" t="str">
        <f t="shared" si="1"/>
        <v>Fri</v>
      </c>
      <c r="AD4" s="305" t="str">
        <f t="shared" si="1"/>
        <v>Sat</v>
      </c>
      <c r="AE4" s="305" t="str">
        <f t="shared" si="1"/>
        <v>Sun</v>
      </c>
      <c r="AF4" s="305" t="str">
        <f t="shared" si="1"/>
        <v>Mon</v>
      </c>
      <c r="AG4" s="304" t="str">
        <f t="shared" si="1"/>
        <v>Tue</v>
      </c>
      <c r="AH4" s="305" t="str">
        <f t="shared" si="1"/>
        <v>Wed</v>
      </c>
      <c r="AI4" s="227" t="str">
        <f>'Setting key Duty'!$B7</f>
        <v>DM</v>
      </c>
      <c r="AJ4" s="228" t="str">
        <f>'Setting key Duty'!$B8</f>
        <v>CS1</v>
      </c>
      <c r="AK4" s="229" t="str">
        <f>'Setting key Duty'!$B9</f>
        <v>CS2</v>
      </c>
      <c r="AL4" s="307" t="str">
        <f>'Setting key Duty'!$B11</f>
        <v>SB1</v>
      </c>
      <c r="AM4" s="307" t="str">
        <f>'Setting key Duty'!$B12</f>
        <v>SB2</v>
      </c>
      <c r="AN4" s="307" t="str">
        <f>'Setting key Duty'!$B13</f>
        <v>AE</v>
      </c>
      <c r="AO4" s="307" t="str">
        <f>'Setting key Duty'!B14</f>
        <v>EM</v>
      </c>
      <c r="AP4" s="307"/>
      <c r="AQ4" s="307"/>
      <c r="AR4" s="307"/>
      <c r="AS4" s="307"/>
      <c r="AT4" s="307"/>
      <c r="AU4" s="307"/>
      <c r="AV4" s="307"/>
      <c r="AW4" s="307"/>
      <c r="AX4" s="307"/>
      <c r="AY4" s="307"/>
      <c r="AZ4" s="307" t="s">
        <v>45</v>
      </c>
      <c r="BA4" s="307" t="s">
        <v>46</v>
      </c>
      <c r="BB4" s="307"/>
      <c r="BC4" s="307" t="s">
        <v>47</v>
      </c>
      <c r="BD4" s="307"/>
      <c r="BE4" s="307" t="s">
        <v>48</v>
      </c>
      <c r="BF4" s="307"/>
      <c r="BG4" s="307" t="s">
        <v>49</v>
      </c>
      <c r="BH4" s="307" t="s">
        <v>50</v>
      </c>
      <c r="BI4" s="307"/>
      <c r="BJ4" s="307" t="s">
        <v>51</v>
      </c>
      <c r="BK4" s="307"/>
      <c r="BL4" s="307" t="str">
        <f>'Setting key Duty'!B52</f>
        <v>$FC</v>
      </c>
      <c r="BM4" s="307"/>
      <c r="BN4" s="307">
        <f>'Setting key Duty'!$B15</f>
        <v>0</v>
      </c>
      <c r="BO4" s="307" t="str">
        <f>'Setting key Duty'!B17</f>
        <v>RESERVE</v>
      </c>
      <c r="BP4" s="307" t="str">
        <f>'Setting key Duty'!$B22</f>
        <v>AL</v>
      </c>
      <c r="BQ4" s="308"/>
    </row>
    <row r="5" ht="19.5" customHeight="1" spans="1:69">
      <c r="A5" s="309"/>
      <c r="B5" s="373" t="s">
        <v>420</v>
      </c>
      <c r="C5" s="197"/>
      <c r="D5" s="197" t="s">
        <v>350</v>
      </c>
      <c r="E5" s="197" t="s">
        <v>59</v>
      </c>
      <c r="F5" s="197"/>
      <c r="H5" s="197"/>
      <c r="I5" s="197"/>
      <c r="J5" s="197"/>
      <c r="K5" s="197"/>
      <c r="M5" s="197" t="s">
        <v>57</v>
      </c>
      <c r="N5" s="197"/>
      <c r="O5" s="197"/>
      <c r="P5" s="197" t="s">
        <v>54</v>
      </c>
      <c r="Q5" s="197" t="s">
        <v>54</v>
      </c>
      <c r="R5" s="197" t="s">
        <v>54</v>
      </c>
      <c r="S5" s="197" t="s">
        <v>54</v>
      </c>
      <c r="T5" s="197" t="s">
        <v>54</v>
      </c>
      <c r="U5" s="197" t="s">
        <v>54</v>
      </c>
      <c r="V5" s="200" t="s">
        <v>54</v>
      </c>
      <c r="W5" s="197" t="s">
        <v>54</v>
      </c>
      <c r="X5" s="197" t="s">
        <v>54</v>
      </c>
      <c r="Y5" s="197" t="s">
        <v>59</v>
      </c>
      <c r="Z5" s="197"/>
      <c r="AA5" s="197" t="s">
        <v>57</v>
      </c>
      <c r="AC5" s="197"/>
      <c r="AD5" s="197" t="s">
        <v>56</v>
      </c>
      <c r="AE5" s="197"/>
      <c r="AF5" s="197" t="s">
        <v>350</v>
      </c>
      <c r="AG5" s="197"/>
      <c r="AH5" s="197"/>
      <c r="AI5" s="311"/>
      <c r="AJ5" s="312"/>
      <c r="AK5" s="311"/>
      <c r="AL5" s="313"/>
      <c r="AM5" s="313"/>
      <c r="AN5" s="313"/>
      <c r="AO5" s="313"/>
      <c r="AP5" s="238"/>
      <c r="AQ5" s="313">
        <f t="shared" ref="AQ5:AQ36" si="2">SUMPRODUCT(--WEEKDAY(C$3:AG$3,2)&lt;6,--((C5:AG5="DM"))+(C5:AG5="CS1")+((C5:AG5="CS2"))+(C5:AG5="SB1")+(C5:AG5="AE")+(C5:AG5="EM"))</f>
        <v>0</v>
      </c>
      <c r="AR5" s="238"/>
      <c r="AS5" s="238">
        <f t="shared" ref="AS5:AS36" si="3">SUMPRODUCT(--WEEKDAY(C$3:AG$3,2)&gt;5,--((C5:AG5="DM"))+(C5:AG5="CS1")+((C5:AG5="CS2"))+(C5:AG5="SB1")+(C5:AG5="AE")+(C5:AG5="EM"))</f>
        <v>0</v>
      </c>
      <c r="AT5" s="238"/>
      <c r="AU5" s="238">
        <f t="shared" ref="AU5:AU36" si="4">(AQ5-AR5)/2+(AS5-AT5)</f>
        <v>0</v>
      </c>
      <c r="AV5" s="238">
        <f t="shared" ref="AV5:AV36" si="5">AI5+AJ5+AK5+AL5+AN5+AO5</f>
        <v>0</v>
      </c>
      <c r="AW5" s="238">
        <f>BG5+BH5+BJ5+BE5+BC5+BA5+BL5</f>
        <v>0</v>
      </c>
      <c r="AX5" s="238" t="e">
        <f>AU5+$AY$10</f>
        <v>#VALUE!</v>
      </c>
      <c r="AY5" s="313" t="e">
        <f>(BJ5*('Setting key Duty'!$I$8+'Setting key Duty'!$I$12))+(BH5*'Setting key Duty'!$I$9)+(BC5*('Setting key Duty'!$I$13+'Setting key Duty'!$I$9))+(BA5*('Setting key Duty'!$I$13+'Setting key Duty'!$I$12+'Setting key Duty'!$I$11))+(BE5*('Setting key Duty'!$I$8+'Setting key Duty'!$I$9+'Setting key Duty'!$I$12))</f>
        <v>#VALUE!</v>
      </c>
      <c r="AZ5" s="313">
        <f>COUNTIF(D5:AA5,"*BRT*")</f>
        <v>0</v>
      </c>
      <c r="BA5" s="313">
        <f>COUNTIF(A5:AI5,"*$BTP*")</f>
        <v>0</v>
      </c>
      <c r="BB5" s="313" t="e">
        <f>BA5*('Setting key Duty'!$I$13+'Setting key Duty'!$I$12+'Setting key Duty'!$I$11)</f>
        <v>#VALUE!</v>
      </c>
      <c r="BC5" s="313">
        <f>COUNTIF(A5:AI5,"*$L*")</f>
        <v>0</v>
      </c>
      <c r="BD5" s="313" t="e">
        <f>BC5*('Setting key Duty'!$I$13+'Setting key Duty'!$I$9)</f>
        <v>#VALUE!</v>
      </c>
      <c r="BE5" s="313">
        <f>COUNTIF(A5:AI5,"*$M*")</f>
        <v>0</v>
      </c>
      <c r="BF5" s="313">
        <f>BE5*('Setting key Duty'!$I$8+'Setting key Duty'!$I$9+'Setting key Duty'!$I$12)</f>
        <v>0</v>
      </c>
      <c r="BG5" s="313">
        <f>COUNTIF(AI5,"*$N*")</f>
        <v>0</v>
      </c>
      <c r="BH5" s="313">
        <f>COUNTIF(AI5,"*$PM*")</f>
        <v>0</v>
      </c>
      <c r="BI5" s="313">
        <f>BH5*('Setting key Duty'!$I$9)</f>
        <v>0</v>
      </c>
      <c r="BJ5" s="313">
        <f>COUNTIF(A5:AI5,"*$AM*")</f>
        <v>0</v>
      </c>
      <c r="BK5" s="313">
        <f>BJ5*('Setting key Duty'!$I$12+'Setting key Duty'!$I$8)</f>
        <v>0</v>
      </c>
      <c r="BL5" s="313">
        <f>COUNTIF(D5:AI5,"*$FC*")</f>
        <v>0</v>
      </c>
      <c r="BM5" s="313">
        <f>BL5*('Setting key Duty'!$J$11+'Setting key Duty'!$I$8)</f>
        <v>0</v>
      </c>
      <c r="BN5" s="313">
        <f>COUNTIF($D5:$AA5,BN$4)</f>
        <v>0</v>
      </c>
      <c r="BO5" s="313">
        <f>COUNTIF($D5:$AA5,BO$4)</f>
        <v>1</v>
      </c>
      <c r="BP5" s="313">
        <f>COUNTIF($D5:$AA5,BP$4)</f>
        <v>0</v>
      </c>
      <c r="BQ5" s="314"/>
    </row>
    <row r="6" ht="36" customHeight="1" spans="1:69">
      <c r="A6" s="309"/>
      <c r="B6" s="374" t="s">
        <v>60</v>
      </c>
      <c r="C6" s="197" t="s">
        <v>57</v>
      </c>
      <c r="D6" s="197"/>
      <c r="E6" s="197" t="s">
        <v>350</v>
      </c>
      <c r="F6" s="197"/>
      <c r="G6" s="197" t="s">
        <v>150</v>
      </c>
      <c r="H6" s="197" t="s">
        <v>150</v>
      </c>
      <c r="I6" s="197" t="s">
        <v>150</v>
      </c>
      <c r="J6" s="197"/>
      <c r="K6" s="317"/>
      <c r="L6" s="317" t="s">
        <v>56</v>
      </c>
      <c r="M6" s="197"/>
      <c r="N6" s="197"/>
      <c r="O6" s="197"/>
      <c r="Q6" s="197" t="s">
        <v>56</v>
      </c>
      <c r="R6" s="197"/>
      <c r="S6" s="197" t="s">
        <v>350</v>
      </c>
      <c r="T6" s="197"/>
      <c r="U6" s="197" t="s">
        <v>59</v>
      </c>
      <c r="V6" s="200"/>
      <c r="W6" s="197"/>
      <c r="X6" s="197"/>
      <c r="Y6" s="317" t="s">
        <v>223</v>
      </c>
      <c r="AA6" s="197" t="s">
        <v>350</v>
      </c>
      <c r="AB6" s="197"/>
      <c r="AC6" s="197" t="s">
        <v>56</v>
      </c>
      <c r="AD6" s="197"/>
      <c r="AE6" s="197"/>
      <c r="AF6" s="106"/>
      <c r="AG6" s="197"/>
      <c r="AH6" s="197"/>
      <c r="AI6" s="311">
        <f t="shared" ref="AI6:AO6" si="6">COUNTIF($D6:$AE6,AI$4)</f>
        <v>0</v>
      </c>
      <c r="AJ6" s="312">
        <f t="shared" si="6"/>
        <v>3</v>
      </c>
      <c r="AK6" s="311">
        <f t="shared" si="6"/>
        <v>1</v>
      </c>
      <c r="AL6" s="313">
        <f t="shared" si="6"/>
        <v>0</v>
      </c>
      <c r="AM6" s="313">
        <f t="shared" si="6"/>
        <v>0</v>
      </c>
      <c r="AN6" s="313">
        <f t="shared" si="6"/>
        <v>0</v>
      </c>
      <c r="AO6" s="313">
        <f t="shared" si="6"/>
        <v>0</v>
      </c>
      <c r="AP6" s="238"/>
      <c r="AQ6" s="313">
        <f t="shared" si="2"/>
        <v>0</v>
      </c>
      <c r="AR6" s="238"/>
      <c r="AS6" s="238">
        <f t="shared" si="3"/>
        <v>0</v>
      </c>
      <c r="AT6" s="238"/>
      <c r="AU6" s="238">
        <f t="shared" si="4"/>
        <v>0</v>
      </c>
      <c r="AV6" s="238">
        <f t="shared" si="5"/>
        <v>4</v>
      </c>
      <c r="AW6" s="238" t="e">
        <f>AU6+AY6</f>
        <v>#VALUE!</v>
      </c>
      <c r="AX6" s="238" t="e">
        <f>AU6+AY6</f>
        <v>#VALUE!</v>
      </c>
      <c r="AY6" s="313" t="e">
        <f>(BJ6*('Setting key Duty'!$I$8+'Setting key Duty'!$I$12))+(BH6*'Setting key Duty'!$I$9)+(BC6*('Setting key Duty'!$I$13+'Setting key Duty'!$I$9))+(BA6*('Setting key Duty'!$I$13+'Setting key Duty'!$I$12+'Setting key Duty'!$I$11))+(BE6*('Setting key Duty'!$I$8+'Setting key Duty'!$I$9+'Setting key Duty'!$I$12))</f>
        <v>#VALUE!</v>
      </c>
      <c r="AZ6" s="313">
        <f>COUNTIF(D6:AE6,"*BRT*")</f>
        <v>0</v>
      </c>
      <c r="BA6" s="313">
        <f>COUNTIF(A6:AI6,"*$BTP*")</f>
        <v>0</v>
      </c>
      <c r="BB6" s="313" t="e">
        <f>BA6*('Setting key Duty'!$I$13+'Setting key Duty'!$I$12+'Setting key Duty'!$I$11)</f>
        <v>#VALUE!</v>
      </c>
      <c r="BC6" s="313">
        <f>COUNTIF(A6:AI6,"*$L*")</f>
        <v>0</v>
      </c>
      <c r="BD6" s="313" t="e">
        <f>BC6*('Setting key Duty'!$I$13+'Setting key Duty'!$I$9)</f>
        <v>#VALUE!</v>
      </c>
      <c r="BE6" s="313">
        <f>COUNTIF(A6:AI6,"*$M*")</f>
        <v>0</v>
      </c>
      <c r="BF6" s="313">
        <f>BE6*('Setting key Duty'!$I$8+'Setting key Duty'!$I$9+'Setting key Duty'!$I$12)</f>
        <v>0</v>
      </c>
      <c r="BG6" s="313">
        <f>COUNTIF(AE6:AI6,"*$N*")</f>
        <v>0</v>
      </c>
      <c r="BH6" s="313">
        <f>COUNTIF(AE6:AI6,"*$PM*")</f>
        <v>0</v>
      </c>
      <c r="BI6" s="313">
        <f>BH6*('Setting key Duty'!$I$9)</f>
        <v>0</v>
      </c>
      <c r="BJ6" s="313">
        <f>COUNTIF(A6:AI6,"*$AM*")</f>
        <v>0</v>
      </c>
      <c r="BK6" s="313">
        <f>BJ6*('Setting key Duty'!$I$12+'Setting key Duty'!$I$8)</f>
        <v>0</v>
      </c>
      <c r="BL6" s="313">
        <f>COUNTIF(D6:AI6,"*$FC*")</f>
        <v>0</v>
      </c>
      <c r="BM6" s="313">
        <f>BL6*('Setting key Duty'!$J$11+'Setting key Duty'!$I$8)</f>
        <v>0</v>
      </c>
      <c r="BN6" s="313">
        <f>COUNTIF($D6:$AE6,BN$4)</f>
        <v>0</v>
      </c>
      <c r="BO6" s="313">
        <f>COUNTIF($D6:$AE6,BO$4)</f>
        <v>3</v>
      </c>
      <c r="BP6" s="313">
        <f>COUNTIF($D6:$AE6,BP$4)</f>
        <v>0</v>
      </c>
      <c r="BQ6" s="314"/>
    </row>
    <row r="7" ht="19.5" customHeight="1" spans="1:69">
      <c r="A7" s="309"/>
      <c r="B7" s="322" t="s">
        <v>211</v>
      </c>
      <c r="D7" s="197"/>
      <c r="E7" s="197" t="s">
        <v>56</v>
      </c>
      <c r="F7" s="197"/>
      <c r="G7" s="317"/>
      <c r="H7" s="197" t="s">
        <v>54</v>
      </c>
      <c r="I7" s="197" t="s">
        <v>54</v>
      </c>
      <c r="J7" s="197" t="s">
        <v>54</v>
      </c>
      <c r="K7" s="197" t="s">
        <v>54</v>
      </c>
      <c r="L7" s="197" t="s">
        <v>54</v>
      </c>
      <c r="M7" s="197" t="s">
        <v>54</v>
      </c>
      <c r="N7" s="197" t="s">
        <v>54</v>
      </c>
      <c r="O7" s="197" t="s">
        <v>54</v>
      </c>
      <c r="P7" s="197" t="s">
        <v>54</v>
      </c>
      <c r="Q7" s="197" t="s">
        <v>54</v>
      </c>
      <c r="R7" s="197" t="s">
        <v>54</v>
      </c>
      <c r="S7" s="197" t="s">
        <v>54</v>
      </c>
      <c r="T7" s="197" t="s">
        <v>54</v>
      </c>
      <c r="U7" s="197" t="s">
        <v>54</v>
      </c>
      <c r="V7" s="200" t="s">
        <v>54</v>
      </c>
      <c r="W7" s="197" t="s">
        <v>54</v>
      </c>
      <c r="X7" s="197" t="s">
        <v>54</v>
      </c>
      <c r="Y7" s="197" t="s">
        <v>54</v>
      </c>
      <c r="Z7" s="321"/>
      <c r="AA7" s="197" t="s">
        <v>56</v>
      </c>
      <c r="AB7" s="197"/>
      <c r="AC7" s="197"/>
      <c r="AD7" s="197" t="s">
        <v>57</v>
      </c>
      <c r="AF7" s="197" t="s">
        <v>57</v>
      </c>
      <c r="AG7" s="197"/>
      <c r="AH7" s="197"/>
      <c r="AI7" s="311" t="e">
        <f>COUNTIF(#REF!,AI$4)</f>
        <v>#REF!</v>
      </c>
      <c r="AJ7" s="312" t="e">
        <f>COUNTIF(#REF!,AJ$4)</f>
        <v>#REF!</v>
      </c>
      <c r="AK7" s="311" t="e">
        <f>COUNTIF(#REF!,AK$4)</f>
        <v>#REF!</v>
      </c>
      <c r="AL7" s="313" t="e">
        <f>COUNTIF(#REF!,AL$4)</f>
        <v>#REF!</v>
      </c>
      <c r="AM7" s="313" t="e">
        <f>COUNTIF(#REF!,AM$4)</f>
        <v>#REF!</v>
      </c>
      <c r="AN7" s="313" t="e">
        <f>COUNTIF(#REF!,AN$4)</f>
        <v>#REF!</v>
      </c>
      <c r="AO7" s="313" t="e">
        <f>COUNTIF(#REF!,AO$4)</f>
        <v>#REF!</v>
      </c>
      <c r="AP7" s="238"/>
      <c r="AQ7" s="313">
        <f t="shared" si="2"/>
        <v>0</v>
      </c>
      <c r="AR7" s="238"/>
      <c r="AS7" s="238">
        <f t="shared" si="3"/>
        <v>0</v>
      </c>
      <c r="AT7" s="238"/>
      <c r="AU7" s="238">
        <f t="shared" si="4"/>
        <v>0</v>
      </c>
      <c r="AV7" s="238" t="e">
        <f t="shared" si="5"/>
        <v>#REF!</v>
      </c>
      <c r="AW7" s="238">
        <f t="shared" ref="AW7:AW36" si="7">BG7+BH7+BJ7+BE7+BC7+BA7+BL7</f>
        <v>0</v>
      </c>
      <c r="AX7" s="238" t="e">
        <f>AU7+AY7</f>
        <v>#VALUE!</v>
      </c>
      <c r="AY7" s="313" t="e">
        <f>(BJ7*('Setting key Duty'!$I$8+'Setting key Duty'!$I$12))+(BH7*'Setting key Duty'!$I$9)+(BC7*('Setting key Duty'!$I$13+'Setting key Duty'!$I$9))+(BA7*('Setting key Duty'!$I$13+'Setting key Duty'!$I$12+'Setting key Duty'!$I$11))+(BE7*('Setting key Duty'!$I$8+'Setting key Duty'!$I$9+'Setting key Duty'!$I$12))</f>
        <v>#VALUE!</v>
      </c>
      <c r="AZ7" s="313" t="e">
        <f>COUNTIF(#REF!,"*BRT*")</f>
        <v>#REF!</v>
      </c>
      <c r="BA7" s="313">
        <f>COUNTIF(A7:AI7,"*$BTP*")</f>
        <v>0</v>
      </c>
      <c r="BB7" s="313" t="e">
        <f>BA7*('Setting key Duty'!$I$13+'Setting key Duty'!$I$12+'Setting key Duty'!$I$11)</f>
        <v>#VALUE!</v>
      </c>
      <c r="BC7" s="313">
        <f>COUNTIF(A7:AI7,"*$L*")</f>
        <v>0</v>
      </c>
      <c r="BD7" s="313" t="e">
        <f>BC7*('Setting key Duty'!$I$13+'Setting key Duty'!$I$9)</f>
        <v>#VALUE!</v>
      </c>
      <c r="BE7" s="313">
        <f>COUNTIF(A7:AI7,"*$M*")</f>
        <v>0</v>
      </c>
      <c r="BF7" s="313">
        <f>BE7*('Setting key Duty'!$I$8+'Setting key Duty'!$I$9+'Setting key Duty'!$I$12)</f>
        <v>0</v>
      </c>
      <c r="BG7" s="313">
        <f>COUNTIF(A7:AI7,"*$N*")</f>
        <v>0</v>
      </c>
      <c r="BH7" s="313">
        <f>COUNTIF(AF7:AI7,"*$PM*")</f>
        <v>0</v>
      </c>
      <c r="BI7" s="313">
        <f>BH7*('Setting key Duty'!$I$9)</f>
        <v>0</v>
      </c>
      <c r="BJ7" s="313">
        <f>COUNTIF(A7:AI7,"*$AM*")</f>
        <v>0</v>
      </c>
      <c r="BK7" s="313">
        <f>BJ7*('Setting key Duty'!$I$12+'Setting key Duty'!$I$8)</f>
        <v>0</v>
      </c>
      <c r="BL7" s="313">
        <f>COUNTIF(D7:AI7,"*$FC*")</f>
        <v>0</v>
      </c>
      <c r="BM7" s="313">
        <f>BL7*('Setting key Duty'!$J$11+'Setting key Duty'!$I$8)</f>
        <v>0</v>
      </c>
      <c r="BN7" s="313" t="e">
        <f>COUNTIF(#REF!,BN$4)</f>
        <v>#REF!</v>
      </c>
      <c r="BO7" s="313" t="e">
        <f>COUNTIF(#REF!,BO$4)</f>
        <v>#REF!</v>
      </c>
      <c r="BP7" s="313" t="e">
        <f>COUNTIF(#REF!,BP$4)</f>
        <v>#REF!</v>
      </c>
      <c r="BQ7" s="314"/>
    </row>
    <row r="8" ht="19.5" customHeight="1" spans="1:69">
      <c r="A8" s="309"/>
      <c r="B8" s="323" t="s">
        <v>63</v>
      </c>
      <c r="C8" s="197"/>
      <c r="D8" s="197" t="s">
        <v>57</v>
      </c>
      <c r="E8" s="197"/>
      <c r="F8" s="197"/>
      <c r="G8" s="197" t="s">
        <v>56</v>
      </c>
      <c r="H8" s="324"/>
      <c r="I8" s="197"/>
      <c r="J8" s="197" t="s">
        <v>56</v>
      </c>
      <c r="K8" s="321"/>
      <c r="L8" s="321"/>
      <c r="M8" s="321" t="s">
        <v>59</v>
      </c>
      <c r="N8" s="321"/>
      <c r="O8" s="325" t="s">
        <v>59</v>
      </c>
      <c r="R8" s="321"/>
      <c r="S8" s="321"/>
      <c r="T8" s="321"/>
      <c r="U8" s="321"/>
      <c r="V8" s="326"/>
      <c r="W8" s="321"/>
      <c r="X8" s="321"/>
      <c r="Y8" s="321"/>
      <c r="Z8" s="321"/>
      <c r="AA8" s="321"/>
      <c r="AB8" s="321"/>
      <c r="AC8" s="321"/>
      <c r="AD8" s="321"/>
      <c r="AE8" s="321"/>
      <c r="AF8" s="321"/>
      <c r="AG8" s="321"/>
      <c r="AH8" s="321"/>
      <c r="AI8" s="311"/>
      <c r="AJ8" s="312"/>
      <c r="AK8" s="311"/>
      <c r="AL8" s="313"/>
      <c r="AM8" s="313"/>
      <c r="AN8" s="313"/>
      <c r="AO8" s="313"/>
      <c r="AP8" s="238"/>
      <c r="AQ8" s="313">
        <f t="shared" si="2"/>
        <v>0</v>
      </c>
      <c r="AR8" s="238"/>
      <c r="AS8" s="238">
        <f t="shared" si="3"/>
        <v>0</v>
      </c>
      <c r="AT8" s="238"/>
      <c r="AU8" s="238">
        <f t="shared" si="4"/>
        <v>0</v>
      </c>
      <c r="AV8" s="238">
        <f t="shared" si="5"/>
        <v>0</v>
      </c>
      <c r="AW8" s="238">
        <f t="shared" si="7"/>
        <v>0</v>
      </c>
      <c r="AX8" s="238">
        <f>AU8+AY8</f>
        <v>0</v>
      </c>
      <c r="AY8" s="313"/>
      <c r="AZ8" s="313"/>
      <c r="BA8" s="313"/>
      <c r="BB8" s="313"/>
      <c r="BC8" s="313"/>
      <c r="BD8" s="313"/>
      <c r="BE8" s="313"/>
      <c r="BF8" s="313"/>
      <c r="BG8" s="313"/>
      <c r="BH8" s="313"/>
      <c r="BI8" s="313"/>
      <c r="BJ8" s="313"/>
      <c r="BK8" s="313"/>
      <c r="BL8" s="313"/>
      <c r="BM8" s="313"/>
      <c r="BN8" s="313"/>
      <c r="BO8" s="313"/>
      <c r="BP8" s="313"/>
      <c r="BQ8" s="314"/>
    </row>
    <row r="9" ht="19.5" customHeight="1" spans="1:69">
      <c r="A9" s="309"/>
      <c r="B9" s="327" t="s">
        <v>377</v>
      </c>
      <c r="D9" s="197" t="s">
        <v>59</v>
      </c>
      <c r="E9" s="197"/>
      <c r="F9" s="197" t="s">
        <v>56</v>
      </c>
      <c r="G9" s="197"/>
      <c r="H9" s="197"/>
      <c r="I9" s="197"/>
      <c r="J9" s="197" t="s">
        <v>350</v>
      </c>
      <c r="L9" s="197"/>
      <c r="M9" s="317"/>
      <c r="N9" s="317" t="s">
        <v>59</v>
      </c>
      <c r="O9" s="317" t="s">
        <v>466</v>
      </c>
      <c r="P9" s="197" t="s">
        <v>65</v>
      </c>
      <c r="Q9" s="197"/>
      <c r="R9" s="197"/>
      <c r="S9" s="197" t="s">
        <v>350</v>
      </c>
      <c r="U9" s="321"/>
      <c r="V9" s="197" t="s">
        <v>54</v>
      </c>
      <c r="W9" s="197" t="s">
        <v>54</v>
      </c>
      <c r="X9" s="197" t="s">
        <v>54</v>
      </c>
      <c r="Y9" s="197" t="s">
        <v>54</v>
      </c>
      <c r="Z9" s="197" t="s">
        <v>54</v>
      </c>
      <c r="AA9" s="197" t="s">
        <v>54</v>
      </c>
      <c r="AB9" s="321"/>
      <c r="AC9" s="321"/>
      <c r="AD9" s="197" t="s">
        <v>350</v>
      </c>
      <c r="AE9" s="197"/>
      <c r="AF9" s="197"/>
      <c r="AG9" s="197"/>
      <c r="AH9" s="197"/>
      <c r="AI9" s="311"/>
      <c r="AJ9" s="312"/>
      <c r="AK9" s="311"/>
      <c r="AL9" s="313"/>
      <c r="AM9" s="313"/>
      <c r="AN9" s="313"/>
      <c r="AO9" s="313"/>
      <c r="AP9" s="238"/>
      <c r="AQ9" s="313">
        <f t="shared" si="2"/>
        <v>0</v>
      </c>
      <c r="AR9" s="238"/>
      <c r="AS9" s="238">
        <f t="shared" si="3"/>
        <v>0</v>
      </c>
      <c r="AT9" s="238"/>
      <c r="AU9" s="238">
        <f t="shared" si="4"/>
        <v>0</v>
      </c>
      <c r="AV9" s="238">
        <f t="shared" si="5"/>
        <v>0</v>
      </c>
      <c r="AW9" s="238">
        <f t="shared" si="7"/>
        <v>0</v>
      </c>
      <c r="AX9" s="238" t="e">
        <f>AU9+AY9</f>
        <v>#VALUE!</v>
      </c>
      <c r="AY9" s="313" t="e">
        <f>(BJ9*('Setting key Duty'!$I$8+'Setting key Duty'!$I$12))+(BH9*'Setting key Duty'!$I$9)+(BC9*('Setting key Duty'!$I$13+'Setting key Duty'!$I$9))+(BA9*('Setting key Duty'!$I$13+'Setting key Duty'!$I$12+'Setting key Duty'!$I$11))+(BE9*('Setting key Duty'!$I$8+'Setting key Duty'!$I$9+'Setting key Duty'!$I$12))</f>
        <v>#VALUE!</v>
      </c>
      <c r="AZ9" s="313">
        <f>COUNTIF(D9:V9,"*BRT*")</f>
        <v>0</v>
      </c>
      <c r="BA9" s="313">
        <f t="shared" ref="BA9:BA19" si="8">COUNTIF(A9:AI9,"*$BTP*")</f>
        <v>0</v>
      </c>
      <c r="BB9" s="313" t="e">
        <f>BA9*('Setting key Duty'!$I$13+'Setting key Duty'!$I$12+'Setting key Duty'!$I$11)</f>
        <v>#VALUE!</v>
      </c>
      <c r="BC9" s="313">
        <f>COUNTIF(A9:AI9,"*$L*")</f>
        <v>0</v>
      </c>
      <c r="BD9" s="313" t="e">
        <f>BC9*('Setting key Duty'!$I$13+'Setting key Duty'!$I$9)</f>
        <v>#VALUE!</v>
      </c>
      <c r="BE9" s="313">
        <f>COUNTIF(A9:AI9,"*$M*")</f>
        <v>0</v>
      </c>
      <c r="BF9" s="313">
        <f>BE9*('Setting key Duty'!$I$8+'Setting key Duty'!$I$9+'Setting key Duty'!$I$12)</f>
        <v>0</v>
      </c>
      <c r="BG9" s="313">
        <f>COUNTIF(AI9,"*$N*")</f>
        <v>0</v>
      </c>
      <c r="BH9" s="313">
        <f>COUNTIF(AI9,"*$PM*")</f>
        <v>0</v>
      </c>
      <c r="BI9" s="313">
        <f>BH9*('Setting key Duty'!$I$9)</f>
        <v>0</v>
      </c>
      <c r="BJ9" s="313">
        <f>COUNTIF(A9:AI9,"*$AM*")</f>
        <v>0</v>
      </c>
      <c r="BK9" s="313">
        <f>BJ9*('Setting key Duty'!$I$12+'Setting key Duty'!$I$8)</f>
        <v>0</v>
      </c>
      <c r="BL9" s="313">
        <f>COUNTIF(D9:AI9,"*$FC*")</f>
        <v>0</v>
      </c>
      <c r="BM9" s="313">
        <f>BL9*('Setting key Duty'!$J$11+'Setting key Duty'!$I$8)</f>
        <v>0</v>
      </c>
      <c r="BN9" s="313">
        <f>COUNTIF($D9:$V9,BN$4)</f>
        <v>0</v>
      </c>
      <c r="BO9" s="313">
        <f>COUNTIF($D9:$V9,BO$4)</f>
        <v>2</v>
      </c>
      <c r="BP9" s="313">
        <f>COUNTIF($D9:$V9,BP$4)</f>
        <v>0</v>
      </c>
      <c r="BQ9" s="314"/>
    </row>
    <row r="10" ht="19.5" customHeight="1" spans="1:69">
      <c r="A10" s="309"/>
      <c r="B10" s="328" t="s">
        <v>467</v>
      </c>
      <c r="C10" s="197" t="s">
        <v>56</v>
      </c>
      <c r="E10" s="197" t="s">
        <v>468</v>
      </c>
      <c r="F10" s="197"/>
      <c r="G10" s="197" t="s">
        <v>57</v>
      </c>
      <c r="H10" s="324"/>
      <c r="I10" s="197"/>
      <c r="J10" s="197"/>
      <c r="K10" s="197" t="s">
        <v>350</v>
      </c>
      <c r="L10" s="197"/>
      <c r="M10" s="317"/>
      <c r="N10" s="321"/>
      <c r="O10" s="321" t="s">
        <v>57</v>
      </c>
      <c r="Q10" s="197"/>
      <c r="R10" s="196" t="s">
        <v>56</v>
      </c>
      <c r="T10" s="197" t="s">
        <v>350</v>
      </c>
      <c r="U10" s="196"/>
      <c r="V10" s="200" t="s">
        <v>469</v>
      </c>
      <c r="W10" s="324" t="s">
        <v>54</v>
      </c>
      <c r="X10" s="197" t="s">
        <v>54</v>
      </c>
      <c r="Y10" s="197" t="s">
        <v>54</v>
      </c>
      <c r="Z10" s="197" t="s">
        <v>470</v>
      </c>
      <c r="AA10" s="197"/>
      <c r="AB10" s="197"/>
      <c r="AC10" s="197"/>
      <c r="AD10" s="197"/>
      <c r="AE10" s="197" t="s">
        <v>350</v>
      </c>
      <c r="AF10" s="197" t="s">
        <v>471</v>
      </c>
      <c r="AG10" s="197"/>
      <c r="AH10" s="197"/>
      <c r="AI10" s="311"/>
      <c r="AJ10" s="312"/>
      <c r="AK10" s="311"/>
      <c r="AL10" s="313"/>
      <c r="AM10" s="313"/>
      <c r="AN10" s="313"/>
      <c r="AO10" s="313"/>
      <c r="AP10" s="238"/>
      <c r="AQ10" s="313">
        <f t="shared" si="2"/>
        <v>0</v>
      </c>
      <c r="AR10" s="238"/>
      <c r="AS10" s="238">
        <f t="shared" si="3"/>
        <v>0</v>
      </c>
      <c r="AT10" s="238"/>
      <c r="AU10" s="238">
        <f t="shared" si="4"/>
        <v>0</v>
      </c>
      <c r="AV10" s="238">
        <f t="shared" si="5"/>
        <v>0</v>
      </c>
      <c r="AW10" s="238">
        <f t="shared" si="7"/>
        <v>3</v>
      </c>
      <c r="AX10" s="238" t="e">
        <f>AU10+$AY$10</f>
        <v>#VALUE!</v>
      </c>
      <c r="AY10" s="313" t="e">
        <f>(BJ10*('Setting key Duty'!$I$8+'Setting key Duty'!$I$12))+(BH10*'Setting key Duty'!$I$9)+(BC10*('Setting key Duty'!$I$13+'Setting key Duty'!$I$9))+(BA10*('Setting key Duty'!$I$13+'Setting key Duty'!$I$12+'Setting key Duty'!$I$11))+(BE10*('Setting key Duty'!$I$8+'Setting key Duty'!$I$9+'Setting key Duty'!$I$12))</f>
        <v>#VALUE!</v>
      </c>
      <c r="AZ10" s="313">
        <f>COUNTIF(C10:AC10,"*BRT*")</f>
        <v>0</v>
      </c>
      <c r="BA10" s="313">
        <f t="shared" si="8"/>
        <v>0</v>
      </c>
      <c r="BB10" s="313" t="e">
        <f>BA10*('Setting key Duty'!$I$13+'Setting key Duty'!$I$12+'Setting key Duty'!$I$11)</f>
        <v>#VALUE!</v>
      </c>
      <c r="BC10" s="313">
        <f>COUNTIF(D10:AI10,"*$L*")</f>
        <v>0</v>
      </c>
      <c r="BD10" s="313" t="e">
        <f>BC10*('Setting key Duty'!$I$13+'Setting key Duty'!$I$9)</f>
        <v>#VALUE!</v>
      </c>
      <c r="BE10" s="313">
        <f>COUNTIF(D10:AI10,"*$M*")</f>
        <v>0</v>
      </c>
      <c r="BF10" s="313">
        <f>BE10*('Setting key Duty'!$I$8+'Setting key Duty'!$I$9+'Setting key Duty'!$I$12)</f>
        <v>0</v>
      </c>
      <c r="BG10" s="313">
        <f>COUNTIF(D10:AI10,"*$N*")</f>
        <v>0</v>
      </c>
      <c r="BH10" s="313">
        <f>COUNTIF(D10:AI10,"*$PM*")</f>
        <v>1</v>
      </c>
      <c r="BI10" s="313">
        <f>BH10*('Setting key Duty'!$I$9)</f>
        <v>0.125</v>
      </c>
      <c r="BJ10" s="313">
        <f>COUNTIF(D10:AI10,"*$AM*")</f>
        <v>2</v>
      </c>
      <c r="BK10" s="313">
        <f>BJ10*('Setting key Duty'!$I$12+'Setting key Duty'!$I$8)</f>
        <v>0.875</v>
      </c>
      <c r="BL10" s="313">
        <f>COUNTIF(C10:AI10,"*$FC*")</f>
        <v>0</v>
      </c>
      <c r="BM10" s="313">
        <f>BL10*('Setting key Duty'!$J$11+'Setting key Duty'!$I$8)</f>
        <v>0</v>
      </c>
      <c r="BN10" s="313">
        <f>COUNTIF($C10:$AG10,BN$4)</f>
        <v>0</v>
      </c>
      <c r="BO10" s="313">
        <f>COUNTIF($C10:$AG10,BO$4)</f>
        <v>3</v>
      </c>
      <c r="BP10" s="313">
        <f>COUNTIF($D10:$AD10,BP$4)</f>
        <v>0</v>
      </c>
      <c r="BQ10" s="314"/>
    </row>
    <row r="11" ht="19.5" customHeight="1" spans="1:69">
      <c r="A11" s="309"/>
      <c r="B11" s="315" t="s">
        <v>70</v>
      </c>
      <c r="C11" s="197"/>
      <c r="D11" s="197"/>
      <c r="E11" s="197"/>
      <c r="F11" s="197" t="s">
        <v>57</v>
      </c>
      <c r="G11" s="197"/>
      <c r="H11" s="197" t="s">
        <v>350</v>
      </c>
      <c r="I11" s="197"/>
      <c r="J11" s="197"/>
      <c r="L11" s="197" t="s">
        <v>350</v>
      </c>
      <c r="M11" s="197"/>
      <c r="N11" s="197" t="s">
        <v>350</v>
      </c>
      <c r="O11" s="197"/>
      <c r="Q11" s="197" t="s">
        <v>57</v>
      </c>
      <c r="R11" s="197"/>
      <c r="S11" s="197"/>
      <c r="T11" s="197" t="s">
        <v>57</v>
      </c>
      <c r="U11" s="196"/>
      <c r="V11" s="200" t="s">
        <v>69</v>
      </c>
      <c r="W11" s="197" t="s">
        <v>57</v>
      </c>
      <c r="X11" s="197"/>
      <c r="Y11" s="197" t="s">
        <v>57</v>
      </c>
      <c r="Z11" s="197"/>
      <c r="AB11" s="197" t="s">
        <v>57</v>
      </c>
      <c r="AC11" s="197"/>
      <c r="AD11" s="197"/>
      <c r="AE11" s="197" t="s">
        <v>57</v>
      </c>
      <c r="AF11" s="197"/>
      <c r="AG11" s="197"/>
      <c r="AH11" s="197"/>
      <c r="AI11" s="311"/>
      <c r="AJ11" s="312"/>
      <c r="AK11" s="311"/>
      <c r="AL11" s="313"/>
      <c r="AM11" s="313"/>
      <c r="AN11" s="313"/>
      <c r="AO11" s="313"/>
      <c r="AP11" s="238"/>
      <c r="AQ11" s="313">
        <f t="shared" si="2"/>
        <v>0</v>
      </c>
      <c r="AR11" s="238"/>
      <c r="AS11" s="238">
        <f t="shared" si="3"/>
        <v>0</v>
      </c>
      <c r="AT11" s="238"/>
      <c r="AU11" s="238">
        <f t="shared" si="4"/>
        <v>0</v>
      </c>
      <c r="AV11" s="238">
        <f t="shared" si="5"/>
        <v>0</v>
      </c>
      <c r="AW11" s="238">
        <f t="shared" si="7"/>
        <v>0</v>
      </c>
      <c r="AX11" s="238" t="e">
        <f>AU11+AY11</f>
        <v>#VALUE!</v>
      </c>
      <c r="AY11" s="313" t="e">
        <f>(BJ11*('Setting key Duty'!$I$8+'Setting key Duty'!$I$12))+(BH11*'Setting key Duty'!$I$9)+(BC11*('Setting key Duty'!$I$13+'Setting key Duty'!$I$9))+(BA11*('Setting key Duty'!$I$13+'Setting key Duty'!$I$12+'Setting key Duty'!$I$11))+(BE11*('Setting key Duty'!$I$8+'Setting key Duty'!$I$9+'Setting key Duty'!$I$12))</f>
        <v>#VALUE!</v>
      </c>
      <c r="AZ11" s="313">
        <f>COUNTIF(D11:AC11,"*BRT*")</f>
        <v>0</v>
      </c>
      <c r="BA11" s="313">
        <f t="shared" si="8"/>
        <v>0</v>
      </c>
      <c r="BB11" s="313" t="e">
        <f>BA11*('Setting key Duty'!$I$13+'Setting key Duty'!$I$12+'Setting key Duty'!$I$11)</f>
        <v>#VALUE!</v>
      </c>
      <c r="BC11" s="313">
        <f>COUNTIF(A11:AI11,"*$L*")</f>
        <v>0</v>
      </c>
      <c r="BD11" s="313" t="e">
        <f>BC11*('Setting key Duty'!$I$13+'Setting key Duty'!$I$9)</f>
        <v>#VALUE!</v>
      </c>
      <c r="BE11" s="313">
        <f>COUNTIF(A11:AI11,"*$M*")</f>
        <v>0</v>
      </c>
      <c r="BF11" s="313">
        <f>BE11*('Setting key Duty'!$I$8+'Setting key Duty'!$I$9+'Setting key Duty'!$I$12)</f>
        <v>0</v>
      </c>
      <c r="BG11" s="313">
        <f>COUNTIF(AF11:AI11,"*$N*")</f>
        <v>0</v>
      </c>
      <c r="BH11" s="313">
        <f>COUNTIF(AF11:AI11,"*$PM*")</f>
        <v>0</v>
      </c>
      <c r="BI11" s="313">
        <f>BH11*('Setting key Duty'!$I$9)</f>
        <v>0</v>
      </c>
      <c r="BJ11" s="313">
        <f>COUNTIF(A11:AI11,"*$AM*")</f>
        <v>0</v>
      </c>
      <c r="BK11" s="313">
        <f>BJ11*('Setting key Duty'!$I$12+'Setting key Duty'!$I$8)</f>
        <v>0</v>
      </c>
      <c r="BL11" s="313">
        <f>COUNTIF(D11:AI11,"*$FC*")</f>
        <v>0</v>
      </c>
      <c r="BM11" s="313">
        <f>BL11*('Setting key Duty'!$J$11+'Setting key Duty'!$I$8)</f>
        <v>0</v>
      </c>
      <c r="BN11" s="313">
        <f>COUNTIF($D11:$AE11,BN$4)</f>
        <v>0</v>
      </c>
      <c r="BO11" s="313">
        <f>COUNTIF($D11:$AE11,BO$4)</f>
        <v>3</v>
      </c>
      <c r="BP11" s="313">
        <f>COUNTIF($D11:$AE11,BP$4)</f>
        <v>0</v>
      </c>
      <c r="BQ11" s="314"/>
    </row>
    <row r="12" ht="19.5" customHeight="1" spans="1:69">
      <c r="A12" s="309"/>
      <c r="B12" s="329" t="s">
        <v>72</v>
      </c>
      <c r="C12" s="197"/>
      <c r="D12" s="330"/>
      <c r="E12" s="197" t="s">
        <v>468</v>
      </c>
      <c r="F12" s="331" t="s">
        <v>58</v>
      </c>
      <c r="G12" s="197"/>
      <c r="H12" s="197" t="s">
        <v>350</v>
      </c>
      <c r="J12" s="197"/>
      <c r="K12" s="317"/>
      <c r="M12" s="197" t="s">
        <v>350</v>
      </c>
      <c r="N12" s="197"/>
      <c r="O12" s="197" t="s">
        <v>350</v>
      </c>
      <c r="P12" s="197"/>
      <c r="Q12" s="197" t="s">
        <v>59</v>
      </c>
      <c r="R12" s="197"/>
      <c r="U12" s="317" t="s">
        <v>57</v>
      </c>
      <c r="V12" s="197" t="s">
        <v>350</v>
      </c>
      <c r="W12" s="197"/>
      <c r="X12" s="197"/>
      <c r="Y12" s="317" t="s">
        <v>223</v>
      </c>
      <c r="AA12" s="197" t="s">
        <v>59</v>
      </c>
      <c r="AB12" s="197"/>
      <c r="AC12" s="197"/>
      <c r="AD12" s="197"/>
      <c r="AE12" s="197"/>
      <c r="AF12" s="197" t="s">
        <v>59</v>
      </c>
      <c r="AG12" s="197"/>
      <c r="AH12" s="197"/>
      <c r="AI12" s="311"/>
      <c r="AJ12" s="312"/>
      <c r="AK12" s="311"/>
      <c r="AL12" s="313"/>
      <c r="AM12" s="313"/>
      <c r="AN12" s="313"/>
      <c r="AO12" s="313"/>
      <c r="AP12" s="238"/>
      <c r="AQ12" s="313">
        <f t="shared" si="2"/>
        <v>0</v>
      </c>
      <c r="AR12" s="238"/>
      <c r="AS12" s="238">
        <f t="shared" si="3"/>
        <v>0</v>
      </c>
      <c r="AT12" s="238"/>
      <c r="AU12" s="238">
        <f t="shared" si="4"/>
        <v>0</v>
      </c>
      <c r="AV12" s="238">
        <f t="shared" si="5"/>
        <v>0</v>
      </c>
      <c r="AW12" s="238">
        <f t="shared" si="7"/>
        <v>1</v>
      </c>
      <c r="AX12" s="238" t="e">
        <f>AU12+AY12</f>
        <v>#VALUE!</v>
      </c>
      <c r="AY12" s="313" t="e">
        <f>(BJ12*('Setting key Duty'!$I$8+'Setting key Duty'!$I$12))+(BH12*'Setting key Duty'!$I$9)+(BC12*('Setting key Duty'!$I$13+'Setting key Duty'!$I$9))+(BA12*('Setting key Duty'!$I$13+'Setting key Duty'!$I$12+'Setting key Duty'!$I$11))+(BE12*('Setting key Duty'!$I$8+'Setting key Duty'!$I$9+'Setting key Duty'!$I$12))</f>
        <v>#VALUE!</v>
      </c>
      <c r="AZ12" s="313">
        <f>COUNTIF(D12:Y12,"*BRT*")</f>
        <v>0</v>
      </c>
      <c r="BA12" s="313">
        <f t="shared" si="8"/>
        <v>0</v>
      </c>
      <c r="BB12" s="313" t="e">
        <f>BA12*('Setting key Duty'!$I$13+'Setting key Duty'!$I$12+'Setting key Duty'!$I$11)</f>
        <v>#VALUE!</v>
      </c>
      <c r="BC12" s="313">
        <f>COUNTIF(A12:AI12,"*$L*")</f>
        <v>0</v>
      </c>
      <c r="BD12" s="313" t="e">
        <f>BC12*('Setting key Duty'!$I$13+'Setting key Duty'!$I$9)</f>
        <v>#VALUE!</v>
      </c>
      <c r="BE12" s="313">
        <f>COUNTIF(A12:AI12,"*$M*")</f>
        <v>0</v>
      </c>
      <c r="BF12" s="313">
        <f>BE12*('Setting key Duty'!$I$8+'Setting key Duty'!$I$9+'Setting key Duty'!$I$12)</f>
        <v>0</v>
      </c>
      <c r="BG12" s="313">
        <f>COUNTIF(AI12,"*$N*")</f>
        <v>0</v>
      </c>
      <c r="BH12" s="313">
        <f>COUNTIF(AI12,"*$PM*")</f>
        <v>0</v>
      </c>
      <c r="BI12" s="313">
        <f>BH12*('Setting key Duty'!$I$9)</f>
        <v>0</v>
      </c>
      <c r="BJ12" s="313">
        <f>COUNTIF(A12:AI12,"*$AM*")</f>
        <v>1</v>
      </c>
      <c r="BK12" s="313">
        <f>BJ12*('Setting key Duty'!$I$12+'Setting key Duty'!$I$8)</f>
        <v>0.4375</v>
      </c>
      <c r="BL12" s="313">
        <f>COUNTIF(D12:AI12,"*$FC*")</f>
        <v>0</v>
      </c>
      <c r="BM12" s="313">
        <f>BL12*('Setting key Duty'!$J$11+'Setting key Duty'!$I$8)</f>
        <v>0</v>
      </c>
      <c r="BN12" s="313">
        <f>COUNTIF($D12:$Y12,BN$4)</f>
        <v>0</v>
      </c>
      <c r="BO12" s="313">
        <f>COUNTIF($D12:$Y12,BO$4)</f>
        <v>4</v>
      </c>
      <c r="BP12" s="313">
        <f>COUNTIF($D12:$Y12,BP$4)</f>
        <v>0</v>
      </c>
      <c r="BQ12" s="314"/>
    </row>
    <row r="13" ht="24" customHeight="1" spans="1:69">
      <c r="A13" s="309"/>
      <c r="B13" s="335" t="s">
        <v>353</v>
      </c>
      <c r="C13" s="197" t="s">
        <v>59</v>
      </c>
      <c r="D13" s="197"/>
      <c r="E13" s="197" t="s">
        <v>350</v>
      </c>
      <c r="F13" s="197"/>
      <c r="G13" s="197" t="s">
        <v>150</v>
      </c>
      <c r="H13" s="197" t="s">
        <v>150</v>
      </c>
      <c r="I13" s="197" t="s">
        <v>150</v>
      </c>
      <c r="J13" s="317"/>
      <c r="K13" s="197" t="s">
        <v>59</v>
      </c>
      <c r="L13" s="197"/>
      <c r="M13" s="197"/>
      <c r="N13" s="197"/>
      <c r="O13" s="197" t="s">
        <v>54</v>
      </c>
      <c r="P13" s="197" t="s">
        <v>54</v>
      </c>
      <c r="Q13" s="197" t="s">
        <v>54</v>
      </c>
      <c r="R13" s="197" t="s">
        <v>54</v>
      </c>
      <c r="S13" s="197" t="s">
        <v>54</v>
      </c>
      <c r="T13" s="197" t="s">
        <v>54</v>
      </c>
      <c r="U13" s="197" t="s">
        <v>54</v>
      </c>
      <c r="V13" s="200" t="s">
        <v>54</v>
      </c>
      <c r="W13" s="197" t="s">
        <v>54</v>
      </c>
      <c r="X13" s="197" t="s">
        <v>54</v>
      </c>
      <c r="Y13" s="197" t="s">
        <v>54</v>
      </c>
      <c r="Z13" s="197" t="s">
        <v>59</v>
      </c>
      <c r="AB13" s="197"/>
      <c r="AC13" s="197" t="s">
        <v>57</v>
      </c>
      <c r="AD13" s="197"/>
      <c r="AF13" s="197" t="s">
        <v>350</v>
      </c>
      <c r="AG13" s="197"/>
      <c r="AH13" s="197"/>
      <c r="AI13" s="311">
        <f t="shared" ref="AI13:AO13" si="9">COUNTIF($C13:$AB13,AI$4)</f>
        <v>0</v>
      </c>
      <c r="AJ13" s="312">
        <f t="shared" si="9"/>
        <v>0</v>
      </c>
      <c r="AK13" s="311">
        <f t="shared" si="9"/>
        <v>3</v>
      </c>
      <c r="AL13" s="313">
        <f t="shared" si="9"/>
        <v>0</v>
      </c>
      <c r="AM13" s="313">
        <f t="shared" si="9"/>
        <v>0</v>
      </c>
      <c r="AN13" s="313">
        <f t="shared" si="9"/>
        <v>0</v>
      </c>
      <c r="AO13" s="313">
        <f t="shared" si="9"/>
        <v>0</v>
      </c>
      <c r="AP13" s="238"/>
      <c r="AQ13" s="313">
        <f t="shared" si="2"/>
        <v>0</v>
      </c>
      <c r="AR13" s="238"/>
      <c r="AS13" s="238">
        <f t="shared" si="3"/>
        <v>0</v>
      </c>
      <c r="AT13" s="238"/>
      <c r="AU13" s="238">
        <f t="shared" si="4"/>
        <v>0</v>
      </c>
      <c r="AV13" s="238">
        <f t="shared" si="5"/>
        <v>3</v>
      </c>
      <c r="AW13" s="238">
        <f t="shared" si="7"/>
        <v>0</v>
      </c>
      <c r="AX13" s="238" t="e">
        <f>AU13+AY13</f>
        <v>#VALUE!</v>
      </c>
      <c r="AY13" s="313" t="e">
        <f>(BJ13*('Setting key Duty'!$I$8+'Setting key Duty'!$I$12))+(BH13*'Setting key Duty'!$I$9)+(BC13*('Setting key Duty'!$I$13+'Setting key Duty'!$I$9))+(BA13*('Setting key Duty'!$I$13+'Setting key Duty'!$I$12+'Setting key Duty'!$I$11))+(BE13*('Setting key Duty'!$I$8+'Setting key Duty'!$I$9+'Setting key Duty'!$I$12))</f>
        <v>#VALUE!</v>
      </c>
      <c r="AZ13" s="313">
        <f>COUNTIF(C13:AB13,"*BRT*")</f>
        <v>0</v>
      </c>
      <c r="BA13" s="313">
        <f t="shared" si="8"/>
        <v>0</v>
      </c>
      <c r="BB13" s="313" t="e">
        <f>BA13*('Setting key Duty'!$I$13+'Setting key Duty'!$I$12+'Setting key Duty'!$I$11)</f>
        <v>#VALUE!</v>
      </c>
      <c r="BC13" s="313">
        <f>COUNTIF(A13:AI13,"*$L*")</f>
        <v>0</v>
      </c>
      <c r="BD13" s="313" t="e">
        <f>BC13*('Setting key Duty'!$I$13+'Setting key Duty'!$I$9)</f>
        <v>#VALUE!</v>
      </c>
      <c r="BE13" s="313">
        <f>COUNTIF(A13:AI13,"*$M*")</f>
        <v>0</v>
      </c>
      <c r="BF13" s="313">
        <f>BE13*('Setting key Duty'!$I$8+'Setting key Duty'!$I$9+'Setting key Duty'!$I$12)</f>
        <v>0</v>
      </c>
      <c r="BG13" s="313">
        <f>COUNTIF(A13:AI13,"*$N*")</f>
        <v>0</v>
      </c>
      <c r="BH13" s="313">
        <f>COUNTIF(AI13,"*$PM*")</f>
        <v>0</v>
      </c>
      <c r="BI13" s="313">
        <f>BH13*('Setting key Duty'!$I$9)</f>
        <v>0</v>
      </c>
      <c r="BJ13" s="313">
        <f>COUNTIF(A13:AI13,"*$AM*")</f>
        <v>0</v>
      </c>
      <c r="BK13" s="313">
        <f>BJ13*('Setting key Duty'!$I$12+'Setting key Duty'!$I$8)</f>
        <v>0</v>
      </c>
      <c r="BL13" s="313">
        <f>COUNTIF(C13:AI13,"*$FC*")</f>
        <v>0</v>
      </c>
      <c r="BM13" s="313">
        <f>BL13*('Setting key Duty'!$J$11+'Setting key Duty'!$I$8)</f>
        <v>0</v>
      </c>
      <c r="BN13" s="313">
        <f>COUNTIF($C13:$AB13,BN$4)</f>
        <v>0</v>
      </c>
      <c r="BO13" s="313">
        <f>COUNTIF($C13:$AB13,BO$4)</f>
        <v>1</v>
      </c>
      <c r="BP13" s="313">
        <f>COUNTIF($C13:$AB13,BP$4)</f>
        <v>0</v>
      </c>
      <c r="BQ13" s="314"/>
    </row>
    <row r="14" ht="19.5" customHeight="1" spans="1:69">
      <c r="A14" s="309"/>
      <c r="B14" s="334" t="s">
        <v>286</v>
      </c>
      <c r="C14" s="197"/>
      <c r="D14" s="197"/>
      <c r="E14" s="197" t="s">
        <v>149</v>
      </c>
      <c r="F14" s="197" t="s">
        <v>149</v>
      </c>
      <c r="G14" s="324"/>
      <c r="H14" s="197" t="s">
        <v>59</v>
      </c>
      <c r="I14" s="197"/>
      <c r="J14" s="197"/>
      <c r="K14" s="197"/>
      <c r="L14" s="197" t="s">
        <v>350</v>
      </c>
      <c r="M14" s="317"/>
      <c r="N14" s="197"/>
      <c r="O14" s="197"/>
      <c r="P14" s="197"/>
      <c r="Q14" s="197"/>
      <c r="R14" s="197" t="s">
        <v>59</v>
      </c>
      <c r="T14" s="196"/>
      <c r="V14" s="200" t="s">
        <v>57</v>
      </c>
      <c r="W14" s="197"/>
      <c r="X14" s="197" t="s">
        <v>350</v>
      </c>
      <c r="Y14" s="197" t="s">
        <v>223</v>
      </c>
      <c r="Z14" s="197"/>
      <c r="AA14" s="197" t="s">
        <v>172</v>
      </c>
      <c r="AB14" s="197" t="s">
        <v>350</v>
      </c>
      <c r="AC14" s="197"/>
      <c r="AD14" s="197" t="s">
        <v>59</v>
      </c>
      <c r="AE14" s="197"/>
      <c r="AF14" s="197"/>
      <c r="AG14" s="197"/>
      <c r="AH14" s="197"/>
      <c r="AI14" s="311">
        <f t="shared" ref="AI14:AO14" si="10">COUNTIF($C14:$AF14,AI$4)</f>
        <v>1</v>
      </c>
      <c r="AJ14" s="312">
        <f t="shared" si="10"/>
        <v>0</v>
      </c>
      <c r="AK14" s="311">
        <f t="shared" si="10"/>
        <v>3</v>
      </c>
      <c r="AL14" s="313">
        <f t="shared" si="10"/>
        <v>0</v>
      </c>
      <c r="AM14" s="313">
        <f t="shared" si="10"/>
        <v>0</v>
      </c>
      <c r="AN14" s="313">
        <f t="shared" si="10"/>
        <v>0</v>
      </c>
      <c r="AO14" s="313">
        <f t="shared" si="10"/>
        <v>0</v>
      </c>
      <c r="AP14" s="238"/>
      <c r="AQ14" s="313">
        <f t="shared" si="2"/>
        <v>0</v>
      </c>
      <c r="AR14" s="238"/>
      <c r="AS14" s="238">
        <f t="shared" si="3"/>
        <v>0</v>
      </c>
      <c r="AT14" s="238"/>
      <c r="AU14" s="238">
        <f t="shared" si="4"/>
        <v>0</v>
      </c>
      <c r="AV14" s="238">
        <f t="shared" si="5"/>
        <v>4</v>
      </c>
      <c r="AW14" s="238">
        <f t="shared" si="7"/>
        <v>0</v>
      </c>
      <c r="AX14" s="238" t="e">
        <f>AU14+AY14</f>
        <v>#VALUE!</v>
      </c>
      <c r="AY14" s="313" t="e">
        <f>(BJ14*('Setting key Duty'!$I$8+'Setting key Duty'!$I$12))+(BH14*'Setting key Duty'!$I$9)+(BC14*('Setting key Duty'!$I$13+'Setting key Duty'!$I$9))+(BA14*('Setting key Duty'!$I$13+'Setting key Duty'!$I$12+'Setting key Duty'!$I$11))+(BE14*('Setting key Duty'!$I$8+'Setting key Duty'!$I$9+'Setting key Duty'!$I$12))</f>
        <v>#VALUE!</v>
      </c>
      <c r="AZ14" s="313">
        <f>COUNTIF(C14:AC14,"*BRT*")</f>
        <v>0</v>
      </c>
      <c r="BA14" s="313">
        <f t="shared" si="8"/>
        <v>0</v>
      </c>
      <c r="BB14" s="313" t="e">
        <f>BA14*('Setting key Duty'!$I$13+'Setting key Duty'!$I$12+'Setting key Duty'!$I$11)</f>
        <v>#VALUE!</v>
      </c>
      <c r="BC14" s="313">
        <f>COUNTIF(I14:AI14,"*$L*")</f>
        <v>0</v>
      </c>
      <c r="BD14" s="313" t="e">
        <f>BC14*('Setting key Duty'!$I$13+'Setting key Duty'!$I$9)</f>
        <v>#VALUE!</v>
      </c>
      <c r="BE14" s="313">
        <f>COUNTIF(I14:AI14,"*$M*")</f>
        <v>0</v>
      </c>
      <c r="BF14" s="313">
        <f>BE14*('Setting key Duty'!$I$8+'Setting key Duty'!$I$9+'Setting key Duty'!$I$12)</f>
        <v>0</v>
      </c>
      <c r="BG14" s="313">
        <f>COUNTIF(I14:AI14,"*$N*")</f>
        <v>0</v>
      </c>
      <c r="BH14" s="313">
        <f>COUNTIF(I14:AI14,"*$PM*")</f>
        <v>0</v>
      </c>
      <c r="BI14" s="313">
        <f>BH14*('Setting key Duty'!$I$9)</f>
        <v>0</v>
      </c>
      <c r="BJ14" s="313">
        <f>COUNTIF(I14:AI14,"*$AM*")</f>
        <v>0</v>
      </c>
      <c r="BK14" s="313">
        <f>BJ14*('Setting key Duty'!$I$12+'Setting key Duty'!$I$8)</f>
        <v>0</v>
      </c>
      <c r="BL14" s="313">
        <f>COUNTIF(C14:AI14,"*$FC*")</f>
        <v>0</v>
      </c>
      <c r="BM14" s="313">
        <f>BL14*('Setting key Duty'!$J$11+'Setting key Duty'!$I$8)</f>
        <v>0</v>
      </c>
      <c r="BN14" s="313">
        <f>COUNTIF($C14:$AF14,BN$4)</f>
        <v>0</v>
      </c>
      <c r="BO14" s="313">
        <f>COUNTIF($C14:$AF14,BO$4)</f>
        <v>3</v>
      </c>
      <c r="BP14" s="313">
        <f>COUNTIF($I14:$AE14,BP$4)</f>
        <v>0</v>
      </c>
      <c r="BQ14" s="314"/>
    </row>
    <row r="15" ht="19.5" customHeight="1" spans="1:69">
      <c r="A15" s="309"/>
      <c r="B15" s="329" t="s">
        <v>426</v>
      </c>
      <c r="C15" s="317" t="s">
        <v>54</v>
      </c>
      <c r="D15" s="197" t="s">
        <v>54</v>
      </c>
      <c r="E15" s="197" t="s">
        <v>54</v>
      </c>
      <c r="F15" s="197" t="s">
        <v>54</v>
      </c>
      <c r="G15" s="197" t="s">
        <v>54</v>
      </c>
      <c r="H15" s="197" t="s">
        <v>54</v>
      </c>
      <c r="I15" s="197" t="s">
        <v>54</v>
      </c>
      <c r="J15" s="197" t="s">
        <v>54</v>
      </c>
      <c r="K15" s="197" t="s">
        <v>57</v>
      </c>
      <c r="L15" s="197"/>
      <c r="M15" s="106"/>
      <c r="N15" s="197" t="s">
        <v>56</v>
      </c>
      <c r="O15" s="197"/>
      <c r="P15" s="197"/>
      <c r="Q15" s="317"/>
      <c r="R15" s="197" t="s">
        <v>57</v>
      </c>
      <c r="S15" s="197"/>
      <c r="T15" s="197" t="s">
        <v>56</v>
      </c>
      <c r="U15" s="317"/>
      <c r="V15" s="106"/>
      <c r="X15" s="197"/>
      <c r="Y15" s="197" t="s">
        <v>223</v>
      </c>
      <c r="Z15" s="197"/>
      <c r="AA15" s="197" t="s">
        <v>172</v>
      </c>
      <c r="AB15" s="197" t="s">
        <v>56</v>
      </c>
      <c r="AC15" s="197"/>
      <c r="AD15" s="197"/>
      <c r="AE15" s="197"/>
      <c r="AF15" s="197"/>
      <c r="AG15" s="197"/>
      <c r="AH15" s="197"/>
      <c r="AI15" s="311"/>
      <c r="AJ15" s="312"/>
      <c r="AK15" s="311"/>
      <c r="AL15" s="313"/>
      <c r="AM15" s="313"/>
      <c r="AN15" s="313"/>
      <c r="AO15" s="313"/>
      <c r="AP15" s="238"/>
      <c r="AQ15" s="313">
        <f t="shared" si="2"/>
        <v>0</v>
      </c>
      <c r="AR15" s="238"/>
      <c r="AS15" s="238">
        <f t="shared" si="3"/>
        <v>0</v>
      </c>
      <c r="AT15" s="238"/>
      <c r="AU15" s="238">
        <f t="shared" si="4"/>
        <v>0</v>
      </c>
      <c r="AV15" s="238">
        <f t="shared" si="5"/>
        <v>0</v>
      </c>
      <c r="AW15" s="238">
        <f t="shared" si="7"/>
        <v>0</v>
      </c>
      <c r="AX15" s="238" t="e">
        <f>AU15+$AY$10</f>
        <v>#VALUE!</v>
      </c>
      <c r="AY15" s="313" t="e">
        <f>(BJ15*('Setting key Duty'!$I$8+'Setting key Duty'!$I$12))+(BH15*'Setting key Duty'!$I$9)+(BC15*('Setting key Duty'!$I$13+'Setting key Duty'!$I$9))+(BA15*('Setting key Duty'!$I$13+'Setting key Duty'!$I$12+'Setting key Duty'!$I$11))+(BE15*('Setting key Duty'!$I$8+'Setting key Duty'!$I$9+'Setting key Duty'!$I$12))</f>
        <v>#VALUE!</v>
      </c>
      <c r="AZ15" s="313">
        <f>COUNTIF(D15:AA15,"*BRT*")</f>
        <v>0</v>
      </c>
      <c r="BA15" s="313">
        <f t="shared" si="8"/>
        <v>0</v>
      </c>
      <c r="BB15" s="313" t="e">
        <f>BA15*('Setting key Duty'!$I$13+'Setting key Duty'!$I$12+'Setting key Duty'!$I$11)</f>
        <v>#VALUE!</v>
      </c>
      <c r="BC15" s="313">
        <f>COUNTIF(A15:AI15,"*$L*")</f>
        <v>0</v>
      </c>
      <c r="BD15" s="313" t="e">
        <f>BC15*('Setting key Duty'!$I$13+'Setting key Duty'!$I$9)</f>
        <v>#VALUE!</v>
      </c>
      <c r="BE15" s="313">
        <f>COUNTIF(A15:AI15,"*$M*")</f>
        <v>0</v>
      </c>
      <c r="BF15" s="313">
        <f>BE15*('Setting key Duty'!$I$8+'Setting key Duty'!$I$9+'Setting key Duty'!$I$12)</f>
        <v>0</v>
      </c>
      <c r="BG15" s="313">
        <f>COUNTIF(AI15,"*$N*")</f>
        <v>0</v>
      </c>
      <c r="BH15" s="313">
        <f>COUNTIF(AI15,"*$PM*")</f>
        <v>0</v>
      </c>
      <c r="BI15" s="313">
        <f>BH15*('Setting key Duty'!$I$9)</f>
        <v>0</v>
      </c>
      <c r="BJ15" s="313">
        <f>COUNTIF(A15:AI15,"*$AM*")</f>
        <v>0</v>
      </c>
      <c r="BK15" s="313">
        <f>BJ15*('Setting key Duty'!$I$12+'Setting key Duty'!$I$8)</f>
        <v>0</v>
      </c>
      <c r="BL15" s="313">
        <f>COUNTIF(D15:AI15,"*$FC*")</f>
        <v>0</v>
      </c>
      <c r="BM15" s="313">
        <f>BL15*('Setting key Duty'!$J$11+'Setting key Duty'!$I$8)</f>
        <v>0</v>
      </c>
      <c r="BN15" s="313">
        <f>COUNTIF($D15:$AA15,BN$4)</f>
        <v>0</v>
      </c>
      <c r="BO15" s="313">
        <f>COUNTIF($D15:$AA15,BO$4)</f>
        <v>0</v>
      </c>
      <c r="BP15" s="313">
        <f>COUNTIF($D15:$AA15,BP$4)</f>
        <v>0</v>
      </c>
      <c r="BQ15" s="314"/>
    </row>
    <row r="16" ht="19.5" customHeight="1" spans="1:69">
      <c r="A16" s="309"/>
      <c r="B16" s="373" t="s">
        <v>427</v>
      </c>
      <c r="C16" s="317"/>
      <c r="E16" s="197" t="s">
        <v>58</v>
      </c>
      <c r="F16" s="197"/>
      <c r="G16" s="197" t="s">
        <v>150</v>
      </c>
      <c r="H16" s="197" t="s">
        <v>150</v>
      </c>
      <c r="I16" s="197" t="s">
        <v>150</v>
      </c>
      <c r="J16" s="197"/>
      <c r="K16" s="197"/>
      <c r="L16" s="197" t="s">
        <v>59</v>
      </c>
      <c r="M16" s="197"/>
      <c r="N16" s="197"/>
      <c r="P16" s="197"/>
      <c r="Q16" s="197" t="s">
        <v>350</v>
      </c>
      <c r="R16" s="197"/>
      <c r="S16" s="197" t="s">
        <v>57</v>
      </c>
      <c r="T16" s="197"/>
      <c r="U16" s="197"/>
      <c r="V16" s="200"/>
      <c r="W16" s="197" t="s">
        <v>56</v>
      </c>
      <c r="X16" s="197"/>
      <c r="Y16" s="197" t="s">
        <v>223</v>
      </c>
      <c r="Z16" s="197"/>
      <c r="AA16" s="197" t="s">
        <v>172</v>
      </c>
      <c r="AC16" s="197"/>
      <c r="AD16" s="197"/>
      <c r="AE16" s="197"/>
      <c r="AF16" s="197"/>
      <c r="AG16" s="197"/>
      <c r="AH16" s="197"/>
      <c r="AI16" s="311"/>
      <c r="AJ16" s="312"/>
      <c r="AK16" s="311"/>
      <c r="AL16" s="313"/>
      <c r="AM16" s="313"/>
      <c r="AN16" s="313"/>
      <c r="AO16" s="313"/>
      <c r="AP16" s="238"/>
      <c r="AQ16" s="313">
        <f t="shared" si="2"/>
        <v>0</v>
      </c>
      <c r="AR16" s="238"/>
      <c r="AS16" s="238">
        <f t="shared" si="3"/>
        <v>0</v>
      </c>
      <c r="AT16" s="238"/>
      <c r="AU16" s="238">
        <f t="shared" si="4"/>
        <v>0</v>
      </c>
      <c r="AV16" s="238">
        <f t="shared" si="5"/>
        <v>0</v>
      </c>
      <c r="AW16" s="238">
        <f t="shared" si="7"/>
        <v>0</v>
      </c>
      <c r="AX16" s="238" t="e">
        <f>AU16+$AY$10</f>
        <v>#VALUE!</v>
      </c>
      <c r="AY16" s="313" t="e">
        <f>(BJ16*('Setting key Duty'!$I$8+'Setting key Duty'!$I$12))+(BH16*'Setting key Duty'!$I$9)+(BC16*('Setting key Duty'!$I$13+'Setting key Duty'!$I$9))+(BA16*('Setting key Duty'!$I$13+'Setting key Duty'!$I$12+'Setting key Duty'!$I$11))+(BE16*('Setting key Duty'!$I$8+'Setting key Duty'!$I$9+'Setting key Duty'!$I$12))</f>
        <v>#VALUE!</v>
      </c>
      <c r="AZ16" s="313">
        <f>COUNTIF(E16:Y16,"*BRT*")</f>
        <v>0</v>
      </c>
      <c r="BA16" s="313">
        <f t="shared" si="8"/>
        <v>0</v>
      </c>
      <c r="BB16" s="313" t="e">
        <f>BA16*('Setting key Duty'!$I$13+'Setting key Duty'!$I$12+'Setting key Duty'!$I$11)</f>
        <v>#VALUE!</v>
      </c>
      <c r="BC16" s="313">
        <f>COUNTIF(A16:AI16,"*$L*")</f>
        <v>0</v>
      </c>
      <c r="BD16" s="313" t="e">
        <f>BC16*('Setting key Duty'!$I$13+'Setting key Duty'!$I$9)</f>
        <v>#VALUE!</v>
      </c>
      <c r="BE16" s="313">
        <f>COUNTIF(A16:AI16,"*$M*")</f>
        <v>0</v>
      </c>
      <c r="BF16" s="313">
        <f>BE16*('Setting key Duty'!$I$8+'Setting key Duty'!$I$9+'Setting key Duty'!$I$12)</f>
        <v>0</v>
      </c>
      <c r="BG16" s="313">
        <f>COUNTIF(AI16,"*$N*")</f>
        <v>0</v>
      </c>
      <c r="BH16" s="313">
        <f>COUNTIF(AI16,"*$PM*")</f>
        <v>0</v>
      </c>
      <c r="BI16" s="313">
        <f>BH16*('Setting key Duty'!$I$9)</f>
        <v>0</v>
      </c>
      <c r="BJ16" s="313">
        <f>COUNTIF(A16:AI16,"*$AM*")</f>
        <v>0</v>
      </c>
      <c r="BK16" s="313">
        <f>BJ16*('Setting key Duty'!$I$12+'Setting key Duty'!$I$8)</f>
        <v>0</v>
      </c>
      <c r="BL16" s="313">
        <f>COUNTIF(E16:AI16,"*$FC*")</f>
        <v>0</v>
      </c>
      <c r="BM16" s="313">
        <f>BL16*('Setting key Duty'!$J$11+'Setting key Duty'!$I$8)</f>
        <v>0</v>
      </c>
      <c r="BN16" s="313">
        <f>COUNTIF($E16:$Y16,BN$4)</f>
        <v>0</v>
      </c>
      <c r="BO16" s="313">
        <f>COUNTIF($E16:$Y16,BO$4)</f>
        <v>1</v>
      </c>
      <c r="BP16" s="313">
        <f>COUNTIF($E16:$Y16,BP$4)</f>
        <v>0</v>
      </c>
      <c r="BQ16" s="314"/>
    </row>
    <row r="17" ht="30.75" customHeight="1" spans="1:69">
      <c r="A17" s="309"/>
      <c r="B17" s="315" t="s">
        <v>472</v>
      </c>
      <c r="C17" s="197"/>
      <c r="D17" s="197"/>
      <c r="E17" s="197" t="s">
        <v>468</v>
      </c>
      <c r="F17" s="197"/>
      <c r="G17" s="197" t="s">
        <v>350</v>
      </c>
      <c r="H17" s="197"/>
      <c r="I17" s="197" t="s">
        <v>57</v>
      </c>
      <c r="J17" s="197"/>
      <c r="K17" s="197"/>
      <c r="L17" s="197" t="s">
        <v>57</v>
      </c>
      <c r="N17" s="197"/>
      <c r="O17" s="197"/>
      <c r="P17" s="197" t="s">
        <v>57</v>
      </c>
      <c r="R17" s="197"/>
      <c r="S17" s="197"/>
      <c r="T17" s="197"/>
      <c r="U17" s="197" t="s">
        <v>350</v>
      </c>
      <c r="V17" s="197"/>
      <c r="W17" s="197" t="s">
        <v>54</v>
      </c>
      <c r="X17" s="197" t="s">
        <v>54</v>
      </c>
      <c r="Y17" s="197" t="s">
        <v>54</v>
      </c>
      <c r="Z17" s="197" t="s">
        <v>54</v>
      </c>
      <c r="AA17" s="197" t="s">
        <v>54</v>
      </c>
      <c r="AB17" s="197" t="s">
        <v>54</v>
      </c>
      <c r="AC17" s="197" t="s">
        <v>54</v>
      </c>
      <c r="AD17" s="197" t="s">
        <v>54</v>
      </c>
      <c r="AE17" s="197" t="s">
        <v>54</v>
      </c>
      <c r="AF17" s="197" t="s">
        <v>56</v>
      </c>
      <c r="AG17" s="197"/>
      <c r="AH17" s="106"/>
      <c r="AI17" s="311"/>
      <c r="AJ17" s="312"/>
      <c r="AK17" s="311"/>
      <c r="AL17" s="313"/>
      <c r="AM17" s="313"/>
      <c r="AN17" s="313"/>
      <c r="AO17" s="313"/>
      <c r="AP17" s="238"/>
      <c r="AQ17" s="313">
        <f t="shared" si="2"/>
        <v>0</v>
      </c>
      <c r="AR17" s="238"/>
      <c r="AS17" s="238">
        <f t="shared" si="3"/>
        <v>0</v>
      </c>
      <c r="AT17" s="238"/>
      <c r="AU17" s="238">
        <f t="shared" si="4"/>
        <v>0</v>
      </c>
      <c r="AV17" s="238">
        <f t="shared" si="5"/>
        <v>0</v>
      </c>
      <c r="AW17" s="238">
        <f t="shared" si="7"/>
        <v>1</v>
      </c>
      <c r="AX17" s="238" t="e">
        <f>AU17+$AY$10</f>
        <v>#VALUE!</v>
      </c>
      <c r="AY17" s="313" t="e">
        <f>(BJ17*('Setting key Duty'!$I$8+'Setting key Duty'!$I$12))+(BH17*'Setting key Duty'!$I$9)+(BC17*('Setting key Duty'!$I$13+'Setting key Duty'!$I$9))+(BA17*('Setting key Duty'!$I$13+'Setting key Duty'!$I$12+'Setting key Duty'!$I$11))+(BE17*('Setting key Duty'!$I$8+'Setting key Duty'!$I$9+'Setting key Duty'!$I$12))</f>
        <v>#VALUE!</v>
      </c>
      <c r="AZ17" s="313">
        <f>COUNTIF(D17:AA17,"*BRT*")</f>
        <v>0</v>
      </c>
      <c r="BA17" s="313">
        <f t="shared" si="8"/>
        <v>0</v>
      </c>
      <c r="BB17" s="313" t="e">
        <f>BA17*('Setting key Duty'!$I$13+'Setting key Duty'!$I$12+'Setting key Duty'!$I$11)</f>
        <v>#VALUE!</v>
      </c>
      <c r="BC17" s="313">
        <f>COUNTIF(A17:AI17,"*$L*")</f>
        <v>0</v>
      </c>
      <c r="BD17" s="313" t="e">
        <f>BC17*('Setting key Duty'!$I$13+'Setting key Duty'!$I$9)</f>
        <v>#VALUE!</v>
      </c>
      <c r="BE17" s="313">
        <f>COUNTIF(A17:AI17,"*$M*")</f>
        <v>0</v>
      </c>
      <c r="BF17" s="313">
        <f>BE17*('Setting key Duty'!$I$8+'Setting key Duty'!$I$9+'Setting key Duty'!$I$12)</f>
        <v>0</v>
      </c>
      <c r="BG17" s="313">
        <f>COUNTIF(AI17,"*$N*")</f>
        <v>0</v>
      </c>
      <c r="BH17" s="313">
        <f>COUNTIF(AI17,"*$PM*")</f>
        <v>0</v>
      </c>
      <c r="BI17" s="313">
        <f>BH17*('Setting key Duty'!$I$9)</f>
        <v>0</v>
      </c>
      <c r="BJ17" s="313">
        <f>COUNTIF(A17:AI17,"*$AM*")</f>
        <v>1</v>
      </c>
      <c r="BK17" s="313">
        <f>BJ17*('Setting key Duty'!$I$12+'Setting key Duty'!$I$8)</f>
        <v>0.4375</v>
      </c>
      <c r="BL17" s="313">
        <f>COUNTIF(D17:AI17,"*$FC*")</f>
        <v>0</v>
      </c>
      <c r="BM17" s="313">
        <f>BL17*('Setting key Duty'!$J$11+'Setting key Duty'!$I$8)</f>
        <v>0</v>
      </c>
      <c r="BN17" s="313">
        <f>COUNTIF($D17:$AA17,BN$4)</f>
        <v>0</v>
      </c>
      <c r="BO17" s="313">
        <f>COUNTIF($D17:$AA17,BO$4)</f>
        <v>2</v>
      </c>
      <c r="BP17" s="313">
        <f>COUNTIF($D17:$AA17,BP$4)</f>
        <v>0</v>
      </c>
      <c r="BQ17" s="314"/>
    </row>
    <row r="18" ht="27.75" customHeight="1" spans="1:69">
      <c r="A18" s="309"/>
      <c r="B18" s="315" t="s">
        <v>473</v>
      </c>
      <c r="D18" s="197"/>
      <c r="E18" s="197" t="s">
        <v>474</v>
      </c>
      <c r="G18" s="197" t="s">
        <v>474</v>
      </c>
      <c r="J18" s="197" t="s">
        <v>59</v>
      </c>
      <c r="K18" s="197"/>
      <c r="L18" s="196"/>
      <c r="M18" s="197"/>
      <c r="N18" s="197" t="s">
        <v>350</v>
      </c>
      <c r="P18" s="197" t="s">
        <v>474</v>
      </c>
      <c r="R18" s="197"/>
      <c r="S18" s="197" t="s">
        <v>56</v>
      </c>
      <c r="T18" s="197"/>
      <c r="V18" s="200"/>
      <c r="W18" s="197" t="s">
        <v>474</v>
      </c>
      <c r="X18" s="197"/>
      <c r="Y18" s="317" t="s">
        <v>223</v>
      </c>
      <c r="Z18" s="197" t="s">
        <v>57</v>
      </c>
      <c r="AA18" s="197"/>
      <c r="AB18" s="197" t="s">
        <v>59</v>
      </c>
      <c r="AC18" s="317"/>
      <c r="AD18" s="197" t="s">
        <v>474</v>
      </c>
      <c r="AF18" s="197"/>
      <c r="AG18" s="197"/>
      <c r="AH18" s="197"/>
      <c r="AI18" s="311"/>
      <c r="AJ18" s="312"/>
      <c r="AK18" s="311"/>
      <c r="AL18" s="313"/>
      <c r="AM18" s="313"/>
      <c r="AN18" s="313"/>
      <c r="AO18" s="313"/>
      <c r="AP18" s="238"/>
      <c r="AQ18" s="313">
        <f t="shared" si="2"/>
        <v>0</v>
      </c>
      <c r="AR18" s="238"/>
      <c r="AS18" s="238">
        <f t="shared" si="3"/>
        <v>0</v>
      </c>
      <c r="AT18" s="238"/>
      <c r="AU18" s="238">
        <f t="shared" si="4"/>
        <v>0</v>
      </c>
      <c r="AV18" s="238">
        <f t="shared" si="5"/>
        <v>0</v>
      </c>
      <c r="AW18" s="238">
        <f t="shared" si="7"/>
        <v>0</v>
      </c>
      <c r="AX18" s="238" t="e">
        <f>AU18+$AY$10</f>
        <v>#VALUE!</v>
      </c>
      <c r="AY18" s="313" t="e">
        <f>(BJ18*('Setting key Duty'!$I$8+'Setting key Duty'!$I$12))+(BH18*'Setting key Duty'!$I$9)+(BC18*('Setting key Duty'!$I$13+'Setting key Duty'!$I$9))+(BA18*('Setting key Duty'!$I$13+'Setting key Duty'!$I$12+'Setting key Duty'!$I$11))+(BE18*('Setting key Duty'!$I$8+'Setting key Duty'!$I$9+'Setting key Duty'!$I$12))</f>
        <v>#VALUE!</v>
      </c>
      <c r="AZ18" s="313">
        <f>COUNTIF(C18:AA18,"*BRT*")</f>
        <v>0</v>
      </c>
      <c r="BA18" s="313">
        <f t="shared" si="8"/>
        <v>0</v>
      </c>
      <c r="BB18" s="313" t="e">
        <f>BA18*('Setting key Duty'!$I$13+'Setting key Duty'!$I$12+'Setting key Duty'!$I$11)</f>
        <v>#VALUE!</v>
      </c>
      <c r="BC18" s="313">
        <f>COUNTIF(A18:AI18,"*$L*")</f>
        <v>0</v>
      </c>
      <c r="BD18" s="313" t="e">
        <f>BC18*('Setting key Duty'!$I$13+'Setting key Duty'!$I$9)</f>
        <v>#VALUE!</v>
      </c>
      <c r="BE18" s="313">
        <f>COUNTIF(A18:AI18,"*$M*")</f>
        <v>0</v>
      </c>
      <c r="BF18" s="313">
        <f>BE18*('Setting key Duty'!$I$8+'Setting key Duty'!$I$9+'Setting key Duty'!$I$12)</f>
        <v>0</v>
      </c>
      <c r="BG18" s="313">
        <f>COUNTIF(AI18,"*$N*")</f>
        <v>0</v>
      </c>
      <c r="BH18" s="313">
        <f>COUNTIF(AI18,"*$PM*")</f>
        <v>0</v>
      </c>
      <c r="BI18" s="313">
        <f>BH18*('Setting key Duty'!$I$9)</f>
        <v>0</v>
      </c>
      <c r="BJ18" s="313">
        <f>COUNTIF(A18:AI18,"*$AM*")</f>
        <v>0</v>
      </c>
      <c r="BK18" s="313">
        <f>BJ18*('Setting key Duty'!$I$12+'Setting key Duty'!$I$8)</f>
        <v>0</v>
      </c>
      <c r="BL18" s="313">
        <f>COUNTIF(C18:AI18,"*$FC*")</f>
        <v>0</v>
      </c>
      <c r="BM18" s="313">
        <f>BL18*('Setting key Duty'!$J$11+'Setting key Duty'!$I$8)</f>
        <v>0</v>
      </c>
      <c r="BN18" s="313">
        <f>COUNTIF($C18:$AA18,BN$4)</f>
        <v>0</v>
      </c>
      <c r="BO18" s="313">
        <f>COUNTIF($C18:$AA18,BO$4)</f>
        <v>1</v>
      </c>
      <c r="BP18" s="313">
        <f>COUNTIF($C18:$AA18,BP$4)</f>
        <v>0</v>
      </c>
      <c r="BQ18" s="314"/>
    </row>
    <row r="19" ht="19.5" customHeight="1" spans="1:69">
      <c r="A19" s="309"/>
      <c r="B19" s="375" t="s">
        <v>475</v>
      </c>
      <c r="C19" s="197"/>
      <c r="D19" s="197" t="s">
        <v>350</v>
      </c>
      <c r="E19" s="197" t="s">
        <v>57</v>
      </c>
      <c r="F19" s="197" t="s">
        <v>350</v>
      </c>
      <c r="G19" s="197" t="s">
        <v>150</v>
      </c>
      <c r="H19" s="197" t="s">
        <v>150</v>
      </c>
      <c r="I19" s="197" t="s">
        <v>150</v>
      </c>
      <c r="J19" s="317" t="s">
        <v>57</v>
      </c>
      <c r="K19" s="197"/>
      <c r="L19" s="317"/>
      <c r="M19" s="317" t="s">
        <v>56</v>
      </c>
      <c r="N19" s="197"/>
      <c r="O19" s="197"/>
      <c r="P19" s="197" t="s">
        <v>350</v>
      </c>
      <c r="Q19" s="197"/>
      <c r="R19" s="197"/>
      <c r="T19" s="197"/>
      <c r="U19" s="197"/>
      <c r="V19" s="197" t="s">
        <v>350</v>
      </c>
      <c r="X19" s="197" t="s">
        <v>56</v>
      </c>
      <c r="Y19" s="317" t="s">
        <v>223</v>
      </c>
      <c r="AA19" s="197"/>
      <c r="AB19" s="317"/>
      <c r="AC19" s="197"/>
      <c r="AD19" s="317"/>
      <c r="AF19" s="197"/>
      <c r="AG19" s="197"/>
      <c r="AH19" s="197"/>
      <c r="AI19" s="311"/>
      <c r="AJ19" s="312"/>
      <c r="AK19" s="311"/>
      <c r="AL19" s="313"/>
      <c r="AM19" s="313"/>
      <c r="AN19" s="313"/>
      <c r="AO19" s="313"/>
      <c r="AP19" s="238"/>
      <c r="AQ19" s="313">
        <f t="shared" si="2"/>
        <v>0</v>
      </c>
      <c r="AR19" s="238"/>
      <c r="AS19" s="238">
        <f t="shared" si="3"/>
        <v>0</v>
      </c>
      <c r="AT19" s="238"/>
      <c r="AU19" s="238">
        <f t="shared" si="4"/>
        <v>0</v>
      </c>
      <c r="AV19" s="238">
        <f t="shared" si="5"/>
        <v>0</v>
      </c>
      <c r="AW19" s="238">
        <f t="shared" si="7"/>
        <v>0</v>
      </c>
      <c r="AX19" s="238" t="e">
        <f>AU19+AY19</f>
        <v>#VALUE!</v>
      </c>
      <c r="AY19" s="313" t="e">
        <f>(BJ19*('Setting key Duty'!$I$8+'Setting key Duty'!$I$12))+(BH19*'Setting key Duty'!$I$9)+(BC19*('Setting key Duty'!$I$13+'Setting key Duty'!$I$9))+(BA19*('Setting key Duty'!$I$13+'Setting key Duty'!$I$12+'Setting key Duty'!$I$11))+(BE19*('Setting key Duty'!$I$8+'Setting key Duty'!$I$9+'Setting key Duty'!$I$12))</f>
        <v>#VALUE!</v>
      </c>
      <c r="AZ19" s="313">
        <f>COUNTIF(D19:AB19,"*BRT*")</f>
        <v>0</v>
      </c>
      <c r="BA19" s="313">
        <f t="shared" si="8"/>
        <v>0</v>
      </c>
      <c r="BB19" s="313" t="e">
        <f>BA19*('Setting key Duty'!$I$13+'Setting key Duty'!$I$12+'Setting key Duty'!$I$11)</f>
        <v>#VALUE!</v>
      </c>
      <c r="BC19" s="313">
        <f>COUNTIF(A19:AI19,"*$L*")</f>
        <v>0</v>
      </c>
      <c r="BD19" s="313" t="e">
        <f>BC19*('Setting key Duty'!$I$13+'Setting key Duty'!$I$9)</f>
        <v>#VALUE!</v>
      </c>
      <c r="BE19" s="313">
        <f>COUNTIF(A19:AI19,"*$M*")</f>
        <v>0</v>
      </c>
      <c r="BF19" s="313">
        <f>BE19*('Setting key Duty'!$I$8+'Setting key Duty'!$I$9+'Setting key Duty'!$I$12)</f>
        <v>0</v>
      </c>
      <c r="BG19" s="313">
        <f>COUNTIF(AF19:AI19,"*$N*")</f>
        <v>0</v>
      </c>
      <c r="BH19" s="313">
        <f>COUNTIF(AF19:AI19,"*$PM*")</f>
        <v>0</v>
      </c>
      <c r="BI19" s="313">
        <f>BH19*('Setting key Duty'!$I$9)</f>
        <v>0</v>
      </c>
      <c r="BJ19" s="313">
        <f>COUNTIF(A19:AI19,"*$AM*")</f>
        <v>0</v>
      </c>
      <c r="BK19" s="313">
        <f>BJ19*('Setting key Duty'!$I$12+'Setting key Duty'!$I$8)</f>
        <v>0</v>
      </c>
      <c r="BL19" s="313">
        <f>COUNTIF(D19:AI19,"*$FC*")</f>
        <v>0</v>
      </c>
      <c r="BM19" s="313">
        <f>BL19*('Setting key Duty'!$J$11+'Setting key Duty'!$I$8)</f>
        <v>0</v>
      </c>
      <c r="BN19" s="313">
        <f>COUNTIF($D19:$AF19,BN$4)</f>
        <v>0</v>
      </c>
      <c r="BO19" s="313">
        <f>COUNTIF($D19:$AF19,BO$4)</f>
        <v>4</v>
      </c>
      <c r="BP19" s="313">
        <f>COUNTIF($D19:$AF19,BP$4)</f>
        <v>0</v>
      </c>
      <c r="BQ19" s="314"/>
    </row>
    <row r="20" ht="19.5" customHeight="1" spans="1:69">
      <c r="A20" s="309"/>
      <c r="B20" s="328" t="s">
        <v>388</v>
      </c>
      <c r="C20" s="197"/>
      <c r="E20" s="197" t="s">
        <v>149</v>
      </c>
      <c r="F20" s="197" t="s">
        <v>149</v>
      </c>
      <c r="G20" s="197" t="s">
        <v>476</v>
      </c>
      <c r="H20" s="197" t="s">
        <v>57</v>
      </c>
      <c r="I20" s="197"/>
      <c r="J20" s="197"/>
      <c r="L20" s="197"/>
      <c r="M20" s="197"/>
      <c r="N20" s="197" t="s">
        <v>57</v>
      </c>
      <c r="O20" s="197"/>
      <c r="R20" s="197" t="s">
        <v>350</v>
      </c>
      <c r="T20" s="197" t="s">
        <v>59</v>
      </c>
      <c r="U20" s="197"/>
      <c r="V20" s="200"/>
      <c r="W20" s="197"/>
      <c r="X20" s="197"/>
      <c r="Y20" s="197"/>
      <c r="Z20" s="197"/>
      <c r="AA20" s="197"/>
      <c r="AB20" s="197" t="s">
        <v>350</v>
      </c>
      <c r="AC20" s="197"/>
      <c r="AE20" s="197" t="s">
        <v>56</v>
      </c>
      <c r="AF20" s="197" t="s">
        <v>477</v>
      </c>
      <c r="AG20" s="197" t="s">
        <v>477</v>
      </c>
      <c r="AH20" s="197" t="s">
        <v>477</v>
      </c>
      <c r="AI20" s="311"/>
      <c r="AJ20" s="312"/>
      <c r="AK20" s="311"/>
      <c r="AL20" s="313"/>
      <c r="AM20" s="313"/>
      <c r="AN20" s="313"/>
      <c r="AO20" s="313"/>
      <c r="AP20" s="238"/>
      <c r="AQ20" s="313">
        <f t="shared" si="2"/>
        <v>0</v>
      </c>
      <c r="AR20" s="238"/>
      <c r="AS20" s="238">
        <f t="shared" si="3"/>
        <v>0</v>
      </c>
      <c r="AT20" s="238"/>
      <c r="AU20" s="238">
        <f t="shared" si="4"/>
        <v>0</v>
      </c>
      <c r="AV20" s="238">
        <f t="shared" si="5"/>
        <v>0</v>
      </c>
      <c r="AW20" s="238">
        <f t="shared" si="7"/>
        <v>0</v>
      </c>
      <c r="AX20" s="238" t="e">
        <f>AU20+$AY$10</f>
        <v>#VALUE!</v>
      </c>
      <c r="AY20" s="313" t="e">
        <f>(BJ20*('Setting key Duty'!$I$8+'Setting key Duty'!$I$12))+(BH20*'Setting key Duty'!$I$9)+(BC20*('Setting key Duty'!$I$13+'Setting key Duty'!$I$9))+(BA20*('Setting key Duty'!$I$13+'Setting key Duty'!$I$12+'Setting key Duty'!$I$11))+(BE20*('Setting key Duty'!$I$8+'Setting key Duty'!$I$9+'Setting key Duty'!$I$12))</f>
        <v>#VALUE!</v>
      </c>
      <c r="AZ20" s="313"/>
      <c r="BA20" s="313"/>
      <c r="BB20" s="313"/>
      <c r="BC20" s="313"/>
      <c r="BD20" s="313"/>
      <c r="BE20" s="313"/>
      <c r="BF20" s="313"/>
      <c r="BG20" s="313"/>
      <c r="BH20" s="313"/>
      <c r="BI20" s="313"/>
      <c r="BJ20" s="313"/>
      <c r="BK20" s="313"/>
      <c r="BL20" s="313"/>
      <c r="BM20" s="313"/>
      <c r="BN20" s="313"/>
      <c r="BO20" s="313"/>
      <c r="BP20" s="313"/>
      <c r="BQ20" s="314"/>
    </row>
    <row r="21" ht="19.5" customHeight="1" spans="1:69">
      <c r="A21" s="309"/>
      <c r="B21" s="328" t="s">
        <v>478</v>
      </c>
      <c r="C21" s="197"/>
      <c r="D21" s="197" t="s">
        <v>56</v>
      </c>
      <c r="F21" s="197"/>
      <c r="G21" s="197" t="s">
        <v>150</v>
      </c>
      <c r="H21" s="197" t="s">
        <v>150</v>
      </c>
      <c r="I21" s="197" t="s">
        <v>150</v>
      </c>
      <c r="J21" s="197"/>
      <c r="K21" s="197" t="s">
        <v>56</v>
      </c>
      <c r="L21" s="197"/>
      <c r="M21" s="317"/>
      <c r="O21" s="197" t="s">
        <v>350</v>
      </c>
      <c r="P21" s="197"/>
      <c r="Q21" s="197"/>
      <c r="R21" s="197" t="s">
        <v>350</v>
      </c>
      <c r="T21" s="196"/>
      <c r="U21" s="196" t="s">
        <v>56</v>
      </c>
      <c r="V21" s="200"/>
      <c r="W21" s="197"/>
      <c r="X21" s="197" t="s">
        <v>57</v>
      </c>
      <c r="AB21" s="197"/>
      <c r="AC21" s="197" t="s">
        <v>59</v>
      </c>
      <c r="AD21" s="317"/>
      <c r="AE21" s="197" t="s">
        <v>350</v>
      </c>
      <c r="AG21" s="197"/>
      <c r="AH21" s="197"/>
      <c r="AI21" s="311"/>
      <c r="AJ21" s="312"/>
      <c r="AK21" s="311"/>
      <c r="AL21" s="313"/>
      <c r="AM21" s="313"/>
      <c r="AN21" s="313"/>
      <c r="AO21" s="313"/>
      <c r="AP21" s="238"/>
      <c r="AQ21" s="313">
        <f t="shared" si="2"/>
        <v>0</v>
      </c>
      <c r="AR21" s="238"/>
      <c r="AS21" s="238">
        <f t="shared" si="3"/>
        <v>0</v>
      </c>
      <c r="AT21" s="238"/>
      <c r="AU21" s="238">
        <f t="shared" si="4"/>
        <v>0</v>
      </c>
      <c r="AV21" s="238">
        <f t="shared" si="5"/>
        <v>0</v>
      </c>
      <c r="AW21" s="238">
        <f t="shared" si="7"/>
        <v>0</v>
      </c>
      <c r="AX21" s="238" t="e">
        <f>AU21+AY21</f>
        <v>#VALUE!</v>
      </c>
      <c r="AY21" s="313" t="e">
        <f>(BJ21*('Setting key Duty'!$I$8+'Setting key Duty'!$I$12))+(BH21*'Setting key Duty'!$I$9)+(BC21*('Setting key Duty'!$I$13+'Setting key Duty'!$I$9))+(BA21*('Setting key Duty'!$I$13+'Setting key Duty'!$I$12+'Setting key Duty'!$I$11))+(BE21*('Setting key Duty'!$I$8+'Setting key Duty'!$I$9+'Setting key Duty'!$I$12))</f>
        <v>#VALUE!</v>
      </c>
      <c r="AZ21" s="313">
        <f>COUNTIF(D21:AA21,"*BRT*")</f>
        <v>0</v>
      </c>
      <c r="BA21" s="313">
        <f t="shared" ref="BA21:BA36" si="11">COUNTIF(A21:AI21,"*$BTP*")</f>
        <v>0</v>
      </c>
      <c r="BB21" s="313" t="e">
        <f>BA21*('Setting key Duty'!$I$13+'Setting key Duty'!$I$12+'Setting key Duty'!$I$11)</f>
        <v>#VALUE!</v>
      </c>
      <c r="BC21" s="313">
        <f>COUNTIF(A21:AI21,"*$L*")</f>
        <v>0</v>
      </c>
      <c r="BD21" s="313" t="e">
        <f>BC21*('Setting key Duty'!$I$13+'Setting key Duty'!$I$9)</f>
        <v>#VALUE!</v>
      </c>
      <c r="BE21" s="313">
        <f>COUNTIF(A21:AI21,"*$M*")</f>
        <v>0</v>
      </c>
      <c r="BF21" s="313">
        <f>BE21*('Setting key Duty'!$I$8+'Setting key Duty'!$I$9+'Setting key Duty'!$I$12)</f>
        <v>0</v>
      </c>
      <c r="BG21" s="313">
        <f>COUNTIF(AI21,"*$N*")</f>
        <v>0</v>
      </c>
      <c r="BH21" s="313">
        <f>COUNTIF(AI21,"*$PM*")</f>
        <v>0</v>
      </c>
      <c r="BI21" s="313">
        <f>BH21*('Setting key Duty'!$I$9)</f>
        <v>0</v>
      </c>
      <c r="BJ21" s="313">
        <f>COUNTIF(A21:AI21,"*$AM*")</f>
        <v>0</v>
      </c>
      <c r="BK21" s="313">
        <f>BJ21*('Setting key Duty'!$I$12+'Setting key Duty'!$I$8)</f>
        <v>0</v>
      </c>
      <c r="BL21" s="313">
        <f>COUNTIF(D21:AI21,"*$FC*")</f>
        <v>0</v>
      </c>
      <c r="BM21" s="313">
        <f>BL21*('Setting key Duty'!$J$11+'Setting key Duty'!$I$8)</f>
        <v>0</v>
      </c>
      <c r="BN21" s="313">
        <f>COUNTIF($D21:$AA21,BN$4)</f>
        <v>0</v>
      </c>
      <c r="BO21" s="313">
        <f>COUNTIF($D21:$AA21,BO$4)</f>
        <v>2</v>
      </c>
      <c r="BP21" s="313">
        <f>COUNTIF($D21:$AA21,BP$4)</f>
        <v>0</v>
      </c>
      <c r="BQ21" s="314"/>
    </row>
    <row r="22" ht="19.5" customHeight="1" spans="1:69">
      <c r="A22" s="309"/>
      <c r="B22" s="376" t="s">
        <v>479</v>
      </c>
      <c r="D22" s="197" t="s">
        <v>58</v>
      </c>
      <c r="E22" s="197"/>
      <c r="F22" s="197" t="s">
        <v>59</v>
      </c>
      <c r="G22" s="324"/>
      <c r="H22" s="317"/>
      <c r="I22" s="317" t="s">
        <v>56</v>
      </c>
      <c r="K22" s="317"/>
      <c r="L22" s="317"/>
      <c r="M22" s="317"/>
      <c r="P22" s="197" t="s">
        <v>56</v>
      </c>
      <c r="Q22" s="197" t="s">
        <v>350</v>
      </c>
      <c r="R22" s="317"/>
      <c r="S22" s="196"/>
      <c r="T22" s="196"/>
      <c r="U22" s="197"/>
      <c r="V22" s="200"/>
      <c r="W22" s="317" t="s">
        <v>59</v>
      </c>
      <c r="Y22" s="197"/>
      <c r="AA22" s="197"/>
      <c r="AB22" s="197"/>
      <c r="AC22" s="197" t="s">
        <v>350</v>
      </c>
      <c r="AD22" s="317"/>
      <c r="AG22" s="197"/>
      <c r="AH22" s="317"/>
      <c r="AI22" s="311"/>
      <c r="AJ22" s="312"/>
      <c r="AK22" s="311"/>
      <c r="AL22" s="313"/>
      <c r="AM22" s="313"/>
      <c r="AN22" s="313"/>
      <c r="AO22" s="313"/>
      <c r="AP22" s="238"/>
      <c r="AQ22" s="313">
        <f t="shared" si="2"/>
        <v>0</v>
      </c>
      <c r="AR22" s="238"/>
      <c r="AS22" s="238">
        <f t="shared" si="3"/>
        <v>0</v>
      </c>
      <c r="AT22" s="238"/>
      <c r="AU22" s="238">
        <f t="shared" si="4"/>
        <v>0</v>
      </c>
      <c r="AV22" s="238">
        <f t="shared" si="5"/>
        <v>0</v>
      </c>
      <c r="AW22" s="238">
        <f t="shared" si="7"/>
        <v>0</v>
      </c>
      <c r="AX22" s="238" t="e">
        <f>AU22+$AY$10</f>
        <v>#VALUE!</v>
      </c>
      <c r="AY22" s="313" t="e">
        <f>(BJ22*('Setting key Duty'!$I$8+'Setting key Duty'!$I$12))+(BH22*'Setting key Duty'!$I$9)+(BC22*('Setting key Duty'!$I$13+'Setting key Duty'!$I$9))+(BA22*('Setting key Duty'!$I$13+'Setting key Duty'!$I$12+'Setting key Duty'!$I$11))+(BE22*('Setting key Duty'!$I$8+'Setting key Duty'!$I$9+'Setting key Duty'!$I$12))</f>
        <v>#VALUE!</v>
      </c>
      <c r="AZ22" s="313">
        <f>COUNTIF(D22:AA22,"*BRT*")</f>
        <v>0</v>
      </c>
      <c r="BA22" s="313">
        <f t="shared" si="11"/>
        <v>0</v>
      </c>
      <c r="BB22" s="313" t="e">
        <f>BA22*('Setting key Duty'!$I$13+'Setting key Duty'!$I$12+'Setting key Duty'!$I$11)</f>
        <v>#VALUE!</v>
      </c>
      <c r="BC22" s="313">
        <f>COUNTIF(A22:AI22,"*$L*")</f>
        <v>0</v>
      </c>
      <c r="BD22" s="313" t="e">
        <f>BC22*('Setting key Duty'!$I$13+'Setting key Duty'!$I$9)</f>
        <v>#VALUE!</v>
      </c>
      <c r="BE22" s="313">
        <f>COUNTIF(A22:AI22,"*$M*")</f>
        <v>0</v>
      </c>
      <c r="BF22" s="313">
        <f>BE22*('Setting key Duty'!$I$8+'Setting key Duty'!$I$9+'Setting key Duty'!$I$12)</f>
        <v>0</v>
      </c>
      <c r="BG22" s="313">
        <f>COUNTIF(AI22,"*$N*")</f>
        <v>0</v>
      </c>
      <c r="BH22" s="313">
        <f>COUNTIF(AI22,"*$PM*")</f>
        <v>0</v>
      </c>
      <c r="BI22" s="313">
        <f>BH22*('Setting key Duty'!$I$9)</f>
        <v>0</v>
      </c>
      <c r="BJ22" s="313">
        <f>COUNTIF(A22:AI22,"*$AM*")</f>
        <v>0</v>
      </c>
      <c r="BK22" s="313">
        <f>BJ22*('Setting key Duty'!$I$12+'Setting key Duty'!$I$8)</f>
        <v>0</v>
      </c>
      <c r="BL22" s="313">
        <f>COUNTIF(D22:AI22,"*$FC*")</f>
        <v>0</v>
      </c>
      <c r="BM22" s="313">
        <f>BL22*('Setting key Duty'!$J$11+'Setting key Duty'!$I$8)</f>
        <v>0</v>
      </c>
      <c r="BN22" s="313">
        <f>COUNTIF($D22:$AA22,BN$4)</f>
        <v>0</v>
      </c>
      <c r="BO22" s="313">
        <f>COUNTIF($D22:$AA22,BO$4)</f>
        <v>1</v>
      </c>
      <c r="BP22" s="313">
        <f>COUNTIF($D22:$AA22,BP$4)</f>
        <v>0</v>
      </c>
      <c r="BQ22" s="314"/>
    </row>
    <row r="23" ht="19.5" customHeight="1" spans="1:69">
      <c r="A23" s="309"/>
      <c r="B23" s="332" t="s">
        <v>191</v>
      </c>
      <c r="C23" s="197" t="s">
        <v>58</v>
      </c>
      <c r="D23" s="106"/>
      <c r="E23" s="197" t="s">
        <v>468</v>
      </c>
      <c r="F23" s="197"/>
      <c r="G23" s="197" t="s">
        <v>59</v>
      </c>
      <c r="H23" s="197"/>
      <c r="I23" s="197" t="s">
        <v>59</v>
      </c>
      <c r="J23" s="197"/>
      <c r="K23" s="197"/>
      <c r="L23" s="197"/>
      <c r="M23" s="197"/>
      <c r="N23" s="197"/>
      <c r="O23" s="197" t="s">
        <v>56</v>
      </c>
      <c r="P23" s="197"/>
      <c r="Q23" s="197"/>
      <c r="R23" s="197"/>
      <c r="S23" s="197"/>
      <c r="T23" s="197" t="s">
        <v>350</v>
      </c>
      <c r="U23" s="197"/>
      <c r="V23" s="200" t="s">
        <v>59</v>
      </c>
      <c r="W23" s="197"/>
      <c r="X23" s="197"/>
      <c r="Y23" s="197" t="s">
        <v>55</v>
      </c>
      <c r="AA23" s="197" t="s">
        <v>480</v>
      </c>
      <c r="AB23" s="197"/>
      <c r="AC23" s="197" t="s">
        <v>350</v>
      </c>
      <c r="AD23" s="317"/>
      <c r="AE23" s="197"/>
      <c r="AF23" s="197" t="s">
        <v>481</v>
      </c>
      <c r="AH23" s="197"/>
      <c r="AI23" s="311"/>
      <c r="AJ23" s="312"/>
      <c r="AK23" s="311"/>
      <c r="AL23" s="313"/>
      <c r="AM23" s="313"/>
      <c r="AN23" s="313"/>
      <c r="AO23" s="313"/>
      <c r="AP23" s="238"/>
      <c r="AQ23" s="313">
        <f t="shared" si="2"/>
        <v>0</v>
      </c>
      <c r="AR23" s="238"/>
      <c r="AS23" s="238">
        <f t="shared" si="3"/>
        <v>0</v>
      </c>
      <c r="AT23" s="238"/>
      <c r="AU23" s="238">
        <f t="shared" si="4"/>
        <v>0</v>
      </c>
      <c r="AV23" s="238">
        <f t="shared" si="5"/>
        <v>0</v>
      </c>
      <c r="AW23" s="238">
        <f t="shared" si="7"/>
        <v>3</v>
      </c>
      <c r="AX23" s="238" t="e">
        <f t="shared" ref="AX23:AX36" si="12">AU23+AY23</f>
        <v>#VALUE!</v>
      </c>
      <c r="AY23" s="313" t="e">
        <f>(BJ23*('Setting key Duty'!$I$8+'Setting key Duty'!$I$12))+(BH23*'Setting key Duty'!$I$9)+(BC23*('Setting key Duty'!$I$13+'Setting key Duty'!$I$9))+(BA23*('Setting key Duty'!$I$13+'Setting key Duty'!$I$12+'Setting key Duty'!$I$11))+(BE23*('Setting key Duty'!$I$8+'Setting key Duty'!$I$9+'Setting key Duty'!$I$12))</f>
        <v>#VALUE!</v>
      </c>
      <c r="AZ23" s="313">
        <f>COUNTIF(C23:W23,"*BRT*")</f>
        <v>0</v>
      </c>
      <c r="BA23" s="313">
        <f t="shared" si="11"/>
        <v>0</v>
      </c>
      <c r="BB23" s="313" t="e">
        <f>BA23*('Setting key Duty'!$I$13+'Setting key Duty'!$I$12+'Setting key Duty'!$I$11)</f>
        <v>#VALUE!</v>
      </c>
      <c r="BC23" s="313">
        <f t="shared" ref="BC23:BC36" si="13">COUNTIF(D23:AI23,"*$L*")</f>
        <v>0</v>
      </c>
      <c r="BD23" s="313" t="e">
        <f>BC23*('Setting key Duty'!$I$13+'Setting key Duty'!$I$9)</f>
        <v>#VALUE!</v>
      </c>
      <c r="BE23" s="313">
        <f t="shared" ref="BE23:BE36" si="14">COUNTIF(D23:AI23,"*$M*")</f>
        <v>0</v>
      </c>
      <c r="BF23" s="313">
        <f>BE23*('Setting key Duty'!$I$8+'Setting key Duty'!$I$9+'Setting key Duty'!$I$12)</f>
        <v>0</v>
      </c>
      <c r="BG23" s="313">
        <f t="shared" ref="BG23:BG36" si="15">COUNTIF(D23:AI23,"*$N*")</f>
        <v>0</v>
      </c>
      <c r="BH23" s="313">
        <f t="shared" ref="BH23:BH36" si="16">COUNTIF(D23:AI23,"*$PM*")</f>
        <v>0</v>
      </c>
      <c r="BI23" s="313">
        <f>BH23*('Setting key Duty'!$I$9)</f>
        <v>0</v>
      </c>
      <c r="BJ23" s="313">
        <f t="shared" ref="BJ23:BJ36" si="17">COUNTIF(D23:AI23,"*$AM*")</f>
        <v>3</v>
      </c>
      <c r="BK23" s="313">
        <f>BJ23*('Setting key Duty'!$I$12+'Setting key Duty'!$I$8)</f>
        <v>1.3125</v>
      </c>
      <c r="BL23" s="313">
        <f t="shared" ref="BL23:BL36" si="18">COUNTIF(C23:AI23,"*$FC*")</f>
        <v>0</v>
      </c>
      <c r="BM23" s="313">
        <f>BL23*('Setting key Duty'!$J$11+'Setting key Duty'!$I$8)</f>
        <v>0</v>
      </c>
      <c r="BN23" s="313">
        <f>COUNTIF($C23:$AG23,BN$4)</f>
        <v>0</v>
      </c>
      <c r="BO23" s="313">
        <f>COUNTIF($C23:$AG23,BO$4)</f>
        <v>2</v>
      </c>
      <c r="BP23" s="313">
        <f>COUNTIF($D23:$AD23,BP$4)</f>
        <v>1</v>
      </c>
      <c r="BQ23" s="314"/>
    </row>
    <row r="24" ht="19.5" customHeight="1" spans="1:69">
      <c r="A24" s="309"/>
      <c r="B24" s="315" t="s">
        <v>434</v>
      </c>
      <c r="C24" s="197" t="s">
        <v>65</v>
      </c>
      <c r="D24" s="197"/>
      <c r="E24" s="197" t="s">
        <v>149</v>
      </c>
      <c r="F24" s="197" t="s">
        <v>253</v>
      </c>
      <c r="G24" s="377" t="s">
        <v>58</v>
      </c>
      <c r="H24" s="377"/>
      <c r="I24" s="197" t="s">
        <v>54</v>
      </c>
      <c r="J24" s="197" t="s">
        <v>54</v>
      </c>
      <c r="K24" s="197" t="s">
        <v>54</v>
      </c>
      <c r="L24" s="197" t="s">
        <v>54</v>
      </c>
      <c r="M24" s="197" t="s">
        <v>54</v>
      </c>
      <c r="N24" s="197" t="s">
        <v>54</v>
      </c>
      <c r="O24" s="197" t="s">
        <v>54</v>
      </c>
      <c r="P24" s="197" t="s">
        <v>54</v>
      </c>
      <c r="Q24" s="197" t="s">
        <v>54</v>
      </c>
      <c r="R24" s="197" t="s">
        <v>482</v>
      </c>
      <c r="S24" s="197" t="s">
        <v>59</v>
      </c>
      <c r="T24" s="197" t="s">
        <v>483</v>
      </c>
      <c r="U24" s="197" t="s">
        <v>483</v>
      </c>
      <c r="V24" s="200" t="s">
        <v>483</v>
      </c>
      <c r="W24" s="197" t="s">
        <v>483</v>
      </c>
      <c r="X24" s="197" t="s">
        <v>483</v>
      </c>
      <c r="Y24" s="197" t="s">
        <v>483</v>
      </c>
      <c r="Z24" s="197" t="s">
        <v>483</v>
      </c>
      <c r="AA24" s="197"/>
      <c r="AB24" s="197" t="s">
        <v>65</v>
      </c>
      <c r="AC24" s="197"/>
      <c r="AD24" s="324" t="s">
        <v>65</v>
      </c>
      <c r="AE24" s="197"/>
      <c r="AF24" s="317"/>
      <c r="AG24" s="197" t="s">
        <v>484</v>
      </c>
      <c r="AH24" s="317"/>
      <c r="AI24" s="311"/>
      <c r="AJ24" s="312"/>
      <c r="AK24" s="311"/>
      <c r="AL24" s="344"/>
      <c r="AM24" s="344"/>
      <c r="AN24" s="344"/>
      <c r="AO24" s="344"/>
      <c r="AP24" s="246"/>
      <c r="AQ24" s="313">
        <f t="shared" si="2"/>
        <v>0</v>
      </c>
      <c r="AR24" s="238"/>
      <c r="AS24" s="238">
        <f t="shared" si="3"/>
        <v>0</v>
      </c>
      <c r="AT24" s="246"/>
      <c r="AU24" s="238">
        <f t="shared" si="4"/>
        <v>0</v>
      </c>
      <c r="AV24" s="238">
        <f t="shared" si="5"/>
        <v>0</v>
      </c>
      <c r="AW24" s="238">
        <f t="shared" si="7"/>
        <v>1</v>
      </c>
      <c r="AX24" s="238" t="e">
        <f t="shared" si="12"/>
        <v>#VALUE!</v>
      </c>
      <c r="AY24" s="313" t="e">
        <f>(BJ24*('Setting key Duty'!$I$8+'Setting key Duty'!$I$12))+(BH24*'Setting key Duty'!$I$9)+(BC24*('Setting key Duty'!$I$13+'Setting key Duty'!$I$9))+(BA24*('Setting key Duty'!$I$13+'Setting key Duty'!$I$12+'Setting key Duty'!$I$11))+(BE24*('Setting key Duty'!$I$8+'Setting key Duty'!$I$9+'Setting key Duty'!$I$12))</f>
        <v>#VALUE!</v>
      </c>
      <c r="AZ24" s="313">
        <f>COUNTIF(C24:Y24,"*BRT*")</f>
        <v>0</v>
      </c>
      <c r="BA24" s="313">
        <f t="shared" si="11"/>
        <v>0</v>
      </c>
      <c r="BB24" s="313" t="e">
        <f>BA24*('Setting key Duty'!$I$13+'Setting key Duty'!$I$12+'Setting key Duty'!$I$11)</f>
        <v>#VALUE!</v>
      </c>
      <c r="BC24" s="313">
        <f t="shared" si="13"/>
        <v>0</v>
      </c>
      <c r="BD24" s="313" t="e">
        <f>BC24*('Setting key Duty'!$I$13+'Setting key Duty'!$I$9)</f>
        <v>#VALUE!</v>
      </c>
      <c r="BE24" s="313">
        <f t="shared" si="14"/>
        <v>0</v>
      </c>
      <c r="BF24" s="313">
        <f>BE24*('Setting key Duty'!$I$8+'Setting key Duty'!$I$9+'Setting key Duty'!$I$12)</f>
        <v>0</v>
      </c>
      <c r="BG24" s="313">
        <f t="shared" si="15"/>
        <v>0</v>
      </c>
      <c r="BH24" s="313">
        <f t="shared" si="16"/>
        <v>0</v>
      </c>
      <c r="BI24" s="313">
        <f>BH24*('Setting key Duty'!$I$9)</f>
        <v>0</v>
      </c>
      <c r="BJ24" s="313">
        <f t="shared" si="17"/>
        <v>1</v>
      </c>
      <c r="BK24" s="313">
        <f>BJ24*('Setting key Duty'!$I$12+'Setting key Duty'!$I$8)</f>
        <v>0.4375</v>
      </c>
      <c r="BL24" s="313">
        <f t="shared" si="18"/>
        <v>0</v>
      </c>
      <c r="BM24" s="313">
        <f>BL24*('Setting key Duty'!$J$11+'Setting key Duty'!$I$8)</f>
        <v>0</v>
      </c>
      <c r="BN24" s="313">
        <f>COUNTIF($C24:$AE24,BN$4)</f>
        <v>0</v>
      </c>
      <c r="BO24" s="313">
        <f>COUNTIF($C24:$AE24,BO$4)</f>
        <v>0</v>
      </c>
      <c r="BP24" s="313">
        <f>COUNTIF($D24:$AC24,BP$4)</f>
        <v>0</v>
      </c>
      <c r="BQ24" s="345"/>
    </row>
    <row r="25" ht="19.5" customHeight="1" spans="1:69">
      <c r="A25" s="309"/>
      <c r="B25" s="315" t="s">
        <v>436</v>
      </c>
      <c r="C25" s="317"/>
      <c r="D25" s="324"/>
      <c r="E25" s="197" t="s">
        <v>149</v>
      </c>
      <c r="F25" s="197" t="s">
        <v>149</v>
      </c>
      <c r="G25" s="197"/>
      <c r="H25" s="377" t="s">
        <v>65</v>
      </c>
      <c r="I25" s="197"/>
      <c r="J25" s="324"/>
      <c r="K25" s="197" t="s">
        <v>350</v>
      </c>
      <c r="L25" s="197"/>
      <c r="M25" s="197" t="s">
        <v>350</v>
      </c>
      <c r="P25" s="197" t="s">
        <v>54</v>
      </c>
      <c r="Q25" s="197" t="s">
        <v>54</v>
      </c>
      <c r="R25" s="197" t="s">
        <v>54</v>
      </c>
      <c r="S25" s="197" t="s">
        <v>54</v>
      </c>
      <c r="T25" s="197" t="s">
        <v>54</v>
      </c>
      <c r="U25" s="197" t="s">
        <v>54</v>
      </c>
      <c r="V25" s="200" t="s">
        <v>54</v>
      </c>
      <c r="W25" s="197" t="s">
        <v>54</v>
      </c>
      <c r="X25" s="197" t="s">
        <v>54</v>
      </c>
      <c r="Y25" s="197"/>
      <c r="Z25" s="197" t="s">
        <v>56</v>
      </c>
      <c r="AA25" s="197"/>
      <c r="AB25" s="197"/>
      <c r="AC25" s="106"/>
      <c r="AD25" s="106"/>
      <c r="AE25" s="197" t="s">
        <v>59</v>
      </c>
      <c r="AF25" s="197"/>
      <c r="AG25" s="197"/>
      <c r="AH25" s="317"/>
      <c r="AI25" s="311"/>
      <c r="AJ25" s="312"/>
      <c r="AK25" s="311"/>
      <c r="AL25" s="344"/>
      <c r="AM25" s="344"/>
      <c r="AN25" s="344"/>
      <c r="AO25" s="344"/>
      <c r="AP25" s="246"/>
      <c r="AQ25" s="313">
        <f t="shared" si="2"/>
        <v>0</v>
      </c>
      <c r="AR25" s="238"/>
      <c r="AS25" s="238">
        <f t="shared" si="3"/>
        <v>0</v>
      </c>
      <c r="AT25" s="246"/>
      <c r="AU25" s="238">
        <f t="shared" si="4"/>
        <v>0</v>
      </c>
      <c r="AV25" s="238">
        <f t="shared" si="5"/>
        <v>0</v>
      </c>
      <c r="AW25" s="238">
        <f t="shared" si="7"/>
        <v>0</v>
      </c>
      <c r="AX25" s="238" t="e">
        <f t="shared" si="12"/>
        <v>#VALUE!</v>
      </c>
      <c r="AY25" s="313" t="e">
        <f>(BJ25*('Setting key Duty'!$I$8+'Setting key Duty'!$I$12))+(BH25*'Setting key Duty'!$I$9)+(BC25*('Setting key Duty'!$I$13+'Setting key Duty'!$I$9))+(BA25*('Setting key Duty'!$I$13+'Setting key Duty'!$I$12+'Setting key Duty'!$I$11))+(BE25*('Setting key Duty'!$I$8+'Setting key Duty'!$I$9+'Setting key Duty'!$I$12))</f>
        <v>#VALUE!</v>
      </c>
      <c r="AZ25" s="313">
        <f>COUNTIF(C25:Y25,"*BRT*")</f>
        <v>0</v>
      </c>
      <c r="BA25" s="313">
        <f t="shared" si="11"/>
        <v>0</v>
      </c>
      <c r="BB25" s="313" t="e">
        <f>BA25*('Setting key Duty'!$I$13+'Setting key Duty'!$I$12+'Setting key Duty'!$I$11)</f>
        <v>#VALUE!</v>
      </c>
      <c r="BC25" s="313">
        <f t="shared" si="13"/>
        <v>0</v>
      </c>
      <c r="BD25" s="313" t="e">
        <f>BC25*('Setting key Duty'!$I$13+'Setting key Duty'!$I$9)</f>
        <v>#VALUE!</v>
      </c>
      <c r="BE25" s="313">
        <f t="shared" si="14"/>
        <v>0</v>
      </c>
      <c r="BF25" s="313">
        <f>BE25*('Setting key Duty'!$I$8+'Setting key Duty'!$I$9+'Setting key Duty'!$I$12)</f>
        <v>0</v>
      </c>
      <c r="BG25" s="313">
        <f t="shared" si="15"/>
        <v>0</v>
      </c>
      <c r="BH25" s="313">
        <f t="shared" si="16"/>
        <v>0</v>
      </c>
      <c r="BI25" s="313">
        <f>BH25*('Setting key Duty'!$I$9)</f>
        <v>0</v>
      </c>
      <c r="BJ25" s="313">
        <f t="shared" si="17"/>
        <v>0</v>
      </c>
      <c r="BK25" s="313">
        <f>BJ25*('Setting key Duty'!$I$12+'Setting key Duty'!$I$8)</f>
        <v>0</v>
      </c>
      <c r="BL25" s="313">
        <f t="shared" si="18"/>
        <v>0</v>
      </c>
      <c r="BM25" s="313">
        <f>BL25*('Setting key Duty'!$J$11+'Setting key Duty'!$I$8)</f>
        <v>0</v>
      </c>
      <c r="BN25" s="313">
        <f t="shared" ref="BN25:BN36" si="19">COUNTIF($C25:$AG25,BN$4)</f>
        <v>0</v>
      </c>
      <c r="BO25" s="313">
        <f t="shared" ref="BO25:BO36" si="20">COUNTIF($C25:$AG25,BO$4)</f>
        <v>2</v>
      </c>
      <c r="BP25" s="313">
        <f>COUNTIF($D25:$AE25,BP$4)</f>
        <v>0</v>
      </c>
      <c r="BQ25" s="345"/>
    </row>
    <row r="26" ht="19.5" customHeight="1" spans="1:69">
      <c r="A26" s="309"/>
      <c r="B26" s="347" t="s">
        <v>262</v>
      </c>
      <c r="C26" s="197" t="s">
        <v>71</v>
      </c>
      <c r="D26" s="197" t="s">
        <v>71</v>
      </c>
      <c r="E26" s="197" t="s">
        <v>71</v>
      </c>
      <c r="F26" s="197" t="s">
        <v>71</v>
      </c>
      <c r="G26" s="197" t="s">
        <v>71</v>
      </c>
      <c r="H26" s="197" t="s">
        <v>71</v>
      </c>
      <c r="I26" s="197" t="s">
        <v>71</v>
      </c>
      <c r="J26" s="197" t="s">
        <v>71</v>
      </c>
      <c r="K26" s="197" t="s">
        <v>71</v>
      </c>
      <c r="L26" s="197" t="s">
        <v>71</v>
      </c>
      <c r="M26" s="197" t="s">
        <v>71</v>
      </c>
      <c r="N26" s="197" t="s">
        <v>71</v>
      </c>
      <c r="O26" s="197" t="s">
        <v>71</v>
      </c>
      <c r="P26" s="197" t="s">
        <v>71</v>
      </c>
      <c r="Q26" s="197" t="s">
        <v>71</v>
      </c>
      <c r="R26" s="197" t="s">
        <v>71</v>
      </c>
      <c r="S26" s="197" t="s">
        <v>71</v>
      </c>
      <c r="T26" s="197" t="s">
        <v>71</v>
      </c>
      <c r="U26" s="197" t="s">
        <v>71</v>
      </c>
      <c r="V26" s="200"/>
      <c r="W26" s="197"/>
      <c r="X26" s="197"/>
      <c r="Y26" s="197"/>
      <c r="Z26" s="197" t="s">
        <v>65</v>
      </c>
      <c r="AA26" s="197"/>
      <c r="AB26" s="197"/>
      <c r="AC26" s="197"/>
      <c r="AD26" s="197" t="s">
        <v>350</v>
      </c>
      <c r="AE26" s="197"/>
      <c r="AG26" s="197"/>
      <c r="AH26" s="197"/>
      <c r="AI26" s="311"/>
      <c r="AJ26" s="312"/>
      <c r="AK26" s="311"/>
      <c r="AL26" s="344"/>
      <c r="AM26" s="344"/>
      <c r="AN26" s="344"/>
      <c r="AO26" s="344"/>
      <c r="AP26" s="246"/>
      <c r="AQ26" s="313">
        <f t="shared" si="2"/>
        <v>0</v>
      </c>
      <c r="AR26" s="238"/>
      <c r="AS26" s="238">
        <f t="shared" si="3"/>
        <v>0</v>
      </c>
      <c r="AT26" s="246"/>
      <c r="AU26" s="238">
        <f t="shared" si="4"/>
        <v>0</v>
      </c>
      <c r="AV26" s="238">
        <f t="shared" si="5"/>
        <v>0</v>
      </c>
      <c r="AW26" s="238">
        <f t="shared" si="7"/>
        <v>0</v>
      </c>
      <c r="AX26" s="238" t="e">
        <f t="shared" si="12"/>
        <v>#VALUE!</v>
      </c>
      <c r="AY26" s="313" t="e">
        <f>(BJ26*('Setting key Duty'!$I$8+'Setting key Duty'!$I$12))+(BH26*'Setting key Duty'!$I$9)+(BC26*('Setting key Duty'!$I$13+'Setting key Duty'!$I$9))+(BA26*('Setting key Duty'!$I$13+'Setting key Duty'!$I$12+'Setting key Duty'!$I$11))+(BE26*('Setting key Duty'!$I$8+'Setting key Duty'!$I$9+'Setting key Duty'!$I$12))</f>
        <v>#VALUE!</v>
      </c>
      <c r="AZ26" s="313">
        <f>COUNTIF(C26:Y26,"*BRT*")</f>
        <v>0</v>
      </c>
      <c r="BA26" s="313">
        <f t="shared" si="11"/>
        <v>0</v>
      </c>
      <c r="BB26" s="313" t="e">
        <f>BA26*('Setting key Duty'!$I$13+'Setting key Duty'!$I$12+'Setting key Duty'!$I$11)</f>
        <v>#VALUE!</v>
      </c>
      <c r="BC26" s="313">
        <f t="shared" si="13"/>
        <v>0</v>
      </c>
      <c r="BD26" s="313" t="e">
        <f>BC26*('Setting key Duty'!$I$13+'Setting key Duty'!$I$9)</f>
        <v>#VALUE!</v>
      </c>
      <c r="BE26" s="313">
        <f t="shared" si="14"/>
        <v>0</v>
      </c>
      <c r="BF26" s="313">
        <f>BE26*('Setting key Duty'!$I$8+'Setting key Duty'!$I$9+'Setting key Duty'!$I$12)</f>
        <v>0</v>
      </c>
      <c r="BG26" s="313">
        <f t="shared" si="15"/>
        <v>0</v>
      </c>
      <c r="BH26" s="313">
        <f t="shared" si="16"/>
        <v>0</v>
      </c>
      <c r="BI26" s="313">
        <f>BH26*('Setting key Duty'!$I$9)</f>
        <v>0</v>
      </c>
      <c r="BJ26" s="313">
        <f t="shared" si="17"/>
        <v>0</v>
      </c>
      <c r="BK26" s="313">
        <f>BJ26*('Setting key Duty'!$I$12+'Setting key Duty'!$I$8)</f>
        <v>0</v>
      </c>
      <c r="BL26" s="313">
        <f t="shared" si="18"/>
        <v>0</v>
      </c>
      <c r="BM26" s="313">
        <f>BL26*('Setting key Duty'!$J$11+'Setting key Duty'!$I$8)</f>
        <v>0</v>
      </c>
      <c r="BN26" s="313">
        <f t="shared" si="19"/>
        <v>0</v>
      </c>
      <c r="BO26" s="313">
        <f t="shared" si="20"/>
        <v>1</v>
      </c>
      <c r="BP26" s="313">
        <f>COUNTIF($D26:$AE26,BP$4)</f>
        <v>0</v>
      </c>
      <c r="BQ26" s="345"/>
    </row>
    <row r="27" ht="19.5" customHeight="1" spans="1:69">
      <c r="A27" s="309"/>
      <c r="B27" s="336" t="s">
        <v>442</v>
      </c>
      <c r="D27" s="197"/>
      <c r="E27" s="197" t="s">
        <v>468</v>
      </c>
      <c r="F27" s="197"/>
      <c r="G27" s="197" t="s">
        <v>350</v>
      </c>
      <c r="H27" s="377" t="s">
        <v>56</v>
      </c>
      <c r="K27" s="197"/>
      <c r="L27" s="198" t="s">
        <v>485</v>
      </c>
      <c r="N27" s="197" t="s">
        <v>350</v>
      </c>
      <c r="P27" s="197" t="s">
        <v>59</v>
      </c>
      <c r="R27" s="197"/>
      <c r="S27" s="197"/>
      <c r="T27" s="378"/>
      <c r="V27" s="200" t="s">
        <v>56</v>
      </c>
      <c r="W27" s="197"/>
      <c r="X27" s="197"/>
      <c r="Y27" s="317" t="s">
        <v>56</v>
      </c>
      <c r="AB27" s="197" t="s">
        <v>486</v>
      </c>
      <c r="AC27" s="106"/>
      <c r="AD27" s="197"/>
      <c r="AE27" s="197" t="s">
        <v>487</v>
      </c>
      <c r="AF27" s="197" t="s">
        <v>488</v>
      </c>
      <c r="AH27" s="106"/>
      <c r="AI27" s="311"/>
      <c r="AJ27" s="312"/>
      <c r="AK27" s="311"/>
      <c r="AL27" s="344"/>
      <c r="AM27" s="344"/>
      <c r="AN27" s="344"/>
      <c r="AO27" s="344"/>
      <c r="AP27" s="246"/>
      <c r="AQ27" s="313">
        <f t="shared" si="2"/>
        <v>0</v>
      </c>
      <c r="AR27" s="238"/>
      <c r="AS27" s="238">
        <f t="shared" si="3"/>
        <v>0</v>
      </c>
      <c r="AT27" s="246"/>
      <c r="AU27" s="238">
        <f t="shared" si="4"/>
        <v>0</v>
      </c>
      <c r="AV27" s="238">
        <f t="shared" si="5"/>
        <v>0</v>
      </c>
      <c r="AW27" s="238">
        <f t="shared" si="7"/>
        <v>4</v>
      </c>
      <c r="AX27" s="238" t="e">
        <f t="shared" si="12"/>
        <v>#VALUE!</v>
      </c>
      <c r="AY27" s="313" t="e">
        <f>(BJ27*('Setting key Duty'!$I$8+'Setting key Duty'!$I$12))+(BH27*'Setting key Duty'!$I$9)+(BC27*('Setting key Duty'!$I$13+'Setting key Duty'!$I$9))+(BA27*('Setting key Duty'!$I$13+'Setting key Duty'!$I$12+'Setting key Duty'!$I$11))+(BE27*('Setting key Duty'!$I$8+'Setting key Duty'!$I$9+'Setting key Duty'!$I$12))</f>
        <v>#VALUE!</v>
      </c>
      <c r="AZ27" s="313">
        <f>COUNTIF(C27:X27,"*BRT*")</f>
        <v>0</v>
      </c>
      <c r="BA27" s="313">
        <f t="shared" si="11"/>
        <v>0</v>
      </c>
      <c r="BB27" s="313" t="e">
        <f>BA27*('Setting key Duty'!$I$13+'Setting key Duty'!$I$12+'Setting key Duty'!$I$11)</f>
        <v>#VALUE!</v>
      </c>
      <c r="BC27" s="313">
        <f t="shared" si="13"/>
        <v>0</v>
      </c>
      <c r="BD27" s="313" t="e">
        <f>BC27*('Setting key Duty'!$I$13+'Setting key Duty'!$I$9)</f>
        <v>#VALUE!</v>
      </c>
      <c r="BE27" s="313">
        <f t="shared" si="14"/>
        <v>0</v>
      </c>
      <c r="BF27" s="313">
        <f>BE27*('Setting key Duty'!$I$8+'Setting key Duty'!$I$9+'Setting key Duty'!$I$12)</f>
        <v>0</v>
      </c>
      <c r="BG27" s="313">
        <f t="shared" si="15"/>
        <v>0</v>
      </c>
      <c r="BH27" s="313">
        <f t="shared" si="16"/>
        <v>2</v>
      </c>
      <c r="BI27" s="313">
        <f>BH27*('Setting key Duty'!$I$9)</f>
        <v>0.25</v>
      </c>
      <c r="BJ27" s="313">
        <f t="shared" si="17"/>
        <v>2</v>
      </c>
      <c r="BK27" s="313">
        <f>BJ27*('Setting key Duty'!$I$12+'Setting key Duty'!$I$8)</f>
        <v>0.875</v>
      </c>
      <c r="BL27" s="313">
        <f t="shared" si="18"/>
        <v>0</v>
      </c>
      <c r="BM27" s="313">
        <f>BL27*('Setting key Duty'!$J$11+'Setting key Duty'!$I$8)</f>
        <v>0</v>
      </c>
      <c r="BN27" s="313">
        <f t="shared" si="19"/>
        <v>0</v>
      </c>
      <c r="BO27" s="313">
        <f t="shared" si="20"/>
        <v>2</v>
      </c>
      <c r="BP27" s="313">
        <f>COUNTIF($D27:$AE27,BP$4)</f>
        <v>0</v>
      </c>
      <c r="BQ27" s="345"/>
    </row>
    <row r="28" ht="19.5" customHeight="1" spans="1:69">
      <c r="A28" s="309"/>
      <c r="B28" s="346" t="s">
        <v>489</v>
      </c>
      <c r="C28" s="317"/>
      <c r="D28" s="317"/>
      <c r="E28" s="197" t="s">
        <v>490</v>
      </c>
      <c r="F28" s="197" t="s">
        <v>490</v>
      </c>
      <c r="G28" s="197" t="s">
        <v>490</v>
      </c>
      <c r="H28" s="197" t="s">
        <v>150</v>
      </c>
      <c r="I28" s="106"/>
      <c r="J28" s="197"/>
      <c r="K28" s="197" t="s">
        <v>490</v>
      </c>
      <c r="L28" s="324"/>
      <c r="M28" s="197" t="s">
        <v>65</v>
      </c>
      <c r="N28" s="197"/>
      <c r="O28" s="197" t="s">
        <v>491</v>
      </c>
      <c r="P28" s="197"/>
      <c r="Q28" s="197"/>
      <c r="R28" s="197" t="s">
        <v>490</v>
      </c>
      <c r="S28" s="197" t="s">
        <v>490</v>
      </c>
      <c r="T28" s="197" t="s">
        <v>490</v>
      </c>
      <c r="U28" s="197" t="s">
        <v>490</v>
      </c>
      <c r="V28" s="200"/>
      <c r="W28" s="197" t="s">
        <v>65</v>
      </c>
      <c r="X28" s="197"/>
      <c r="Y28" s="197" t="s">
        <v>492</v>
      </c>
      <c r="Z28" s="197" t="s">
        <v>490</v>
      </c>
      <c r="AA28" s="197" t="s">
        <v>492</v>
      </c>
      <c r="AB28" s="106"/>
      <c r="AC28" s="197" t="s">
        <v>65</v>
      </c>
      <c r="AD28" s="324"/>
      <c r="AE28" s="197"/>
      <c r="AF28" s="197" t="s">
        <v>490</v>
      </c>
      <c r="AG28" s="197" t="s">
        <v>493</v>
      </c>
      <c r="AH28" s="317"/>
      <c r="AI28" s="311"/>
      <c r="AJ28" s="312"/>
      <c r="AK28" s="311"/>
      <c r="AL28" s="344"/>
      <c r="AM28" s="344"/>
      <c r="AN28" s="344"/>
      <c r="AO28" s="344"/>
      <c r="AP28" s="246"/>
      <c r="AQ28" s="313">
        <f t="shared" si="2"/>
        <v>0</v>
      </c>
      <c r="AR28" s="246"/>
      <c r="AS28" s="238">
        <f t="shared" si="3"/>
        <v>0</v>
      </c>
      <c r="AT28" s="246"/>
      <c r="AU28" s="238">
        <f t="shared" si="4"/>
        <v>0</v>
      </c>
      <c r="AV28" s="238">
        <f t="shared" si="5"/>
        <v>0</v>
      </c>
      <c r="AW28" s="238">
        <f t="shared" si="7"/>
        <v>1</v>
      </c>
      <c r="AX28" s="238" t="e">
        <f t="shared" si="12"/>
        <v>#VALUE!</v>
      </c>
      <c r="AY28" s="313" t="e">
        <f>(BJ28*('Setting key Duty'!$I$8+'Setting key Duty'!$I$12))+(BH28*'Setting key Duty'!$I$9)+(BC28*('Setting key Duty'!$I$13+'Setting key Duty'!$I$9))+(BA28*('Setting key Duty'!$I$13+'Setting key Duty'!$I$12+'Setting key Duty'!$I$11))+(BE28*('Setting key Duty'!$I$8+'Setting key Duty'!$I$9+'Setting key Duty'!$I$12))</f>
        <v>#VALUE!</v>
      </c>
      <c r="AZ28" s="313">
        <f t="shared" ref="AZ28:AZ36" si="21">COUNTIF(C28:Y28,"*BRT*")</f>
        <v>0</v>
      </c>
      <c r="BA28" s="313">
        <f t="shared" si="11"/>
        <v>0</v>
      </c>
      <c r="BB28" s="313" t="e">
        <f>BA28*('Setting key Duty'!$I$13+'Setting key Duty'!$I$12+'Setting key Duty'!$I$11)</f>
        <v>#VALUE!</v>
      </c>
      <c r="BC28" s="313">
        <f t="shared" si="13"/>
        <v>0</v>
      </c>
      <c r="BD28" s="313" t="e">
        <f>BC28*('Setting key Duty'!$I$13+'Setting key Duty'!$I$9)</f>
        <v>#VALUE!</v>
      </c>
      <c r="BE28" s="313">
        <f t="shared" si="14"/>
        <v>1</v>
      </c>
      <c r="BF28" s="313">
        <f>BE28*('Setting key Duty'!$I$8+'Setting key Duty'!$I$9+'Setting key Duty'!$I$12)</f>
        <v>0.5625</v>
      </c>
      <c r="BG28" s="313">
        <f t="shared" si="15"/>
        <v>0</v>
      </c>
      <c r="BH28" s="313">
        <f t="shared" si="16"/>
        <v>0</v>
      </c>
      <c r="BI28" s="313">
        <f>BH28*('Setting key Duty'!$I$9)</f>
        <v>0</v>
      </c>
      <c r="BJ28" s="313">
        <f t="shared" si="17"/>
        <v>0</v>
      </c>
      <c r="BK28" s="313">
        <f>BJ28*('Setting key Duty'!$I$12+'Setting key Duty'!$I$8)</f>
        <v>0</v>
      </c>
      <c r="BL28" s="313">
        <f t="shared" si="18"/>
        <v>0</v>
      </c>
      <c r="BM28" s="313">
        <f>BL28*('Setting key Duty'!$J$11+'Setting key Duty'!$I$8)</f>
        <v>0</v>
      </c>
      <c r="BN28" s="313">
        <f t="shared" si="19"/>
        <v>0</v>
      </c>
      <c r="BO28" s="313">
        <f t="shared" si="20"/>
        <v>0</v>
      </c>
      <c r="BP28" s="313"/>
      <c r="BQ28" s="345"/>
    </row>
    <row r="29" ht="19.5" customHeight="1" spans="1:69">
      <c r="A29" s="309"/>
      <c r="B29" s="347" t="s">
        <v>494</v>
      </c>
      <c r="C29" s="317"/>
      <c r="D29" s="197" t="s">
        <v>65</v>
      </c>
      <c r="E29" s="331" t="s">
        <v>93</v>
      </c>
      <c r="F29" s="197"/>
      <c r="G29" s="197" t="s">
        <v>65</v>
      </c>
      <c r="H29" s="197"/>
      <c r="I29" s="197" t="s">
        <v>54</v>
      </c>
      <c r="J29" s="197" t="s">
        <v>54</v>
      </c>
      <c r="K29" s="197" t="s">
        <v>54</v>
      </c>
      <c r="L29" s="197" t="s">
        <v>54</v>
      </c>
      <c r="M29" s="197" t="s">
        <v>54</v>
      </c>
      <c r="N29" s="197" t="s">
        <v>54</v>
      </c>
      <c r="O29" s="197" t="s">
        <v>54</v>
      </c>
      <c r="P29" s="197" t="s">
        <v>54</v>
      </c>
      <c r="Q29" s="197" t="s">
        <v>54</v>
      </c>
      <c r="R29" s="197" t="s">
        <v>65</v>
      </c>
      <c r="T29" s="196" t="s">
        <v>176</v>
      </c>
      <c r="U29" s="196" t="s">
        <v>176</v>
      </c>
      <c r="V29" s="331" t="s">
        <v>93</v>
      </c>
      <c r="W29" s="197" t="s">
        <v>350</v>
      </c>
      <c r="X29" s="197" t="s">
        <v>65</v>
      </c>
      <c r="Y29" s="331" t="s">
        <v>93</v>
      </c>
      <c r="Z29" s="197" t="s">
        <v>54</v>
      </c>
      <c r="AA29" s="197" t="s">
        <v>54</v>
      </c>
      <c r="AB29" s="324"/>
      <c r="AC29" s="331" t="s">
        <v>93</v>
      </c>
      <c r="AD29" s="106"/>
      <c r="AE29" s="324"/>
      <c r="AF29" s="197"/>
      <c r="AG29" s="317"/>
      <c r="AH29" s="197"/>
      <c r="AI29" s="311"/>
      <c r="AJ29" s="312"/>
      <c r="AK29" s="311"/>
      <c r="AL29" s="344"/>
      <c r="AM29" s="344"/>
      <c r="AN29" s="344"/>
      <c r="AO29" s="344"/>
      <c r="AP29" s="246"/>
      <c r="AQ29" s="313">
        <f t="shared" si="2"/>
        <v>0</v>
      </c>
      <c r="AR29" s="246"/>
      <c r="AS29" s="238">
        <f t="shared" si="3"/>
        <v>0</v>
      </c>
      <c r="AT29" s="246"/>
      <c r="AU29" s="238">
        <f t="shared" si="4"/>
        <v>0</v>
      </c>
      <c r="AV29" s="238">
        <f t="shared" si="5"/>
        <v>0</v>
      </c>
      <c r="AW29" s="238">
        <f t="shared" si="7"/>
        <v>0</v>
      </c>
      <c r="AX29" s="238" t="e">
        <f t="shared" si="12"/>
        <v>#VALUE!</v>
      </c>
      <c r="AY29" s="313" t="e">
        <f>(BJ29*('Setting key Duty'!$I$8+'Setting key Duty'!$I$12))+(BH29*'Setting key Duty'!$I$9)+(BC29*('Setting key Duty'!$I$13+'Setting key Duty'!$I$9))+(BA29*('Setting key Duty'!$I$13+'Setting key Duty'!$I$12+'Setting key Duty'!$I$11))+(BE29*('Setting key Duty'!$I$8+'Setting key Duty'!$I$9+'Setting key Duty'!$I$12))</f>
        <v>#VALUE!</v>
      </c>
      <c r="AZ29" s="313">
        <f t="shared" si="21"/>
        <v>0</v>
      </c>
      <c r="BA29" s="313">
        <f t="shared" si="11"/>
        <v>0</v>
      </c>
      <c r="BB29" s="313" t="e">
        <f>BA29*('Setting key Duty'!$I$13+'Setting key Duty'!$I$12+'Setting key Duty'!$I$11)</f>
        <v>#VALUE!</v>
      </c>
      <c r="BC29" s="313">
        <f t="shared" si="13"/>
        <v>0</v>
      </c>
      <c r="BD29" s="313" t="e">
        <f>BC29*('Setting key Duty'!$I$13+'Setting key Duty'!$I$9)</f>
        <v>#VALUE!</v>
      </c>
      <c r="BE29" s="313">
        <f t="shared" si="14"/>
        <v>0</v>
      </c>
      <c r="BF29" s="313">
        <f>BE29*('Setting key Duty'!$I$8+'Setting key Duty'!$I$9+'Setting key Duty'!$I$12)</f>
        <v>0</v>
      </c>
      <c r="BG29" s="313">
        <f t="shared" si="15"/>
        <v>0</v>
      </c>
      <c r="BH29" s="313">
        <f t="shared" si="16"/>
        <v>0</v>
      </c>
      <c r="BI29" s="313">
        <f>BH29*('Setting key Duty'!$I$9)</f>
        <v>0</v>
      </c>
      <c r="BJ29" s="313">
        <f t="shared" si="17"/>
        <v>0</v>
      </c>
      <c r="BK29" s="313">
        <f>BJ29*('Setting key Duty'!$I$12+'Setting key Duty'!$I$8)</f>
        <v>0</v>
      </c>
      <c r="BL29" s="313">
        <f t="shared" si="18"/>
        <v>0</v>
      </c>
      <c r="BM29" s="313">
        <f>BL29*('Setting key Duty'!$J$11+'Setting key Duty'!$I$8)</f>
        <v>0</v>
      </c>
      <c r="BN29" s="313">
        <f t="shared" si="19"/>
        <v>0</v>
      </c>
      <c r="BO29" s="313">
        <f t="shared" si="20"/>
        <v>1</v>
      </c>
      <c r="BP29" s="313"/>
      <c r="BQ29" s="345"/>
    </row>
    <row r="30" ht="19.5" customHeight="1" spans="1:69">
      <c r="A30" s="309"/>
      <c r="B30" s="348" t="s">
        <v>367</v>
      </c>
      <c r="C30" s="317"/>
      <c r="D30" s="331" t="s">
        <v>93</v>
      </c>
      <c r="E30" s="197" t="s">
        <v>65</v>
      </c>
      <c r="G30" s="197" t="s">
        <v>150</v>
      </c>
      <c r="H30" s="197" t="s">
        <v>150</v>
      </c>
      <c r="I30" s="324" t="s">
        <v>54</v>
      </c>
      <c r="J30" s="324" t="s">
        <v>54</v>
      </c>
      <c r="K30" s="324" t="s">
        <v>54</v>
      </c>
      <c r="L30" s="324" t="s">
        <v>54</v>
      </c>
      <c r="M30" s="324" t="s">
        <v>54</v>
      </c>
      <c r="N30" s="324" t="s">
        <v>54</v>
      </c>
      <c r="O30" s="324" t="s">
        <v>54</v>
      </c>
      <c r="P30" s="324" t="s">
        <v>54</v>
      </c>
      <c r="S30" s="197" t="s">
        <v>65</v>
      </c>
      <c r="T30" s="331" t="s">
        <v>93</v>
      </c>
      <c r="U30" s="197" t="s">
        <v>495</v>
      </c>
      <c r="X30" s="197"/>
      <c r="Y30" s="197"/>
      <c r="Z30" s="197" t="s">
        <v>496</v>
      </c>
      <c r="AA30" s="106"/>
      <c r="AB30" s="197" t="s">
        <v>497</v>
      </c>
      <c r="AC30" s="106"/>
      <c r="AD30" s="317"/>
      <c r="AE30" s="197" t="s">
        <v>65</v>
      </c>
      <c r="AF30" s="197" t="s">
        <v>477</v>
      </c>
      <c r="AG30" s="197" t="s">
        <v>477</v>
      </c>
      <c r="AH30" s="197" t="s">
        <v>477</v>
      </c>
      <c r="AI30" s="311"/>
      <c r="AJ30" s="312"/>
      <c r="AK30" s="311"/>
      <c r="AL30" s="344"/>
      <c r="AM30" s="344"/>
      <c r="AN30" s="344"/>
      <c r="AO30" s="344"/>
      <c r="AP30" s="246"/>
      <c r="AQ30" s="313">
        <f t="shared" si="2"/>
        <v>0</v>
      </c>
      <c r="AR30" s="246"/>
      <c r="AS30" s="238">
        <f t="shared" si="3"/>
        <v>0</v>
      </c>
      <c r="AT30" s="246"/>
      <c r="AU30" s="238">
        <f t="shared" si="4"/>
        <v>0</v>
      </c>
      <c r="AV30" s="238">
        <f t="shared" si="5"/>
        <v>0</v>
      </c>
      <c r="AW30" s="238">
        <f t="shared" si="7"/>
        <v>3</v>
      </c>
      <c r="AX30" s="238" t="e">
        <f t="shared" si="12"/>
        <v>#VALUE!</v>
      </c>
      <c r="AY30" s="313" t="e">
        <f>(BJ30*('Setting key Duty'!$I$8+'Setting key Duty'!$I$12))+(BH30*'Setting key Duty'!$I$9)+(BC30*('Setting key Duty'!$I$13+'Setting key Duty'!$I$9))+(BA30*('Setting key Duty'!$I$13+'Setting key Duty'!$I$12+'Setting key Duty'!$I$11))+(BE30*('Setting key Duty'!$I$8+'Setting key Duty'!$I$9+'Setting key Duty'!$I$12))</f>
        <v>#VALUE!</v>
      </c>
      <c r="AZ30" s="313">
        <f t="shared" si="21"/>
        <v>0</v>
      </c>
      <c r="BA30" s="313">
        <f t="shared" si="11"/>
        <v>0</v>
      </c>
      <c r="BB30" s="313" t="e">
        <f>BA30*('Setting key Duty'!$I$13+'Setting key Duty'!$I$12+'Setting key Duty'!$I$11)</f>
        <v>#VALUE!</v>
      </c>
      <c r="BC30" s="313">
        <f t="shared" si="13"/>
        <v>1</v>
      </c>
      <c r="BD30" s="313" t="e">
        <f>BC30*('Setting key Duty'!$I$13+'Setting key Duty'!$I$9)</f>
        <v>#VALUE!</v>
      </c>
      <c r="BE30" s="313">
        <f t="shared" si="14"/>
        <v>0</v>
      </c>
      <c r="BF30" s="313">
        <f>BE30*('Setting key Duty'!$I$8+'Setting key Duty'!$I$9+'Setting key Duty'!$I$12)</f>
        <v>0</v>
      </c>
      <c r="BG30" s="313">
        <f t="shared" si="15"/>
        <v>0</v>
      </c>
      <c r="BH30" s="313">
        <f t="shared" si="16"/>
        <v>0</v>
      </c>
      <c r="BI30" s="313">
        <f>BH30*('Setting key Duty'!$I$9)</f>
        <v>0</v>
      </c>
      <c r="BJ30" s="313">
        <f t="shared" si="17"/>
        <v>2</v>
      </c>
      <c r="BK30" s="313">
        <f>BJ30*('Setting key Duty'!$I$12+'Setting key Duty'!$I$8)</f>
        <v>0.875</v>
      </c>
      <c r="BL30" s="313">
        <f t="shared" si="18"/>
        <v>0</v>
      </c>
      <c r="BM30" s="313">
        <f>BL30*('Setting key Duty'!$J$11+'Setting key Duty'!$I$8)</f>
        <v>0</v>
      </c>
      <c r="BN30" s="313">
        <f t="shared" si="19"/>
        <v>0</v>
      </c>
      <c r="BO30" s="313">
        <f t="shared" si="20"/>
        <v>0</v>
      </c>
      <c r="BP30" s="313"/>
      <c r="BQ30" s="345"/>
    </row>
    <row r="31" ht="19.5" customHeight="1" spans="1:69">
      <c r="A31" s="309"/>
      <c r="B31" s="348" t="s">
        <v>368</v>
      </c>
      <c r="C31" s="317"/>
      <c r="D31" s="317"/>
      <c r="E31" s="197" t="s">
        <v>468</v>
      </c>
      <c r="G31" s="197" t="s">
        <v>150</v>
      </c>
      <c r="H31" s="197" t="s">
        <v>150</v>
      </c>
      <c r="I31" s="197" t="s">
        <v>150</v>
      </c>
      <c r="J31" s="197"/>
      <c r="K31" s="197" t="s">
        <v>65</v>
      </c>
      <c r="M31" s="349"/>
      <c r="N31" s="331" t="s">
        <v>93</v>
      </c>
      <c r="O31" s="197" t="s">
        <v>498</v>
      </c>
      <c r="Q31" s="324" t="s">
        <v>65</v>
      </c>
      <c r="S31" s="197"/>
      <c r="T31" s="196" t="s">
        <v>176</v>
      </c>
      <c r="U31" s="196" t="s">
        <v>176</v>
      </c>
      <c r="V31" s="200" t="s">
        <v>65</v>
      </c>
      <c r="W31" s="197"/>
      <c r="Y31" s="317"/>
      <c r="Z31" s="197" t="s">
        <v>499</v>
      </c>
      <c r="AA31" s="197"/>
      <c r="AC31" s="197"/>
      <c r="AE31" s="317"/>
      <c r="AF31" s="197" t="s">
        <v>65</v>
      </c>
      <c r="AG31" s="317"/>
      <c r="AH31" s="317"/>
      <c r="AI31" s="311"/>
      <c r="AJ31" s="312"/>
      <c r="AK31" s="311"/>
      <c r="AL31" s="344"/>
      <c r="AM31" s="344"/>
      <c r="AN31" s="344"/>
      <c r="AO31" s="344"/>
      <c r="AP31" s="246"/>
      <c r="AQ31" s="313">
        <f t="shared" si="2"/>
        <v>0</v>
      </c>
      <c r="AR31" s="246"/>
      <c r="AS31" s="238">
        <f t="shared" si="3"/>
        <v>0</v>
      </c>
      <c r="AT31" s="246"/>
      <c r="AU31" s="238">
        <f t="shared" si="4"/>
        <v>0</v>
      </c>
      <c r="AV31" s="238">
        <f t="shared" si="5"/>
        <v>0</v>
      </c>
      <c r="AW31" s="238">
        <f t="shared" si="7"/>
        <v>3</v>
      </c>
      <c r="AX31" s="238" t="e">
        <f t="shared" si="12"/>
        <v>#VALUE!</v>
      </c>
      <c r="AY31" s="313" t="e">
        <f>(BJ31*('Setting key Duty'!$I$8+'Setting key Duty'!$I$12))+(BH31*'Setting key Duty'!$I$9)+(BC31*('Setting key Duty'!$I$13+'Setting key Duty'!$I$9))+(BA31*('Setting key Duty'!$I$13+'Setting key Duty'!$I$12+'Setting key Duty'!$I$11))+(BE31*('Setting key Duty'!$I$8+'Setting key Duty'!$I$9+'Setting key Duty'!$I$12))</f>
        <v>#VALUE!</v>
      </c>
      <c r="AZ31" s="313">
        <f t="shared" si="21"/>
        <v>0</v>
      </c>
      <c r="BA31" s="313">
        <f t="shared" si="11"/>
        <v>0</v>
      </c>
      <c r="BB31" s="313" t="e">
        <f>BA31*('Setting key Duty'!$I$13+'Setting key Duty'!$I$12+'Setting key Duty'!$I$11)</f>
        <v>#VALUE!</v>
      </c>
      <c r="BC31" s="313">
        <f t="shared" si="13"/>
        <v>1</v>
      </c>
      <c r="BD31" s="313" t="e">
        <f>BC31*('Setting key Duty'!$I$13+'Setting key Duty'!$I$9)</f>
        <v>#VALUE!</v>
      </c>
      <c r="BE31" s="313">
        <f t="shared" si="14"/>
        <v>0</v>
      </c>
      <c r="BF31" s="313">
        <f>BE31*('Setting key Duty'!$I$8+'Setting key Duty'!$I$9+'Setting key Duty'!$I$12)</f>
        <v>0</v>
      </c>
      <c r="BG31" s="313">
        <f t="shared" si="15"/>
        <v>0</v>
      </c>
      <c r="BH31" s="313">
        <f t="shared" si="16"/>
        <v>0</v>
      </c>
      <c r="BI31" s="313">
        <f>BH31*('Setting key Duty'!$I$9)</f>
        <v>0</v>
      </c>
      <c r="BJ31" s="313">
        <f t="shared" si="17"/>
        <v>2</v>
      </c>
      <c r="BK31" s="313">
        <f>BJ31*('Setting key Duty'!$I$12+'Setting key Duty'!$I$8)</f>
        <v>0.875</v>
      </c>
      <c r="BL31" s="313">
        <f t="shared" si="18"/>
        <v>0</v>
      </c>
      <c r="BM31" s="313">
        <f>BL31*('Setting key Duty'!$J$11+'Setting key Duty'!$I$8)</f>
        <v>0</v>
      </c>
      <c r="BN31" s="313">
        <f t="shared" si="19"/>
        <v>0</v>
      </c>
      <c r="BO31" s="313">
        <f t="shared" si="20"/>
        <v>0</v>
      </c>
      <c r="BP31" s="313"/>
      <c r="BQ31" s="345"/>
    </row>
    <row r="32" ht="19.5" customHeight="1" spans="1:69">
      <c r="A32" s="309"/>
      <c r="B32" s="348" t="s">
        <v>369</v>
      </c>
      <c r="C32" s="317"/>
      <c r="D32" s="197" t="s">
        <v>500</v>
      </c>
      <c r="E32" s="197"/>
      <c r="F32" s="331" t="s">
        <v>93</v>
      </c>
      <c r="G32" s="197" t="s">
        <v>150</v>
      </c>
      <c r="H32" s="197" t="s">
        <v>150</v>
      </c>
      <c r="I32" s="197" t="s">
        <v>150</v>
      </c>
      <c r="J32" s="197" t="s">
        <v>65</v>
      </c>
      <c r="L32" s="197"/>
      <c r="M32" s="331" t="s">
        <v>93</v>
      </c>
      <c r="O32" s="331" t="s">
        <v>93</v>
      </c>
      <c r="P32" s="197" t="s">
        <v>54</v>
      </c>
      <c r="Q32" s="197" t="s">
        <v>54</v>
      </c>
      <c r="R32" s="197" t="s">
        <v>54</v>
      </c>
      <c r="S32" s="197" t="s">
        <v>54</v>
      </c>
      <c r="T32" s="197" t="s">
        <v>54</v>
      </c>
      <c r="U32" s="197" t="s">
        <v>54</v>
      </c>
      <c r="V32" s="200" t="s">
        <v>54</v>
      </c>
      <c r="W32" s="197" t="s">
        <v>54</v>
      </c>
      <c r="X32" s="197" t="s">
        <v>54</v>
      </c>
      <c r="Z32" s="197" t="s">
        <v>501</v>
      </c>
      <c r="AA32" s="197" t="s">
        <v>65</v>
      </c>
      <c r="AB32" s="197"/>
      <c r="AC32" s="324"/>
      <c r="AD32" s="197"/>
      <c r="AF32" s="197" t="s">
        <v>502</v>
      </c>
      <c r="AG32" s="317"/>
      <c r="AI32" s="311"/>
      <c r="AJ32" s="312"/>
      <c r="AK32" s="311"/>
      <c r="AL32" s="344"/>
      <c r="AM32" s="344"/>
      <c r="AN32" s="344"/>
      <c r="AO32" s="344"/>
      <c r="AP32" s="246"/>
      <c r="AQ32" s="313">
        <f t="shared" si="2"/>
        <v>0</v>
      </c>
      <c r="AR32" s="246"/>
      <c r="AS32" s="238">
        <f t="shared" si="3"/>
        <v>0</v>
      </c>
      <c r="AT32" s="246"/>
      <c r="AU32" s="238">
        <f t="shared" si="4"/>
        <v>0</v>
      </c>
      <c r="AV32" s="238">
        <f t="shared" si="5"/>
        <v>0</v>
      </c>
      <c r="AW32" s="238">
        <f t="shared" si="7"/>
        <v>3</v>
      </c>
      <c r="AX32" s="238" t="e">
        <f t="shared" si="12"/>
        <v>#VALUE!</v>
      </c>
      <c r="AY32" s="313" t="e">
        <f>(BJ32*('Setting key Duty'!$I$8+'Setting key Duty'!$I$12))+(BH32*'Setting key Duty'!$I$9)+(BC32*('Setting key Duty'!$I$13+'Setting key Duty'!$I$9))+(BA32*('Setting key Duty'!$I$13+'Setting key Duty'!$I$12+'Setting key Duty'!$I$11))+(BE32*('Setting key Duty'!$I$8+'Setting key Duty'!$I$9+'Setting key Duty'!$I$12))</f>
        <v>#VALUE!</v>
      </c>
      <c r="AZ32" s="313">
        <f t="shared" si="21"/>
        <v>0</v>
      </c>
      <c r="BA32" s="313">
        <f t="shared" si="11"/>
        <v>0</v>
      </c>
      <c r="BB32" s="313" t="e">
        <f>BA32*('Setting key Duty'!$I$13+'Setting key Duty'!$I$12+'Setting key Duty'!$I$11)</f>
        <v>#VALUE!</v>
      </c>
      <c r="BC32" s="313">
        <f t="shared" si="13"/>
        <v>0</v>
      </c>
      <c r="BD32" s="313" t="e">
        <f>BC32*('Setting key Duty'!$I$13+'Setting key Duty'!$I$9)</f>
        <v>#VALUE!</v>
      </c>
      <c r="BE32" s="313">
        <f t="shared" si="14"/>
        <v>1</v>
      </c>
      <c r="BF32" s="313">
        <f>BE32*('Setting key Duty'!$I$8+'Setting key Duty'!$I$9+'Setting key Duty'!$I$12)</f>
        <v>0.5625</v>
      </c>
      <c r="BG32" s="313">
        <f t="shared" si="15"/>
        <v>0</v>
      </c>
      <c r="BH32" s="313">
        <f t="shared" si="16"/>
        <v>0</v>
      </c>
      <c r="BI32" s="313">
        <f>BH32*('Setting key Duty'!$I$9)</f>
        <v>0</v>
      </c>
      <c r="BJ32" s="313">
        <f t="shared" si="17"/>
        <v>2</v>
      </c>
      <c r="BK32" s="313">
        <f>BJ32*('Setting key Duty'!$I$12+'Setting key Duty'!$I$8)</f>
        <v>0.875</v>
      </c>
      <c r="BL32" s="313">
        <f t="shared" si="18"/>
        <v>0</v>
      </c>
      <c r="BM32" s="313">
        <f>BL32*('Setting key Duty'!$J$11+'Setting key Duty'!$I$8)</f>
        <v>0</v>
      </c>
      <c r="BN32" s="313">
        <f t="shared" si="19"/>
        <v>0</v>
      </c>
      <c r="BO32" s="313">
        <f t="shared" si="20"/>
        <v>0</v>
      </c>
      <c r="BP32" s="313"/>
      <c r="BQ32" s="345"/>
    </row>
    <row r="33" ht="19.5" customHeight="1" spans="1:69">
      <c r="A33" s="309"/>
      <c r="B33" s="347" t="s">
        <v>370</v>
      </c>
      <c r="C33" s="317"/>
      <c r="D33" s="317"/>
      <c r="E33" s="197" t="s">
        <v>149</v>
      </c>
      <c r="F33" s="197" t="s">
        <v>149</v>
      </c>
      <c r="G33" s="197"/>
      <c r="H33" s="331" t="s">
        <v>93</v>
      </c>
      <c r="I33" s="349"/>
      <c r="K33" s="197"/>
      <c r="L33" s="197" t="s">
        <v>65</v>
      </c>
      <c r="M33" s="197"/>
      <c r="O33" s="197" t="s">
        <v>65</v>
      </c>
      <c r="Q33" s="324"/>
      <c r="R33" s="317"/>
      <c r="S33" s="331" t="s">
        <v>93</v>
      </c>
      <c r="U33" s="197" t="s">
        <v>65</v>
      </c>
      <c r="V33" s="200"/>
      <c r="X33" s="197" t="s">
        <v>59</v>
      </c>
      <c r="Z33" s="331" t="s">
        <v>93</v>
      </c>
      <c r="AA33" s="106"/>
      <c r="AB33" s="331" t="s">
        <v>93</v>
      </c>
      <c r="AC33" s="324"/>
      <c r="AE33" s="197"/>
      <c r="AG33" s="317"/>
      <c r="AH33" s="317"/>
      <c r="AI33" s="311"/>
      <c r="AJ33" s="312"/>
      <c r="AK33" s="311"/>
      <c r="AL33" s="344"/>
      <c r="AM33" s="344"/>
      <c r="AN33" s="344"/>
      <c r="AO33" s="344"/>
      <c r="AP33" s="246"/>
      <c r="AQ33" s="313">
        <f t="shared" si="2"/>
        <v>0</v>
      </c>
      <c r="AR33" s="246"/>
      <c r="AS33" s="238">
        <f t="shared" si="3"/>
        <v>0</v>
      </c>
      <c r="AT33" s="246"/>
      <c r="AU33" s="238">
        <f t="shared" si="4"/>
        <v>0</v>
      </c>
      <c r="AV33" s="238">
        <f t="shared" si="5"/>
        <v>0</v>
      </c>
      <c r="AW33" s="238">
        <f t="shared" si="7"/>
        <v>0</v>
      </c>
      <c r="AX33" s="238" t="e">
        <f t="shared" si="12"/>
        <v>#VALUE!</v>
      </c>
      <c r="AY33" s="313" t="e">
        <f>(BJ33*('Setting key Duty'!$I$8+'Setting key Duty'!$I$12))+(BH33*'Setting key Duty'!$I$9)+(BC33*('Setting key Duty'!$I$13+'Setting key Duty'!$I$9))+(BA33*('Setting key Duty'!$I$13+'Setting key Duty'!$I$12+'Setting key Duty'!$I$11))+(BE33*('Setting key Duty'!$I$8+'Setting key Duty'!$I$9+'Setting key Duty'!$I$12))</f>
        <v>#VALUE!</v>
      </c>
      <c r="AZ33" s="313">
        <f t="shared" si="21"/>
        <v>0</v>
      </c>
      <c r="BA33" s="313">
        <f t="shared" si="11"/>
        <v>0</v>
      </c>
      <c r="BB33" s="313" t="e">
        <f>BA33*('Setting key Duty'!$I$13+'Setting key Duty'!$I$12+'Setting key Duty'!$I$11)</f>
        <v>#VALUE!</v>
      </c>
      <c r="BC33" s="313">
        <f t="shared" si="13"/>
        <v>0</v>
      </c>
      <c r="BD33" s="313" t="e">
        <f>BC33*('Setting key Duty'!$I$13+'Setting key Duty'!$I$9)</f>
        <v>#VALUE!</v>
      </c>
      <c r="BE33" s="313">
        <f t="shared" si="14"/>
        <v>0</v>
      </c>
      <c r="BF33" s="313">
        <f>BE33*('Setting key Duty'!$I$8+'Setting key Duty'!$I$9+'Setting key Duty'!$I$12)</f>
        <v>0</v>
      </c>
      <c r="BG33" s="313">
        <f t="shared" si="15"/>
        <v>0</v>
      </c>
      <c r="BH33" s="313">
        <f t="shared" si="16"/>
        <v>0</v>
      </c>
      <c r="BI33" s="313">
        <f>BH33*('Setting key Duty'!$I$9)</f>
        <v>0</v>
      </c>
      <c r="BJ33" s="313">
        <f t="shared" si="17"/>
        <v>0</v>
      </c>
      <c r="BK33" s="313">
        <f>BJ33*('Setting key Duty'!$I$12+'Setting key Duty'!$I$8)</f>
        <v>0</v>
      </c>
      <c r="BL33" s="313">
        <f t="shared" si="18"/>
        <v>0</v>
      </c>
      <c r="BM33" s="313">
        <f>BL33*('Setting key Duty'!$J$11+'Setting key Duty'!$I$8)</f>
        <v>0</v>
      </c>
      <c r="BN33" s="313">
        <f t="shared" si="19"/>
        <v>0</v>
      </c>
      <c r="BO33" s="313">
        <f t="shared" si="20"/>
        <v>0</v>
      </c>
      <c r="BP33" s="313"/>
      <c r="BQ33" s="345"/>
    </row>
    <row r="34" ht="19.5" customHeight="1" spans="1:69">
      <c r="A34" s="309"/>
      <c r="B34" s="348" t="s">
        <v>371</v>
      </c>
      <c r="C34" s="317"/>
      <c r="D34" s="350"/>
      <c r="E34" s="350"/>
      <c r="F34" s="317"/>
      <c r="G34" s="350"/>
      <c r="H34" s="331"/>
      <c r="I34" s="350"/>
      <c r="J34" s="350"/>
      <c r="K34" s="350"/>
      <c r="L34" s="350"/>
      <c r="M34" s="350"/>
      <c r="O34" s="350"/>
      <c r="P34" s="350"/>
      <c r="Q34" s="350"/>
      <c r="R34" s="350"/>
      <c r="S34" s="350"/>
      <c r="T34" s="350"/>
      <c r="U34" s="350"/>
      <c r="V34" s="351"/>
      <c r="W34" s="350"/>
      <c r="X34" s="350"/>
      <c r="Y34" s="317"/>
      <c r="AA34" s="331"/>
      <c r="AB34" s="350"/>
      <c r="AC34" s="350"/>
      <c r="AD34" s="350"/>
      <c r="AE34" s="350"/>
      <c r="AF34" s="350"/>
      <c r="AG34" s="350"/>
      <c r="AH34" s="350"/>
      <c r="AI34" s="311"/>
      <c r="AJ34" s="312"/>
      <c r="AK34" s="311"/>
      <c r="AL34" s="344"/>
      <c r="AM34" s="344"/>
      <c r="AN34" s="344"/>
      <c r="AO34" s="344"/>
      <c r="AP34" s="246"/>
      <c r="AQ34" s="313">
        <f t="shared" si="2"/>
        <v>0</v>
      </c>
      <c r="AR34" s="246"/>
      <c r="AS34" s="238">
        <f t="shared" si="3"/>
        <v>0</v>
      </c>
      <c r="AT34" s="246"/>
      <c r="AU34" s="238">
        <f t="shared" si="4"/>
        <v>0</v>
      </c>
      <c r="AV34" s="238">
        <f t="shared" si="5"/>
        <v>0</v>
      </c>
      <c r="AW34" s="238">
        <f t="shared" si="7"/>
        <v>0</v>
      </c>
      <c r="AX34" s="238" t="e">
        <f t="shared" si="12"/>
        <v>#VALUE!</v>
      </c>
      <c r="AY34" s="313" t="e">
        <f>(BJ34*('Setting key Duty'!$I$8+'Setting key Duty'!$I$12))+(BH34*'Setting key Duty'!$I$9)+(BC34*('Setting key Duty'!$I$13+'Setting key Duty'!$I$9))+(BA34*('Setting key Duty'!$I$13+'Setting key Duty'!$I$12+'Setting key Duty'!$I$11))+(BE34*('Setting key Duty'!$I$8+'Setting key Duty'!$I$9+'Setting key Duty'!$I$12))</f>
        <v>#VALUE!</v>
      </c>
      <c r="AZ34" s="313">
        <f t="shared" si="21"/>
        <v>0</v>
      </c>
      <c r="BA34" s="313">
        <f t="shared" si="11"/>
        <v>0</v>
      </c>
      <c r="BB34" s="313" t="e">
        <f>BA34*('Setting key Duty'!$I$13+'Setting key Duty'!$I$12+'Setting key Duty'!$I$11)</f>
        <v>#VALUE!</v>
      </c>
      <c r="BC34" s="313">
        <f t="shared" si="13"/>
        <v>0</v>
      </c>
      <c r="BD34" s="313" t="e">
        <f>BC34*('Setting key Duty'!$I$13+'Setting key Duty'!$I$9)</f>
        <v>#VALUE!</v>
      </c>
      <c r="BE34" s="313">
        <f t="shared" si="14"/>
        <v>0</v>
      </c>
      <c r="BF34" s="313">
        <f>BE34*('Setting key Duty'!$I$8+'Setting key Duty'!$I$9+'Setting key Duty'!$I$12)</f>
        <v>0</v>
      </c>
      <c r="BG34" s="313">
        <f t="shared" si="15"/>
        <v>0</v>
      </c>
      <c r="BH34" s="313">
        <f t="shared" si="16"/>
        <v>0</v>
      </c>
      <c r="BI34" s="313">
        <f>BH34*('Setting key Duty'!$I$9)</f>
        <v>0</v>
      </c>
      <c r="BJ34" s="313">
        <f t="shared" si="17"/>
        <v>0</v>
      </c>
      <c r="BK34" s="313">
        <f>BJ34*('Setting key Duty'!$I$12+'Setting key Duty'!$I$8)</f>
        <v>0</v>
      </c>
      <c r="BL34" s="313">
        <f t="shared" si="18"/>
        <v>0</v>
      </c>
      <c r="BM34" s="313">
        <f>BL34*('Setting key Duty'!$J$11+'Setting key Duty'!$I$8)</f>
        <v>0</v>
      </c>
      <c r="BN34" s="313">
        <f t="shared" si="19"/>
        <v>0</v>
      </c>
      <c r="BO34" s="313">
        <f t="shared" si="20"/>
        <v>0</v>
      </c>
      <c r="BP34" s="313"/>
      <c r="BQ34" s="345"/>
    </row>
    <row r="35" ht="19.5" customHeight="1" spans="1:69">
      <c r="A35" s="309"/>
      <c r="B35" s="347" t="s">
        <v>410</v>
      </c>
      <c r="C35" s="350"/>
      <c r="D35" s="324"/>
      <c r="F35" s="197" t="s">
        <v>65</v>
      </c>
      <c r="G35" s="331" t="s">
        <v>93</v>
      </c>
      <c r="H35" s="4" t="s">
        <v>69</v>
      </c>
      <c r="I35" s="197" t="s">
        <v>65</v>
      </c>
      <c r="J35" s="197"/>
      <c r="K35" s="331" t="s">
        <v>93</v>
      </c>
      <c r="L35" s="197"/>
      <c r="M35" s="317"/>
      <c r="N35" s="197" t="s">
        <v>65</v>
      </c>
      <c r="Q35" s="324"/>
      <c r="R35" s="331" t="s">
        <v>93</v>
      </c>
      <c r="T35" s="197" t="s">
        <v>65</v>
      </c>
      <c r="U35" s="331" t="s">
        <v>93</v>
      </c>
      <c r="V35" s="351"/>
      <c r="X35" s="324"/>
      <c r="Y35" s="197" t="s">
        <v>65</v>
      </c>
      <c r="AA35" s="331" t="s">
        <v>93</v>
      </c>
      <c r="AC35" s="324"/>
      <c r="AD35" s="324"/>
      <c r="AF35" s="331" t="s">
        <v>93</v>
      </c>
      <c r="AG35" s="350"/>
      <c r="AH35" s="197"/>
      <c r="AI35" s="311"/>
      <c r="AJ35" s="312"/>
      <c r="AK35" s="311"/>
      <c r="AL35" s="344"/>
      <c r="AM35" s="344"/>
      <c r="AN35" s="344"/>
      <c r="AO35" s="344"/>
      <c r="AP35" s="246"/>
      <c r="AQ35" s="313">
        <f t="shared" si="2"/>
        <v>0</v>
      </c>
      <c r="AR35" s="246"/>
      <c r="AS35" s="238">
        <f t="shared" si="3"/>
        <v>0</v>
      </c>
      <c r="AT35" s="246"/>
      <c r="AU35" s="238">
        <f t="shared" si="4"/>
        <v>0</v>
      </c>
      <c r="AV35" s="238">
        <f t="shared" si="5"/>
        <v>0</v>
      </c>
      <c r="AW35" s="238">
        <f t="shared" si="7"/>
        <v>0</v>
      </c>
      <c r="AX35" s="238" t="e">
        <f t="shared" si="12"/>
        <v>#VALUE!</v>
      </c>
      <c r="AY35" s="313" t="e">
        <f>(BJ35*('Setting key Duty'!$I$8+'Setting key Duty'!$I$12))+(BH35*'Setting key Duty'!$I$9)+(BC35*('Setting key Duty'!$I$13+'Setting key Duty'!$I$9))+(BA35*('Setting key Duty'!$I$13+'Setting key Duty'!$I$12+'Setting key Duty'!$I$11))+(BE35*('Setting key Duty'!$I$8+'Setting key Duty'!$I$9+'Setting key Duty'!$I$12))</f>
        <v>#VALUE!</v>
      </c>
      <c r="AZ35" s="313">
        <f t="shared" si="21"/>
        <v>0</v>
      </c>
      <c r="BA35" s="313">
        <f t="shared" si="11"/>
        <v>0</v>
      </c>
      <c r="BB35" s="313" t="e">
        <f>BA35*('Setting key Duty'!$I$13+'Setting key Duty'!$I$12+'Setting key Duty'!$I$11)</f>
        <v>#VALUE!</v>
      </c>
      <c r="BC35" s="313">
        <f t="shared" si="13"/>
        <v>0</v>
      </c>
      <c r="BD35" s="313" t="e">
        <f>BC35*('Setting key Duty'!$I$13+'Setting key Duty'!$I$9)</f>
        <v>#VALUE!</v>
      </c>
      <c r="BE35" s="313">
        <f t="shared" si="14"/>
        <v>0</v>
      </c>
      <c r="BF35" s="313">
        <f>BE35*('Setting key Duty'!$I$8+'Setting key Duty'!$I$9+'Setting key Duty'!$I$12)</f>
        <v>0</v>
      </c>
      <c r="BG35" s="313">
        <f t="shared" si="15"/>
        <v>0</v>
      </c>
      <c r="BH35" s="313">
        <f t="shared" si="16"/>
        <v>0</v>
      </c>
      <c r="BI35" s="313">
        <f>BH35*('Setting key Duty'!$I$9)</f>
        <v>0</v>
      </c>
      <c r="BJ35" s="313">
        <f t="shared" si="17"/>
        <v>0</v>
      </c>
      <c r="BK35" s="313">
        <f>BJ35*('Setting key Duty'!$I$12+'Setting key Duty'!$I$8)</f>
        <v>0</v>
      </c>
      <c r="BL35" s="313">
        <f t="shared" si="18"/>
        <v>0</v>
      </c>
      <c r="BM35" s="313">
        <f>BL35*('Setting key Duty'!$J$11+'Setting key Duty'!$I$8)</f>
        <v>0</v>
      </c>
      <c r="BN35" s="313">
        <f t="shared" si="19"/>
        <v>0</v>
      </c>
      <c r="BO35" s="313">
        <f t="shared" si="20"/>
        <v>0</v>
      </c>
      <c r="BP35" s="313"/>
      <c r="BQ35" s="345"/>
    </row>
    <row r="36" ht="19.5" customHeight="1" spans="1:69">
      <c r="A36" s="309"/>
      <c r="B36" s="354"/>
      <c r="C36" s="350"/>
      <c r="D36" s="317"/>
      <c r="E36" s="106"/>
      <c r="F36" s="106"/>
      <c r="G36" s="106"/>
      <c r="H36" s="106"/>
      <c r="I36" s="106"/>
      <c r="J36" s="317"/>
      <c r="K36" s="324"/>
      <c r="L36" s="324"/>
      <c r="M36" s="155"/>
      <c r="N36" s="317"/>
      <c r="O36" s="324"/>
      <c r="P36" s="317"/>
      <c r="Q36" s="106"/>
      <c r="R36" s="106"/>
      <c r="S36" s="106"/>
      <c r="T36" s="350"/>
      <c r="U36" s="106"/>
      <c r="V36" s="351"/>
      <c r="W36" s="106"/>
      <c r="X36" s="317"/>
      <c r="Y36" s="106"/>
      <c r="Z36" s="106"/>
      <c r="AA36" s="106"/>
      <c r="AB36" s="106"/>
      <c r="AC36" s="106"/>
      <c r="AD36" s="317"/>
      <c r="AE36" s="317"/>
      <c r="AF36" s="317"/>
      <c r="AG36" s="350"/>
      <c r="AH36" s="317"/>
      <c r="AI36" s="311"/>
      <c r="AJ36" s="312"/>
      <c r="AK36" s="311"/>
      <c r="AL36" s="344"/>
      <c r="AM36" s="344"/>
      <c r="AN36" s="344"/>
      <c r="AO36" s="344"/>
      <c r="AP36" s="246"/>
      <c r="AQ36" s="313">
        <f t="shared" si="2"/>
        <v>0</v>
      </c>
      <c r="AR36" s="246"/>
      <c r="AS36" s="238">
        <f t="shared" si="3"/>
        <v>0</v>
      </c>
      <c r="AT36" s="246"/>
      <c r="AU36" s="238">
        <f t="shared" si="4"/>
        <v>0</v>
      </c>
      <c r="AV36" s="238">
        <f t="shared" si="5"/>
        <v>0</v>
      </c>
      <c r="AW36" s="238">
        <f t="shared" si="7"/>
        <v>0</v>
      </c>
      <c r="AX36" s="238" t="e">
        <f t="shared" si="12"/>
        <v>#VALUE!</v>
      </c>
      <c r="AY36" s="313" t="e">
        <f>(BJ36*('Setting key Duty'!$I$8+'Setting key Duty'!$I$12))+(BH36*'Setting key Duty'!$I$9)+(BC36*('Setting key Duty'!$I$13+'Setting key Duty'!$I$9))+(BA36*('Setting key Duty'!$I$13+'Setting key Duty'!$I$12+'Setting key Duty'!$I$11))+(BE36*('Setting key Duty'!$I$8+'Setting key Duty'!$I$9+'Setting key Duty'!$I$12))</f>
        <v>#VALUE!</v>
      </c>
      <c r="AZ36" s="313">
        <f t="shared" si="21"/>
        <v>0</v>
      </c>
      <c r="BA36" s="313">
        <f t="shared" si="11"/>
        <v>0</v>
      </c>
      <c r="BB36" s="313" t="e">
        <f>BA36*('Setting key Duty'!$I$13+'Setting key Duty'!$I$12+'Setting key Duty'!$I$11)</f>
        <v>#VALUE!</v>
      </c>
      <c r="BC36" s="313">
        <f t="shared" si="13"/>
        <v>0</v>
      </c>
      <c r="BD36" s="313" t="e">
        <f>BC36*('Setting key Duty'!$I$13+'Setting key Duty'!$I$9)</f>
        <v>#VALUE!</v>
      </c>
      <c r="BE36" s="313">
        <f t="shared" si="14"/>
        <v>0</v>
      </c>
      <c r="BF36" s="313">
        <f>BE36*('Setting key Duty'!$I$8+'Setting key Duty'!$I$9+'Setting key Duty'!$I$12)</f>
        <v>0</v>
      </c>
      <c r="BG36" s="313">
        <f t="shared" si="15"/>
        <v>0</v>
      </c>
      <c r="BH36" s="313">
        <f t="shared" si="16"/>
        <v>0</v>
      </c>
      <c r="BI36" s="313">
        <f>BH36*('Setting key Duty'!$I$9)</f>
        <v>0</v>
      </c>
      <c r="BJ36" s="313">
        <f t="shared" si="17"/>
        <v>0</v>
      </c>
      <c r="BK36" s="313">
        <f>BJ36*('Setting key Duty'!$I$12+'Setting key Duty'!$I$8)</f>
        <v>0</v>
      </c>
      <c r="BL36" s="313">
        <f t="shared" si="18"/>
        <v>0</v>
      </c>
      <c r="BM36" s="313">
        <f>BL36*('Setting key Duty'!$J$11+'Setting key Duty'!$I$8)</f>
        <v>0</v>
      </c>
      <c r="BN36" s="313">
        <f t="shared" si="19"/>
        <v>0</v>
      </c>
      <c r="BO36" s="313">
        <f t="shared" si="20"/>
        <v>0</v>
      </c>
      <c r="BP36" s="313"/>
      <c r="BQ36" s="345"/>
    </row>
    <row r="37" ht="19.5" customHeight="1" spans="1:69">
      <c r="A37" s="309"/>
      <c r="B37" s="354" t="s">
        <v>148</v>
      </c>
      <c r="C37" s="355"/>
      <c r="D37" s="317"/>
      <c r="E37" s="317"/>
      <c r="F37" s="317"/>
      <c r="G37" s="317"/>
      <c r="H37" s="317"/>
      <c r="I37" s="317"/>
      <c r="J37" s="317"/>
      <c r="K37" s="317"/>
      <c r="L37" s="317"/>
      <c r="N37" s="317"/>
      <c r="O37" s="317"/>
      <c r="P37" s="317"/>
      <c r="Q37" s="106"/>
      <c r="R37" s="106"/>
      <c r="S37" s="317"/>
      <c r="T37" s="350"/>
      <c r="U37" s="198"/>
      <c r="V37" s="351"/>
      <c r="W37" s="317"/>
      <c r="X37" s="317"/>
      <c r="Y37" s="356"/>
      <c r="Z37" s="356"/>
      <c r="AA37" s="356"/>
      <c r="AB37" s="356"/>
      <c r="AC37" s="356"/>
      <c r="AD37" s="356"/>
      <c r="AE37" s="317"/>
      <c r="AF37" s="317"/>
      <c r="AG37" s="350"/>
      <c r="AH37" s="317"/>
      <c r="AI37" s="311">
        <f t="shared" ref="AI37:AO37" si="22">COUNTIF($C37:$AG37,AI$4)</f>
        <v>0</v>
      </c>
      <c r="AJ37" s="312">
        <f t="shared" si="22"/>
        <v>0</v>
      </c>
      <c r="AK37" s="311">
        <f t="shared" si="22"/>
        <v>0</v>
      </c>
      <c r="AL37" s="344">
        <f t="shared" si="22"/>
        <v>0</v>
      </c>
      <c r="AM37" s="344">
        <f t="shared" si="22"/>
        <v>0</v>
      </c>
      <c r="AN37" s="344">
        <f t="shared" si="22"/>
        <v>0</v>
      </c>
      <c r="AO37" s="344">
        <f t="shared" si="22"/>
        <v>0</v>
      </c>
      <c r="AP37" s="246"/>
      <c r="AQ37" s="313"/>
      <c r="AR37" s="246"/>
      <c r="AS37" s="238"/>
      <c r="AT37" s="246"/>
      <c r="AU37" s="246"/>
      <c r="AV37" s="238"/>
      <c r="AW37" s="238"/>
      <c r="AX37" s="238"/>
      <c r="AY37" s="313"/>
      <c r="AZ37" s="313"/>
      <c r="BA37" s="313"/>
      <c r="BB37" s="313"/>
      <c r="BC37" s="313"/>
      <c r="BD37" s="313"/>
      <c r="BE37" s="313"/>
      <c r="BF37" s="313"/>
      <c r="BG37" s="313"/>
      <c r="BH37" s="313"/>
      <c r="BI37" s="313"/>
      <c r="BJ37" s="313"/>
      <c r="BK37" s="313"/>
      <c r="BL37" s="313"/>
      <c r="BM37" s="313"/>
      <c r="BN37" s="344"/>
      <c r="BO37" s="344"/>
      <c r="BP37" s="344"/>
      <c r="BQ37" s="345"/>
    </row>
    <row r="38" ht="19.5" customHeight="1" spans="1:69">
      <c r="A38" s="309"/>
      <c r="B38" s="357"/>
      <c r="C38" s="358"/>
      <c r="D38" s="359"/>
      <c r="E38" s="359"/>
      <c r="F38" s="359"/>
      <c r="G38" s="359"/>
      <c r="H38" s="358"/>
      <c r="I38" s="358"/>
      <c r="J38" s="358"/>
      <c r="K38" s="358"/>
      <c r="L38" s="358"/>
      <c r="M38" s="358"/>
      <c r="N38" s="358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358"/>
      <c r="AA38" s="358"/>
      <c r="AB38" s="358"/>
      <c r="AC38" s="358"/>
      <c r="AD38" s="358"/>
      <c r="AE38" s="358"/>
      <c r="AF38" s="358"/>
      <c r="AG38" s="358"/>
      <c r="AH38" s="360"/>
      <c r="AI38" s="361"/>
      <c r="AJ38" s="362"/>
      <c r="AK38" s="361"/>
      <c r="AL38" s="363"/>
      <c r="AM38" s="363"/>
      <c r="AN38" s="363"/>
      <c r="AO38" s="363"/>
      <c r="AP38" s="253"/>
      <c r="AQ38" s="253"/>
      <c r="AR38" s="253"/>
      <c r="AS38" s="253">
        <f>SUMPRODUCT(--WEEKDAY(C$3:AG$3,2)&gt;5,--((C38:AG38="DM"))+(C38:AG38="CS1")+((C38:AG38="CS2"))+(C38:AG38="SB1")+(C38:AG38="AE")+(C38:AG38="EM"))</f>
        <v>0</v>
      </c>
      <c r="AT38" s="253"/>
      <c r="AU38" s="253">
        <f>(AQ38-AR38)/2+(AS38-AT38)</f>
        <v>0</v>
      </c>
      <c r="AV38" s="253"/>
      <c r="AW38" s="253"/>
      <c r="AX38" s="253"/>
      <c r="AY38" s="363"/>
      <c r="AZ38" s="363"/>
      <c r="BA38" s="363"/>
      <c r="BB38" s="363"/>
      <c r="BC38" s="363"/>
      <c r="BD38" s="363"/>
      <c r="BE38" s="363"/>
      <c r="BF38" s="363"/>
      <c r="BG38" s="363"/>
      <c r="BH38" s="363"/>
      <c r="BI38" s="363"/>
      <c r="BJ38" s="363"/>
      <c r="BK38" s="363"/>
      <c r="BL38" s="363"/>
      <c r="BM38" s="363"/>
      <c r="BN38" s="363"/>
      <c r="BO38" s="363"/>
      <c r="BP38" s="363"/>
      <c r="BQ38" s="364"/>
    </row>
    <row r="39" ht="19.5" customHeight="1" spans="1:69">
      <c r="A39" s="309"/>
      <c r="B39" s="365" t="s">
        <v>57</v>
      </c>
      <c r="C39" s="366" t="str">
        <f>VLOOKUP("DM",C4:C37,1,FALSE)</f>
        <v>DM</v>
      </c>
      <c r="D39" s="366" t="str">
        <f>VLOOKUP("DM",D4:D37,1,FALSE)</f>
        <v>DM</v>
      </c>
      <c r="E39" s="366" t="str">
        <f>VLOOKUP("DM",E1:E37,1,FALSE)</f>
        <v>DM</v>
      </c>
      <c r="F39" s="366" t="str">
        <f t="shared" ref="F39:L39" si="23">VLOOKUP("DM",F4:F37,1,FALSE)</f>
        <v>DM</v>
      </c>
      <c r="G39" s="366" t="str">
        <f t="shared" si="23"/>
        <v>DM</v>
      </c>
      <c r="H39" s="366" t="str">
        <f t="shared" si="23"/>
        <v>DM</v>
      </c>
      <c r="I39" s="366" t="str">
        <f t="shared" si="23"/>
        <v>DM</v>
      </c>
      <c r="J39" s="366" t="str">
        <f t="shared" si="23"/>
        <v>DM</v>
      </c>
      <c r="K39" s="366" t="str">
        <f t="shared" si="23"/>
        <v>DM</v>
      </c>
      <c r="L39" s="366" t="str">
        <f t="shared" si="23"/>
        <v>DM</v>
      </c>
      <c r="M39" s="366" t="str">
        <f>VLOOKUP("DM",M4:M23,1,FALSE)</f>
        <v>DM</v>
      </c>
      <c r="N39" s="366" t="str">
        <f>VLOOKUP("DM",N4:N37,1,FALSE)</f>
        <v>DM</v>
      </c>
      <c r="O39" s="366" t="str">
        <f>VLOOKUP("DM",O4:O37,1,FALSE)</f>
        <v>DM</v>
      </c>
      <c r="P39" s="366" t="str">
        <f>VLOOKUP("DM",P4:P37,1,FALSE)</f>
        <v>DM</v>
      </c>
      <c r="Q39" s="366" t="str">
        <f>VLOOKUP("DM",Q4:Q26,1,FALSE)</f>
        <v>DM</v>
      </c>
      <c r="R39" s="366" t="str">
        <f>VLOOKUP("DM",R4:R21,1,FALSE)</f>
        <v>DM</v>
      </c>
      <c r="S39" s="366" t="str">
        <f>VLOOKUP("DM",S4:S37,1,FALSE)</f>
        <v>DM</v>
      </c>
      <c r="T39" s="366" t="str">
        <f>VLOOKUP("DM",T4:T37,1,FALSE)</f>
        <v>DM</v>
      </c>
      <c r="U39" s="366" t="str">
        <f>VLOOKUP("DM",U4:U37,1,FALSE)</f>
        <v>DM</v>
      </c>
      <c r="V39" s="367" t="str">
        <f>VLOOKUP("DM",V4:V21,1,FALSE)</f>
        <v>DM</v>
      </c>
      <c r="W39" s="366" t="str">
        <f>VLOOKUP("DM",W4:W21,1,FALSE)</f>
        <v>DM</v>
      </c>
      <c r="X39" s="366" t="str">
        <f>VLOOKUP("DM",X4:X37,1,FALSE)</f>
        <v>DM</v>
      </c>
      <c r="Y39" s="366" t="str">
        <f>VLOOKUP("DM",Y4:Y37,1,FALSE)</f>
        <v>DM</v>
      </c>
      <c r="Z39" s="366" t="str">
        <f>VLOOKUP("DM",Z4:Z37,1,FALSE)</f>
        <v>DM</v>
      </c>
      <c r="AA39" s="366" t="str">
        <f>VLOOKUP("DM",AA1:AA37,1,FALSE)</f>
        <v>DM</v>
      </c>
      <c r="AB39" s="366" t="str">
        <f t="shared" ref="AB39:AH39" si="24">VLOOKUP("DM",AB4:AB37,1,FALSE)</f>
        <v>DM</v>
      </c>
      <c r="AC39" s="366" t="str">
        <f t="shared" si="24"/>
        <v>DM</v>
      </c>
      <c r="AD39" s="366" t="str">
        <f t="shared" si="24"/>
        <v>DM</v>
      </c>
      <c r="AE39" s="366" t="str">
        <f t="shared" si="24"/>
        <v>DM</v>
      </c>
      <c r="AF39" s="366" t="str">
        <f t="shared" si="24"/>
        <v>DM</v>
      </c>
      <c r="AG39" s="366" t="e">
        <f t="shared" si="24"/>
        <v>#N/A</v>
      </c>
      <c r="AH39" s="366" t="e">
        <f t="shared" si="24"/>
        <v>#N/A</v>
      </c>
      <c r="AI39" s="311"/>
      <c r="AJ39" s="312"/>
      <c r="AK39" s="311"/>
      <c r="AL39" s="313"/>
      <c r="AM39" s="313"/>
      <c r="AN39" s="313"/>
      <c r="AO39" s="313"/>
      <c r="AP39" s="313"/>
      <c r="AQ39" s="313"/>
      <c r="AR39" s="313"/>
      <c r="AS39" s="313"/>
      <c r="AT39" s="313"/>
      <c r="AU39" s="313"/>
      <c r="AV39" s="313"/>
      <c r="AW39" s="313"/>
      <c r="AX39" s="313"/>
      <c r="AY39" s="313"/>
      <c r="AZ39" s="313"/>
      <c r="BA39" s="313"/>
      <c r="BB39" s="313"/>
      <c r="BC39" s="313"/>
      <c r="BD39" s="313"/>
      <c r="BE39" s="313"/>
      <c r="BF39" s="313"/>
      <c r="BG39" s="313"/>
      <c r="BH39" s="313"/>
      <c r="BI39" s="313"/>
      <c r="BJ39" s="313"/>
      <c r="BK39" s="313"/>
      <c r="BL39" s="313"/>
      <c r="BM39" s="313"/>
      <c r="BN39" s="313"/>
      <c r="BO39" s="313"/>
      <c r="BP39" s="313"/>
      <c r="BQ39" s="314"/>
    </row>
    <row r="40" ht="19.5" customHeight="1" spans="1:69">
      <c r="A40" s="309" t="e">
        <f>LTE()</f>
        <v>#NAME?</v>
      </c>
      <c r="B40" s="368" t="s">
        <v>56</v>
      </c>
      <c r="C40" s="366" t="str">
        <f>VLOOKUP("CS1",C5:C37,1,FALSE)</f>
        <v>CS1</v>
      </c>
      <c r="D40" s="366" t="str">
        <f>VLOOKUP("CS1",D1:D37,1,FALSE)</f>
        <v>CS1</v>
      </c>
      <c r="E40" s="366" t="str">
        <f>VLOOKUP("CS1",E1:E37,1,FALSE)</f>
        <v>CS1</v>
      </c>
      <c r="F40" s="366" t="str">
        <f>VLOOKUP("CS1",F8:F37,1,FALSE)</f>
        <v>CS1</v>
      </c>
      <c r="G40" s="366" t="str">
        <f>VLOOKUP("CS1",G1:G37,1,FALSE)</f>
        <v>CS1</v>
      </c>
      <c r="H40" s="366" t="str">
        <f>VLOOKUP("CS1",H6:H37,1,FALSE)</f>
        <v>CS1</v>
      </c>
      <c r="I40" s="366" t="str">
        <f>VLOOKUP("CS1",I7:I37,1,FALSE)</f>
        <v>CS1</v>
      </c>
      <c r="J40" s="366" t="str">
        <f>VLOOKUP("CS1",J4:J37,1,FALSE)</f>
        <v>CS1</v>
      </c>
      <c r="K40" s="366" t="str">
        <f>VLOOKUP("CS1",K1:K37,1,FALSE)</f>
        <v>CS1</v>
      </c>
      <c r="L40" s="366" t="str">
        <f>VLOOKUP("CS1",L1:L37,1,FALSE)</f>
        <v>CS1</v>
      </c>
      <c r="M40" s="366" t="str">
        <f>VLOOKUP("CS1",M7:M23,1,FALSE)</f>
        <v>CS1</v>
      </c>
      <c r="N40" s="366" t="str">
        <f>VLOOKUP("CS1",N6:N37,1,FALSE)</f>
        <v>CS1</v>
      </c>
      <c r="O40" s="366" t="str">
        <f>VLOOKUP("CS1",O1:O37,1,FALSE)</f>
        <v>CS1</v>
      </c>
      <c r="P40" s="366" t="str">
        <f>VLOOKUP("CS1",P5:P37,1,FALSE)</f>
        <v>CS1</v>
      </c>
      <c r="Q40" s="366" t="str">
        <f>VLOOKUP("CS1",Q6:Q26,1,FALSE)</f>
        <v>CS1</v>
      </c>
      <c r="R40" s="366" t="str">
        <f>VLOOKUP("CS1",R6:R21,1,FALSE)</f>
        <v>CS1</v>
      </c>
      <c r="S40" s="366" t="str">
        <f>VLOOKUP("CS1",S1:S37,1,FALSE)</f>
        <v>CS1</v>
      </c>
      <c r="T40" s="366" t="str">
        <f>VLOOKUP("CS1",T1:T37,1,FALSE)</f>
        <v>CS1</v>
      </c>
      <c r="U40" s="366" t="str">
        <f>VLOOKUP("CS1",U6:U37,1,FALSE)</f>
        <v>CS1</v>
      </c>
      <c r="V40" s="367" t="str">
        <f>VLOOKUP("CS1",V1:V35,1,FALSE)</f>
        <v>CS1</v>
      </c>
      <c r="W40" s="366" t="str">
        <f>VLOOKUP("CS1",W1:W21,1,FALSE)</f>
        <v>CS1</v>
      </c>
      <c r="X40" s="366" t="str">
        <f>VLOOKUP("CS1",X1:X37,1,FALSE)</f>
        <v>CS1</v>
      </c>
      <c r="Y40" s="366" t="str">
        <f>VLOOKUP("CS1",Y8:Y37,1,FALSE)</f>
        <v>CS1</v>
      </c>
      <c r="Z40" s="366" t="str">
        <f>VLOOKUP("CS1",Z1:Z37,1,FALSE)</f>
        <v>CS1</v>
      </c>
      <c r="AA40" s="366" t="str">
        <f>VLOOKUP("CS1",AA1:AA37,1,FALSE)</f>
        <v>CS1</v>
      </c>
      <c r="AB40" s="366" t="str">
        <f>VLOOKUP("CS1",AB5:AB37,1,FALSE)</f>
        <v>CS1</v>
      </c>
      <c r="AC40" s="366" t="str">
        <f>VLOOKUP("CS1",AC1:AC37,1,FALSE)</f>
        <v>CS1</v>
      </c>
      <c r="AD40" s="366" t="str">
        <f>VLOOKUP("CS1",AD1:AD37,1,FALSE)</f>
        <v>CS1</v>
      </c>
      <c r="AE40" s="366" t="str">
        <f>VLOOKUP("CS1",AE1:AE37,1,FALSE)</f>
        <v>CS1</v>
      </c>
      <c r="AF40" s="366" t="str">
        <f>VLOOKUP("CS1",AF7:AF37,1,FALSE)</f>
        <v>CS1</v>
      </c>
      <c r="AG40" s="366" t="e">
        <f>VLOOKUP("CS1",AG1:AG37,1,FALSE)</f>
        <v>#N/A</v>
      </c>
      <c r="AH40" s="366" t="e">
        <f>VLOOKUP("CS1",AH1:AH37,1,FALSE)</f>
        <v>#N/A</v>
      </c>
      <c r="AI40" s="311"/>
      <c r="AJ40" s="312"/>
      <c r="AK40" s="311"/>
      <c r="AL40" s="313"/>
      <c r="AM40" s="313"/>
      <c r="AN40" s="313"/>
      <c r="AO40" s="313"/>
      <c r="AP40" s="313"/>
      <c r="AQ40" s="313"/>
      <c r="AR40" s="313"/>
      <c r="AS40" s="313"/>
      <c r="AT40" s="313"/>
      <c r="AU40" s="313"/>
      <c r="AV40" s="313"/>
      <c r="AW40" s="313"/>
      <c r="AX40" s="313"/>
      <c r="AY40" s="313"/>
      <c r="AZ40" s="313"/>
      <c r="BA40" s="313"/>
      <c r="BB40" s="313"/>
      <c r="BC40" s="313"/>
      <c r="BD40" s="313"/>
      <c r="BE40" s="313"/>
      <c r="BF40" s="313"/>
      <c r="BG40" s="313"/>
      <c r="BH40" s="313"/>
      <c r="BI40" s="313"/>
      <c r="BJ40" s="313"/>
      <c r="BK40" s="313"/>
      <c r="BL40" s="313"/>
      <c r="BM40" s="313"/>
      <c r="BN40" s="313"/>
      <c r="BO40" s="313"/>
      <c r="BP40" s="313"/>
      <c r="BQ40" s="314"/>
    </row>
    <row r="41" ht="19.5" customHeight="1" spans="1:69">
      <c r="A41" s="309"/>
      <c r="B41" s="369" t="s">
        <v>59</v>
      </c>
      <c r="C41" s="366" t="str">
        <f>VLOOKUP("CS2",C6:C37,1,FALSE)</f>
        <v>CS2</v>
      </c>
      <c r="D41" s="366" t="str">
        <f>VLOOKUP("CS2",D9:D37,1,FALSE)</f>
        <v>CS2</v>
      </c>
      <c r="E41" s="366" t="e">
        <f>VLOOKUP("CS2",E8:E37,1,FALSE)</f>
        <v>#N/A</v>
      </c>
      <c r="F41" s="366" t="str">
        <f>VLOOKUP("CS2",F8:F37,1,FALSE)</f>
        <v>CS2</v>
      </c>
      <c r="G41" s="366" t="str">
        <f>VLOOKUP("CS2",G1:G37,1,FALSE)</f>
        <v>CS2</v>
      </c>
      <c r="H41" s="366" t="str">
        <f>VLOOKUP("CS2",H1:H37,1,FALSE)</f>
        <v>CS2</v>
      </c>
      <c r="I41" s="366" t="str">
        <f>VLOOKUP("CS2",I7:I37,1,FALSE)</f>
        <v>CS2</v>
      </c>
      <c r="J41" s="366" t="str">
        <f>VLOOKUP("CS2",J4:J37,1,FALSE)</f>
        <v>CS2</v>
      </c>
      <c r="K41" s="366" t="str">
        <f>VLOOKUP("CS2",K5:K37,1,FALSE)</f>
        <v>CS2</v>
      </c>
      <c r="L41" s="366" t="str">
        <f>VLOOKUP("CS2",L4:L37,1,FALSE)</f>
        <v>CS2</v>
      </c>
      <c r="M41" s="366" t="str">
        <f>VLOOKUP("CS2",M1:M23,1,FALSE)</f>
        <v>CS2</v>
      </c>
      <c r="N41" s="366" t="str">
        <f>VLOOKUP("CS2",N1:N37,1,FALSE)</f>
        <v>CS2</v>
      </c>
      <c r="O41" s="366" t="str">
        <f>VLOOKUP("CS2",O1:O37,1,FALSE)</f>
        <v>CS2</v>
      </c>
      <c r="P41" s="366" t="str">
        <f>VLOOKUP("CS2",P1:P37,1,FALSE)</f>
        <v>CS2</v>
      </c>
      <c r="Q41" s="366" t="str">
        <f>VLOOKUP("CS2",Q6:Q26,1,FALSE)</f>
        <v>CS2</v>
      </c>
      <c r="R41" s="366" t="str">
        <f>VLOOKUP("CS2",R6:R21,1,FALSE)</f>
        <v>CS2</v>
      </c>
      <c r="S41" s="366" t="str">
        <f>VLOOKUP("CS2",S1:S37,1,FALSE)</f>
        <v>CS2</v>
      </c>
      <c r="T41" s="366" t="str">
        <f>VLOOKUP("CS2",T1:T37,1,FALSE)</f>
        <v>CS2</v>
      </c>
      <c r="U41" s="366" t="str">
        <f>VLOOKUP("CS2",U1:U37,1,FALSE)</f>
        <v>CS2</v>
      </c>
      <c r="V41" s="367" t="str">
        <f>VLOOKUP("CS2",V1:V35,1,FALSE)</f>
        <v>CS2</v>
      </c>
      <c r="W41" s="366" t="str">
        <f>VLOOKUP("CS2",W1:W35,1,FALSE)</f>
        <v>CS2</v>
      </c>
      <c r="X41" s="366" t="str">
        <f>VLOOKUP("CS2",X8:X37,1,FALSE)</f>
        <v>CS2</v>
      </c>
      <c r="Y41" s="366" t="str">
        <f>VLOOKUP("CS2",Y1:Y37,1,FALSE)</f>
        <v>CS2</v>
      </c>
      <c r="Z41" s="366" t="str">
        <f>VLOOKUP("CS2",Z1:Z37,1,FALSE)</f>
        <v>CS2</v>
      </c>
      <c r="AA41" s="366" t="str">
        <f>VLOOKUP("CS2",AA1:AA37,1,FALSE)</f>
        <v>CS2</v>
      </c>
      <c r="AB41" s="366" t="str">
        <f>VLOOKUP("CS2",AB1:AB37,1,FALSE)</f>
        <v>CS2</v>
      </c>
      <c r="AC41" s="366" t="str">
        <f>VLOOKUP("CS2",AC8:AC37,1,FALSE)</f>
        <v>CS2</v>
      </c>
      <c r="AD41" s="366" t="str">
        <f>VLOOKUP("CS2",AD1:AD37,1,FALSE)</f>
        <v>CS2</v>
      </c>
      <c r="AE41" s="366" t="str">
        <f>VLOOKUP("CS2",AE1:AE37,1,FALSE)</f>
        <v>CS2</v>
      </c>
      <c r="AF41" s="366" t="str">
        <f>VLOOKUP("CS2",AF1:AF37,1,FALSE)</f>
        <v>CS2</v>
      </c>
      <c r="AG41" s="366" t="e">
        <f>VLOOKUP("CS2",AG7:AG37,1,FALSE)</f>
        <v>#N/A</v>
      </c>
      <c r="AH41" s="366" t="e">
        <f>VLOOKUP("CS2",AH7:AH37,1,FALSE)</f>
        <v>#N/A</v>
      </c>
      <c r="AI41" s="311"/>
      <c r="AJ41" s="312"/>
      <c r="AK41" s="311"/>
      <c r="AL41" s="313"/>
      <c r="AM41" s="313"/>
      <c r="AN41" s="313"/>
      <c r="AO41" s="313"/>
      <c r="AP41" s="313"/>
      <c r="AQ41" s="313"/>
      <c r="AR41" s="313"/>
      <c r="AS41" s="313"/>
      <c r="AT41" s="313"/>
      <c r="AU41" s="313"/>
      <c r="AV41" s="313"/>
      <c r="AW41" s="313"/>
      <c r="AX41" s="313"/>
      <c r="AY41" s="313"/>
      <c r="AZ41" s="313"/>
      <c r="BA41" s="313"/>
      <c r="BB41" s="313"/>
      <c r="BC41" s="313"/>
      <c r="BD41" s="313"/>
      <c r="BE41" s="313"/>
      <c r="BF41" s="313"/>
      <c r="BG41" s="313"/>
      <c r="BH41" s="313"/>
      <c r="BI41" s="313"/>
      <c r="BJ41" s="313"/>
      <c r="BK41" s="313"/>
      <c r="BL41" s="313"/>
      <c r="BM41" s="313"/>
      <c r="BN41" s="313"/>
      <c r="BO41" s="313"/>
      <c r="BP41" s="313"/>
      <c r="BQ41" s="314"/>
    </row>
    <row r="42" ht="19.5" customHeight="1" spans="1:69">
      <c r="A42" s="309"/>
      <c r="B42" s="370" t="s">
        <v>58</v>
      </c>
      <c r="C42" s="366" t="str">
        <f>VLOOKUP("SB1",C6:C37,1,FALSE)</f>
        <v>SB1</v>
      </c>
      <c r="D42" s="366" t="str">
        <f>VLOOKUP("SB1",D3:D37,1,FALSE)</f>
        <v>SB1</v>
      </c>
      <c r="E42" s="366" t="str">
        <f>VLOOKUP("SB1",E1:E37,1,FALSE)</f>
        <v>SB1</v>
      </c>
      <c r="F42" s="366" t="str">
        <f>VLOOKUP("SB1",F8:F37,1,FALSE)</f>
        <v>SB1</v>
      </c>
      <c r="G42" s="366" t="str">
        <f>VLOOKUP("SB1",G6:G37,1,FALSE)</f>
        <v>SB1</v>
      </c>
      <c r="H42" s="366" t="e">
        <f>VLOOKUP("SB1",H6:H37,1,FALSE)</f>
        <v>#N/A</v>
      </c>
      <c r="I42" s="366" t="e">
        <f>VLOOKUP("SB1",I1:I37,1,FALSE)</f>
        <v>#N/A</v>
      </c>
      <c r="J42" s="366" t="e">
        <f>VLOOKUP("SB1",J4:J37,1,FALSE)</f>
        <v>#N/A</v>
      </c>
      <c r="K42" s="366" t="e">
        <f>VLOOKUP("SB1",K6:K37,1,FALSE)</f>
        <v>#N/A</v>
      </c>
      <c r="L42" s="366" t="e">
        <f>VLOOKUP("SB1",L1:L37,1,FALSE)</f>
        <v>#N/A</v>
      </c>
      <c r="M42" s="366" t="e">
        <f>VLOOKUP("SB1",M1:M23,1,FALSE)</f>
        <v>#N/A</v>
      </c>
      <c r="N42" s="366" t="e">
        <f>VLOOKUP("SB1",N6:N37,1,FALSE)</f>
        <v>#N/A</v>
      </c>
      <c r="O42" s="366" t="e">
        <f>VLOOKUP("SB1",O1:O37,1,FALSE)</f>
        <v>#N/A</v>
      </c>
      <c r="P42" s="366" t="e">
        <f>VLOOKUP("SB1",P1:P37,1,FALSE)</f>
        <v>#N/A</v>
      </c>
      <c r="Q42" s="366" t="e">
        <f>VLOOKUP("SB1",Q1:Q26,1,FALSE)</f>
        <v>#N/A</v>
      </c>
      <c r="R42" s="366" t="e">
        <f>VLOOKUP("SB1",R6:R30,1,FALSE)</f>
        <v>#N/A</v>
      </c>
      <c r="S42" s="366" t="e">
        <f>VLOOKUP("SB1",S1:S37,1,FALSE)</f>
        <v>#N/A</v>
      </c>
      <c r="T42" s="366" t="e">
        <f>VLOOKUP("SB1",T8:T37,1,FALSE)</f>
        <v>#N/A</v>
      </c>
      <c r="U42" s="366" t="e">
        <f>VLOOKUP("SB1",U1:U37,1,FALSE)</f>
        <v>#N/A</v>
      </c>
      <c r="V42" s="367" t="e">
        <f>VLOOKUP("SB1",V10:V31,1,FALSE)</f>
        <v>#N/A</v>
      </c>
      <c r="W42" s="366" t="e">
        <f>VLOOKUP("SB1",W5:W21,1,FALSE)</f>
        <v>#N/A</v>
      </c>
      <c r="X42" s="366" t="e">
        <f>VLOOKUP("SB1",X6:X37,1,FALSE)</f>
        <v>#N/A</v>
      </c>
      <c r="Y42" s="366" t="e">
        <f>VLOOKUP("SB1",Y1:Y37,1,FALSE)</f>
        <v>#N/A</v>
      </c>
      <c r="Z42" s="366" t="e">
        <f>VLOOKUP("SB1",Z7:Z37,1,FALSE)</f>
        <v>#N/A</v>
      </c>
      <c r="AA42" s="366" t="e">
        <f>VLOOKUP("SB1",AA1:AA37,1,FALSE)</f>
        <v>#N/A</v>
      </c>
      <c r="AB42" s="366" t="e">
        <f>VLOOKUP("SB1",AB1:AB37,1,FALSE)</f>
        <v>#N/A</v>
      </c>
      <c r="AC42" s="366" t="e">
        <f>VLOOKUP("SB1",AC1:AC37,1,FALSE)</f>
        <v>#N/A</v>
      </c>
      <c r="AD42" s="366" t="e">
        <f>VLOOKUP("SB1",AD8:AD37,1,FALSE)</f>
        <v>#N/A</v>
      </c>
      <c r="AE42" s="366" t="e">
        <f>VLOOKUP("SB1",AE8:AE37,1,FALSE)</f>
        <v>#N/A</v>
      </c>
      <c r="AF42" s="366" t="e">
        <f>VLOOKUP("SB1",AF7:AF37,1,FALSE)</f>
        <v>#N/A</v>
      </c>
      <c r="AG42" s="366" t="e">
        <f>VLOOKUP("SB1",AG7:AG37,1,FALSE)</f>
        <v>#N/A</v>
      </c>
      <c r="AH42" s="366" t="e">
        <f>VLOOKUP("SB1",AH7:AH37,1,FALSE)</f>
        <v>#N/A</v>
      </c>
      <c r="AI42" s="311"/>
      <c r="AJ42" s="312"/>
      <c r="AK42" s="311"/>
      <c r="AL42" s="313"/>
      <c r="AM42" s="313"/>
      <c r="AN42" s="313"/>
      <c r="AO42" s="313"/>
      <c r="AP42" s="313"/>
      <c r="AQ42" s="313"/>
      <c r="AR42" s="313"/>
      <c r="AS42" s="313"/>
      <c r="AT42" s="313"/>
      <c r="AU42" s="313"/>
      <c r="AV42" s="313"/>
      <c r="AW42" s="313"/>
      <c r="AX42" s="313"/>
      <c r="AY42" s="313"/>
      <c r="AZ42" s="313"/>
      <c r="BA42" s="313"/>
      <c r="BB42" s="313"/>
      <c r="BC42" s="313"/>
      <c r="BD42" s="313"/>
      <c r="BE42" s="313"/>
      <c r="BF42" s="313"/>
      <c r="BG42" s="313"/>
      <c r="BH42" s="313"/>
      <c r="BI42" s="313"/>
      <c r="BJ42" s="313"/>
      <c r="BK42" s="313"/>
      <c r="BL42" s="313"/>
      <c r="BM42" s="313"/>
      <c r="BN42" s="313"/>
      <c r="BO42" s="313"/>
      <c r="BP42" s="313"/>
      <c r="BQ42" s="314"/>
    </row>
    <row r="43" ht="19.5" customHeight="1" spans="1:69">
      <c r="A43" s="309"/>
      <c r="B43" s="371" t="s">
        <v>93</v>
      </c>
      <c r="C43" s="366" t="e">
        <f>VLOOKUP("SB2",C6:C37,1,FALSE)</f>
        <v>#N/A</v>
      </c>
      <c r="D43" s="366" t="str">
        <f>VLOOKUP("SB2",D9:D37,1,FALSE)</f>
        <v>SB2</v>
      </c>
      <c r="E43" s="366" t="str">
        <f>VLOOKUP("SB2",E8:E37,1,FALSE)</f>
        <v>SB2</v>
      </c>
      <c r="F43" s="366" t="str">
        <f>VLOOKUP("SB2",F1:F37,1,FALSE)</f>
        <v>SB2</v>
      </c>
      <c r="G43" s="366" t="str">
        <f>VLOOKUP("SB2",G8:G37,1,FALSE)</f>
        <v>SB2</v>
      </c>
      <c r="H43" s="366" t="str">
        <f>VLOOKUP("SB2",H6:H37,1,FALSE)</f>
        <v>SB2</v>
      </c>
      <c r="I43" s="366" t="e">
        <f>VLOOKUP("SB2",I7:I37,1,FALSE)</f>
        <v>#N/A</v>
      </c>
      <c r="J43" s="366" t="e">
        <f>VLOOKUP("SB2",J4:J37,1,FALSE)</f>
        <v>#N/A</v>
      </c>
      <c r="K43" s="366" t="str">
        <f>VLOOKUP("SB2",K6:K37,1,FALSE)</f>
        <v>SB2</v>
      </c>
      <c r="L43" s="366" t="e">
        <f>VLOOKUP("SB2",L11:L37,1,FALSE)</f>
        <v>#N/A</v>
      </c>
      <c r="M43" s="366" t="str">
        <f>VLOOKUP("SB2",M8:M41,1,FALSE)</f>
        <v>SB2</v>
      </c>
      <c r="N43" s="366" t="str">
        <f>VLOOKUP("SB2",N6:N37,1,FALSE)</f>
        <v>SB2</v>
      </c>
      <c r="O43" s="366" t="str">
        <f>VLOOKUP("SB2",O8:O37,1,FALSE)</f>
        <v>SB2</v>
      </c>
      <c r="P43" s="366" t="e">
        <f>VLOOKUP("SB2",P8:P37,1,FALSE)</f>
        <v>#N/A</v>
      </c>
      <c r="Q43" s="366" t="e">
        <f>VLOOKUP("SB2",Q11:Q36,1,FALSE)</f>
        <v>#N/A</v>
      </c>
      <c r="R43" s="366" t="str">
        <f>VLOOKUP("SB2",R6:R36,1,FALSE)</f>
        <v>SB2</v>
      </c>
      <c r="S43" s="366" t="str">
        <f>VLOOKUP("SB2",S9:S37,1,FALSE)</f>
        <v>SB2</v>
      </c>
      <c r="T43" s="366" t="str">
        <f>VLOOKUP("SB2",T8:T37,1,FALSE)</f>
        <v>SB2</v>
      </c>
      <c r="U43" s="366" t="str">
        <f>VLOOKUP("SB2",U10:U37,1,FALSE)</f>
        <v>SB2</v>
      </c>
      <c r="V43" s="367" t="str">
        <f>VLOOKUP("SB2",V5:V37,1,FALSE)</f>
        <v>SB2</v>
      </c>
      <c r="W43" s="366" t="e">
        <f>VLOOKUP("SB2",W12:W36,1,FALSE)</f>
        <v>#N/A</v>
      </c>
      <c r="X43" s="366" t="e">
        <f>VLOOKUP("SB2",X8:X37,1,FALSE)</f>
        <v>#N/A</v>
      </c>
      <c r="Y43" s="366" t="str">
        <f>VLOOKUP("SB2",Y8:Y37,1,FALSE)</f>
        <v>SB2</v>
      </c>
      <c r="Z43" s="366" t="str">
        <f>VLOOKUP("SB2",Z7:Z37,1,FALSE)</f>
        <v>SB2</v>
      </c>
      <c r="AA43" s="366" t="str">
        <f>VLOOKUP("SB2",AA11:AA37,1,FALSE)</f>
        <v>SB2</v>
      </c>
      <c r="AB43" s="366" t="str">
        <f>VLOOKUP("SB2",AB9:AB37,1,FALSE)</f>
        <v>SB2</v>
      </c>
      <c r="AC43" s="366" t="str">
        <f>VLOOKUP("SB2",AC11:AC37,1,FALSE)</f>
        <v>SB2</v>
      </c>
      <c r="AD43" s="366" t="e">
        <f>VLOOKUP("SB2",AD8:AD37,1,FALSE)</f>
        <v>#N/A</v>
      </c>
      <c r="AE43" s="366" t="e">
        <f>VLOOKUP("SB2",AE8:AE37,1,FALSE)</f>
        <v>#N/A</v>
      </c>
      <c r="AF43" s="366" t="str">
        <f>VLOOKUP("SB2",AF7:AF37,1,FALSE)</f>
        <v>SB2</v>
      </c>
      <c r="AG43" s="366" t="e">
        <f>VLOOKUP("SB2",AG7:AG37,1,FALSE)</f>
        <v>#N/A</v>
      </c>
      <c r="AH43" s="366" t="e">
        <f>VLOOKUP("SB2",AH7:AH37,1,FALSE)</f>
        <v>#N/A</v>
      </c>
      <c r="AI43" s="311"/>
      <c r="AJ43" s="312"/>
      <c r="AK43" s="311"/>
      <c r="AL43" s="313"/>
      <c r="AM43" s="313"/>
      <c r="AN43" s="313"/>
      <c r="AO43" s="313"/>
      <c r="AP43" s="313"/>
      <c r="AQ43" s="313"/>
      <c r="AR43" s="313"/>
      <c r="AS43" s="313"/>
      <c r="AT43" s="313"/>
      <c r="AU43" s="313"/>
      <c r="AV43" s="313"/>
      <c r="AW43" s="313"/>
      <c r="AX43" s="313"/>
      <c r="AY43" s="313"/>
      <c r="AZ43" s="313"/>
      <c r="BA43" s="313"/>
      <c r="BB43" s="313"/>
      <c r="BC43" s="313"/>
      <c r="BD43" s="313"/>
      <c r="BE43" s="313"/>
      <c r="BF43" s="313"/>
      <c r="BG43" s="313"/>
      <c r="BH43" s="313"/>
      <c r="BI43" s="313"/>
      <c r="BJ43" s="313"/>
      <c r="BK43" s="313"/>
      <c r="BL43" s="313"/>
      <c r="BM43" s="313"/>
      <c r="BN43" s="313"/>
      <c r="BO43" s="313"/>
      <c r="BP43" s="313"/>
      <c r="BQ43" s="314"/>
    </row>
    <row r="44" ht="19.5" customHeight="1" spans="1:69">
      <c r="A44" s="309"/>
      <c r="B44" s="372" t="s">
        <v>65</v>
      </c>
      <c r="C44" s="366" t="str">
        <f>VLOOKUP("AE",C6:C37,1,FALSE)</f>
        <v>AE</v>
      </c>
      <c r="D44" s="366" t="str">
        <f>VLOOKUP("AE",D9:D37,1,FALSE)</f>
        <v>AE</v>
      </c>
      <c r="E44" s="366" t="str">
        <f>VLOOKUP("AE",E8:E37,1,FALSE)</f>
        <v>AE</v>
      </c>
      <c r="F44" s="366" t="str">
        <f>VLOOKUP("AE",F1:F37,1,FALSE)</f>
        <v>AE</v>
      </c>
      <c r="G44" s="366" t="str">
        <f>VLOOKUP("AE",G1:G37,1,FALSE)</f>
        <v>AE</v>
      </c>
      <c r="H44" s="366" t="str">
        <f>VLOOKUP("AE",H8:H37,1,FALSE)</f>
        <v>AE</v>
      </c>
      <c r="I44" s="366" t="str">
        <f>VLOOKUP("AE",I7:I37,1,FALSE)</f>
        <v>AE</v>
      </c>
      <c r="J44" s="366" t="str">
        <f>VLOOKUP("AE",J4:J37,1,FALSE)</f>
        <v>AE</v>
      </c>
      <c r="K44" s="366" t="str">
        <f>VLOOKUP("AE",K6:K37,1,FALSE)</f>
        <v>AE</v>
      </c>
      <c r="L44" s="366" t="str">
        <f>VLOOKUP("AE",L11:L37,1,FALSE)</f>
        <v>AE</v>
      </c>
      <c r="M44" s="366" t="str">
        <f>VLOOKUP("AE",M8:M41,1,FALSE)</f>
        <v>AE</v>
      </c>
      <c r="N44" s="366" t="str">
        <f>VLOOKUP("AE",N6:N37,1,FALSE)</f>
        <v>AE</v>
      </c>
      <c r="O44" s="366" t="str">
        <f>VLOOKUP("AE",O8:O37,1,FALSE)</f>
        <v>AE</v>
      </c>
      <c r="P44" s="366" t="str">
        <f>VLOOKUP("AE",P8:P37,1,FALSE)</f>
        <v>AE</v>
      </c>
      <c r="Q44" s="366" t="str">
        <f>VLOOKUP("AE",Q11:Q44,1,FALSE)</f>
        <v>AE</v>
      </c>
      <c r="R44" s="366" t="str">
        <f>VLOOKUP("AE",R6:R35,1,FALSE)</f>
        <v>AE</v>
      </c>
      <c r="S44" s="366" t="str">
        <f>VLOOKUP("AE",S9:S37,1,FALSE)</f>
        <v>AE</v>
      </c>
      <c r="T44" s="366" t="str">
        <f>VLOOKUP("AE",T8:T37,1,FALSE)</f>
        <v>AE</v>
      </c>
      <c r="U44" s="366" t="str">
        <f>VLOOKUP("AE",U10:U37,1,FALSE)</f>
        <v>AE</v>
      </c>
      <c r="V44" s="367" t="str">
        <f>VLOOKUP("AE",V10:V39,1,FALSE)</f>
        <v>AE</v>
      </c>
      <c r="W44" s="366" t="str">
        <f>VLOOKUP("AE",W12:W37,1,FALSE)</f>
        <v>AE</v>
      </c>
      <c r="X44" s="366" t="str">
        <f>VLOOKUP("AE",X8:X37,1,FALSE)</f>
        <v>AE</v>
      </c>
      <c r="Y44" s="366" t="str">
        <f>VLOOKUP("AE",Y8:Y37,1,FALSE)</f>
        <v>AE</v>
      </c>
      <c r="Z44" s="366" t="str">
        <f>VLOOKUP("AE",Z7:Z37,1,FALSE)</f>
        <v>AE</v>
      </c>
      <c r="AA44" s="366" t="str">
        <f>VLOOKUP("AE",AA11:AA37,1,FALSE)</f>
        <v>AE</v>
      </c>
      <c r="AB44" s="366" t="str">
        <f>VLOOKUP("AE",AB9:AB37,1,FALSE)</f>
        <v>AE</v>
      </c>
      <c r="AC44" s="366" t="str">
        <f>VLOOKUP("AE",AC11:AC37,1,FALSE)</f>
        <v>AE</v>
      </c>
      <c r="AD44" s="366" t="str">
        <f>VLOOKUP("AE",AD8:AD37,1,FALSE)</f>
        <v>AE</v>
      </c>
      <c r="AE44" s="366" t="str">
        <f>VLOOKUP("AE",AE8:AE37,1,FALSE)</f>
        <v>AE</v>
      </c>
      <c r="AF44" s="366" t="str">
        <f>VLOOKUP("AE",AF7:AF37,1,FALSE)</f>
        <v>AE</v>
      </c>
      <c r="AG44" s="366" t="e">
        <f>VLOOKUP("AE",AG7:AG37,1,FALSE)</f>
        <v>#N/A</v>
      </c>
      <c r="AH44" s="366" t="e">
        <f>VLOOKUP("AE",AH7:AH37,1,FALSE)</f>
        <v>#N/A</v>
      </c>
      <c r="AI44" s="311"/>
      <c r="AJ44" s="312"/>
      <c r="AK44" s="311"/>
      <c r="AL44" s="313"/>
      <c r="AM44" s="313"/>
      <c r="AN44" s="313"/>
      <c r="AO44" s="313"/>
      <c r="AP44" s="313"/>
      <c r="AQ44" s="313"/>
      <c r="AR44" s="313"/>
      <c r="AS44" s="313"/>
      <c r="AT44" s="313"/>
      <c r="AU44" s="313"/>
      <c r="AV44" s="313"/>
      <c r="AW44" s="313"/>
      <c r="AX44" s="313"/>
      <c r="AY44" s="313"/>
      <c r="AZ44" s="313"/>
      <c r="BA44" s="313"/>
      <c r="BB44" s="313"/>
      <c r="BC44" s="313"/>
      <c r="BD44" s="313"/>
      <c r="BE44" s="313"/>
      <c r="BF44" s="313"/>
      <c r="BG44" s="313"/>
      <c r="BH44" s="313"/>
      <c r="BI44" s="313"/>
      <c r="BJ44" s="313"/>
      <c r="BK44" s="313"/>
      <c r="BL44" s="313"/>
      <c r="BM44" s="313"/>
      <c r="BN44" s="313"/>
      <c r="BO44" s="313"/>
      <c r="BP44" s="313"/>
      <c r="BQ44" s="314"/>
    </row>
  </sheetData>
  <mergeCells count="1">
    <mergeCell ref="C1:S1"/>
  </mergeCells>
  <conditionalFormatting sqref="O8">
    <cfRule type="expression" dxfId="136" priority="1">
      <formula>WEEKDAY(Q$3,2)&gt;5</formula>
    </cfRule>
  </conditionalFormatting>
  <conditionalFormatting sqref="T16">
    <cfRule type="expression" dxfId="136" priority="9">
      <formula>WEEKDAY(V$3,2)&gt;5</formula>
    </cfRule>
  </conditionalFormatting>
  <conditionalFormatting sqref="R20">
    <cfRule type="expression" dxfId="136" priority="2">
      <formula>WEEKDAY(U$3,2)&gt;5</formula>
    </cfRule>
    <cfRule type="expression" dxfId="136" priority="3">
      <formula>WEEKDAY(V$3,2)&gt;5</formula>
    </cfRule>
  </conditionalFormatting>
  <conditionalFormatting sqref="D21">
    <cfRule type="expression" dxfId="136" priority="6">
      <formula>WEEKDAY(G$3,2)&gt;5</formula>
    </cfRule>
    <cfRule type="expression" dxfId="136" priority="7">
      <formula>WEEKDAY(F$3,2)&gt;5</formula>
    </cfRule>
  </conditionalFormatting>
  <conditionalFormatting sqref="X21">
    <cfRule type="expression" dxfId="136" priority="10">
      <formula>WEEKDAY(AA$3,2)&gt;5</formula>
    </cfRule>
    <cfRule type="expression" dxfId="136" priority="11">
      <formula>WEEKDAY(Z$3,2)&gt;5</formula>
    </cfRule>
  </conditionalFormatting>
  <conditionalFormatting sqref="P27">
    <cfRule type="expression" dxfId="136" priority="4">
      <formula>WEEKDAY(R$3,2)&gt;5</formula>
    </cfRule>
    <cfRule type="expression" dxfId="136" priority="5">
      <formula>WEEKDAY(S$3,2)&gt;5</formula>
    </cfRule>
  </conditionalFormatting>
  <conditionalFormatting sqref="AF27">
    <cfRule type="expression" dxfId="136" priority="12">
      <formula>WEEKDAY(AG$3,2)&gt;5</formula>
    </cfRule>
    <cfRule type="expression" dxfId="136" priority="13">
      <formula>WEEKDAY(AF$3,2)&gt;5</formula>
    </cfRule>
  </conditionalFormatting>
  <conditionalFormatting sqref="K24:K25">
    <cfRule type="expression" dxfId="136" priority="15">
      <formula>WEEKDAY(M$3,2)&gt;5</formula>
    </cfRule>
  </conditionalFormatting>
  <conditionalFormatting sqref="A1:BQ44">
    <cfRule type="cellIs" dxfId="155" priority="82" operator="equal">
      <formula>"RESERVE"</formula>
    </cfRule>
  </conditionalFormatting>
  <conditionalFormatting sqref="T2:X37 C3:S37 Y3:AH37">
    <cfRule type="expression" dxfId="136" priority="75">
      <formula>WEEKDAY(T$3,2)&gt;5</formula>
    </cfRule>
  </conditionalFormatting>
  <conditionalFormatting sqref="J4:J44 AA4:AA44 C5:I44 K5:Z44 AB5:AH44">
    <cfRule type="cellIs" dxfId="137" priority="60" operator="equal">
      <formula>"B"</formula>
    </cfRule>
    <cfRule type="cellIs" dxfId="137" priority="61" operator="equal">
      <formula>"AL"</formula>
    </cfRule>
    <cfRule type="cellIs" dxfId="138" priority="62" operator="equal">
      <formula>"DM"</formula>
    </cfRule>
    <cfRule type="cellIs" dxfId="139" priority="63" operator="equal">
      <formula>"CS1"</formula>
    </cfRule>
    <cfRule type="cellIs" dxfId="140" priority="64" operator="equal">
      <formula>"CS2"</formula>
    </cfRule>
    <cfRule type="cellIs" dxfId="141" priority="65" operator="equal">
      <formula>"SB1"</formula>
    </cfRule>
    <cfRule type="cellIs" dxfId="142" priority="66" operator="equal">
      <formula>"SB2"</formula>
    </cfRule>
    <cfRule type="cellIs" dxfId="143" priority="67" operator="equal">
      <formula>"AE"</formula>
    </cfRule>
  </conditionalFormatting>
  <conditionalFormatting sqref="J4:J37 AA4:AA37 C5:I37 K5:Z37 AB5:AH37">
    <cfRule type="cellIs" dxfId="137" priority="69" operator="equal">
      <formula>"DB"</formula>
    </cfRule>
    <cfRule type="containsText" dxfId="144" priority="70" operator="between" text="$AM">
      <formula>NOT(ISERROR(SEARCH("$AM",C4)))</formula>
    </cfRule>
    <cfRule type="containsText" dxfId="145" priority="71" operator="between" text="$PM">
      <formula>NOT(ISERROR(SEARCH("$PM",C4)))</formula>
    </cfRule>
    <cfRule type="containsText" dxfId="146" priority="72" operator="between" text="$L">
      <formula>NOT(ISERROR(SEARCH("$L",C4)))</formula>
    </cfRule>
    <cfRule type="containsText" dxfId="147" priority="73" operator="between" text="$BTP">
      <formula>NOT(ISERROR(SEARCH("$BTP",C4)))</formula>
    </cfRule>
    <cfRule type="containsText" dxfId="148" priority="74" operator="between" text="$M">
      <formula>NOT(ISERROR(SEARCH("$M",C4)))</formula>
    </cfRule>
    <cfRule type="containsText" dxfId="149" priority="76" operator="between" text="$N">
      <formula>NOT(ISERROR(SEARCH("$N",C4)))</formula>
    </cfRule>
    <cfRule type="containsText" dxfId="150" priority="77" operator="between" text="$FC">
      <formula>NOT(ISERROR(SEARCH("$FC",C4)))</formula>
    </cfRule>
    <cfRule type="containsText" dxfId="151" priority="78" operator="between" text="OAL">
      <formula>NOT(ISERROR(SEARCH("OAL",C4)))</formula>
    </cfRule>
    <cfRule type="containsText" dxfId="152" priority="79" operator="between" text="S+">
      <formula>NOT(ISERROR(SEARCH("S+",C4)))</formula>
    </cfRule>
    <cfRule type="containsText" dxfId="153" priority="80" operator="between" text="EX-D">
      <formula>NOT(ISERROR(SEARCH("EX-D",C4)))</formula>
    </cfRule>
  </conditionalFormatting>
  <conditionalFormatting sqref="J4:J22 C5:C21 D5:D17 E5:E20 F5:F25 G5:G21 H5:H9 I5:I25 K5:K17 L5:L27 M5:M26 N5:N21 O5:O24 P5:P8 Q5:Q25 R5:R21 S5:U25 V5:V14 W5:X22 Y5:Y25 Z5:AB36 AC5:AC26 AD5:AD24 AE5:AE33 AF5:AF21 AG5:AG22 AH5:AH21 P10:P14 H11:H21 P16:P22 V16:V25 D19:D23 K19:K21 E22:E25 C23 G23:G33 H23:H25 K23:K25 N23:N29 R23:R26 AH23 J24:J27 P24:P25 W24:X25 AF24:AF30 AG24:AG26 AD26:AD28 AH26 C27:F27 H27:H34 P27:P29 Q27:Q32 S27:S28 U27:V35 W27:W29 X27:X33 Y27:Y36 R28:R29 T28:T35 AC28:AC36 D29:D30 E29:E33 I29:I32 J29:M29 O29 F30:F33 AD30 AG30:AH30 J31:J32 N31 O31:O32 S31:S35 W31:W35 K32 L32:M33 P32 AD32:AD33 AF32 C33 R33 F35:G35 K35 Q35:R35 X35 AD35:AF35 AH35 U37">
    <cfRule type="containsText" dxfId="154" priority="81" operator="between" text="VACC">
      <formula>NOT(ISERROR(SEARCH("VACC",C4)))</formula>
    </cfRule>
  </conditionalFormatting>
  <conditionalFormatting sqref="C5:C35 D5:D14 E5:E15 F5:F14 H5:H9 I5:I7 J5:J9 K5 L5:L17 M5:Q8 R5:S9 T5:T11 U5 V5:W9 X5:X14 Y5:Y20 Z5 AA5:AA6 AB5 AC5:AD9 AF5 AG5:AG8 AH5:AH6 G6:G10 AE6 K7:K8 U7:U10 Z7:Z9 AF7:AF9 AA8:AB9 AE8:AE10 AH8 I9 K10:K16 N10:N15 O10:O11 AG10:AG13 AH10 H11:H14 I11 J11:J12 M11:M13 R11:S11 V11:V13 W11:W14 Z11:Z13 AA11:AA18 AB11:AB12 AC11 AD11:AD12 AF11 G12:G14 P12:P14 Q12:Q19 U12:U13 AE12:AE13 I13:I14 O13:O17 R13:T13 AF13 J14 AB14:AB15 T15:T16 Z15:Z18 AC15:AC17 AD15:AD18 AE15:AG17 AH15:AH16 F16:F23 G16:G21 H16 I16:I21 J16 M16:M17 R16:R17 U16:X18 D17 E17:E20 P17:P18 S17:S18 AB17:AB18 D19 H19:H21 J19:J21 L19 R19 AC19:AC23 AF19 K20:K21 M20:M26 N20 O20:O21 P20 T20:W20 X20:X21 Z20:AB20 AG20:AG21 AH20 D21:D22 L21:L26 R21 AD21:AF21 E22:E27 P22 Q22:Q24 V22:V24 W22 Y22 AA22:AA23 AB22 G23:G32 H23 I23:I24 K23:K26 N23:N24 R23:R24 T23:U23 AE23:AE24 J24 O24:P24 Z24:Z26 AG24:AG25 F25:F27 S25:S26 Y25 AA25 AF25 D26:D27 H26:J26 N26:N29 O26 P26:P27 Q26:R26 T26:U26 AD26:AD27 AF27 H28 AA28:AA29 AE28 D29:D30 E29 I29:I32 J29:M29 O29:Q29 V29:W29 X29:X31 Y29:Y30 Z29 AC29 H30:H34 T30 AE30:AE31 E31:F33 N31 O31:O32 AC31 M32 AA32 R33:S33 U33:V33 X33 Z33 AB33 AA34:AA35 F35:G35 K35 R35 U35 Y35 AF35 AH35">
    <cfRule type="cellIs" dxfId="137" priority="16" operator="equal">
      <formula>"B"</formula>
    </cfRule>
    <cfRule type="cellIs" dxfId="137" priority="17" operator="equal">
      <formula>"AL"</formula>
    </cfRule>
    <cfRule type="cellIs" dxfId="138" priority="18" operator="equal">
      <formula>"DM"</formula>
    </cfRule>
    <cfRule type="cellIs" dxfId="139" priority="19" operator="equal">
      <formula>"CS1"</formula>
    </cfRule>
    <cfRule type="cellIs" dxfId="140" priority="20" operator="equal">
      <formula>"CS2"</formula>
    </cfRule>
    <cfRule type="cellIs" dxfId="141" priority="21" operator="equal">
      <formula>"SB1"</formula>
    </cfRule>
    <cfRule type="cellIs" dxfId="142" priority="22" operator="equal">
      <formula>"SB2"</formula>
    </cfRule>
    <cfRule type="cellIs" dxfId="143" priority="23" operator="equal">
      <formula>"AE"</formula>
    </cfRule>
    <cfRule type="cellIs" dxfId="137" priority="24" operator="equal">
      <formula>"DB"</formula>
    </cfRule>
    <cfRule type="containsText" dxfId="144" priority="25" operator="between" text="$AM">
      <formula>NOT(ISERROR(SEARCH("$AM",C5)))</formula>
    </cfRule>
    <cfRule type="containsText" dxfId="145" priority="26" operator="between" text="$PM">
      <formula>NOT(ISERROR(SEARCH("$PM",C5)))</formula>
    </cfRule>
    <cfRule type="containsText" dxfId="146" priority="27" operator="between" text="$L">
      <formula>NOT(ISERROR(SEARCH("$L",C5)))</formula>
    </cfRule>
    <cfRule type="containsText" dxfId="147" priority="28" operator="between" text="$BTP">
      <formula>NOT(ISERROR(SEARCH("$BTP",C5)))</formula>
    </cfRule>
    <cfRule type="containsText" dxfId="148" priority="29" operator="between" text="$M">
      <formula>NOT(ISERROR(SEARCH("$M",C5)))</formula>
    </cfRule>
    <cfRule type="containsText" dxfId="149" priority="30" operator="between" text="$N">
      <formula>NOT(ISERROR(SEARCH("$N",C5)))</formula>
    </cfRule>
    <cfRule type="containsText" dxfId="150" priority="31" operator="between" text="$FC">
      <formula>NOT(ISERROR(SEARCH("$FC",C5)))</formula>
    </cfRule>
    <cfRule type="containsText" dxfId="151" priority="32" operator="between" text="OAL">
      <formula>NOT(ISERROR(SEARCH("OAL",C5)))</formula>
    </cfRule>
    <cfRule type="containsText" dxfId="152" priority="33" operator="between" text="S+">
      <formula>NOT(ISERROR(SEARCH("S+",C5)))</formula>
    </cfRule>
    <cfRule type="containsText" dxfId="153" priority="34" operator="between" text="EX-D">
      <formula>NOT(ISERROR(SEARCH("EX-D",C5)))</formula>
    </cfRule>
  </conditionalFormatting>
  <conditionalFormatting sqref="C5:C24 D5:D14 E5:E15 F5:F14 H5:H9 I5:I7 J5:J9 K5 L5:L17 M5:Q8 R5:S9 T5:T11 U5 V5:W9 X5:X14 Y5:Y11 Z5 AA5:AA6 AB5 AC5:AD9 AF5 AG5:AG8 AH5:AH6 G6:G10 AE6 K7:K8 U7:U10 Z7:Z9 AF7:AF9 AA8:AB9 AE8:AE10 AH8 I9 K10:K16 N10:N15 O10:O11 AG10:AG13 AH10 H11:H14 I11 J11:J12 M11:M13 R11:S11 V11:V13 W11:W14 Z11:Z13 AA11:AA18 AB11:AB12 AC11 AD11:AD12 AF11 G12:G14 P12:P14 Q12:Q19 U12:U13 AE12:AE13 I13:I14 O13:O15 R13:T13 Y13:Y17 AF13 J14 AB14:AB15 T15:T16 Z15:Z18 AC15:AC17 AD15:AD18 AE15:AG17 AH15:AH16 F16:F23 G16:G21 H16 I16:I21 J16 M16:M17 R16:R17 U16:U18 V16:V17 W16:W18 X16:X17 D17 E17:E29 O17 P17:P18 S17:S18 AB17:AB18 D19 H19:H21 J19:J21 L19 R19 Y19:Y20 AC19:AC23 AF19 K20:K21 P20 T20:W20 X20:X21 Z20:AB20 AG20:AG21 AH20 D21:D22 L21:M21 R21 AD21:AF21 P22:Q24 V22:V24 W22:W23 Y22 AA22:AA23 AB22 G23:G32 H23 I23:J24 K23:K29 L23:M26 N23:N24 R23:R24 T23:U23 AE23:AE24 O24:O26 Z24 AG24:AG26 F25:F28 S25:S26 Y25:Y26 AA25:AA26 AF25:AF28 C26:D27 H26:J26 N26:N29 P26:P27 Q26:R26 T26:X26 Z26 AB26:AC26 AD26:AD27 AE26 AH26 H28 J28:J32 O28:O29 R28:U28 W28:W29 Z28:AA29 AE28 D29:D30 I29:I32 L29:M29 P29:Q29 V29 X29:X31 Y29:Y30 AC29 H30:H34 T30 AE30:AE31 E31:F33 N31 O31:O32 AC31 L32:M33 Z32:Z33 AB32:AB33 AD32 C33 S33 U33:V33 X33 AA34:AA35 F35:G35 K35 R35 U35 AF35 AH35">
    <cfRule type="expression" dxfId="136" priority="35">
      <formula>WEEKDAY(#REF!,2)&gt;5</formula>
    </cfRule>
  </conditionalFormatting>
  <conditionalFormatting sqref="F5 W6:X6 AA6 U7 Z7:Z9 S9 V9:Y9 AA9:AB9 T11 Y11 AD11 C12 V12 Z12:AA13 AB12 T13:U13 Y13 T18 Y22 AB22 T23 AE23 AA24:AA25 S25 AF25 Z26 AD26:AD27 AE28 AE30:AE31 AH35">
    <cfRule type="expression" dxfId="136" priority="36">
      <formula>WEEKDAY(H$3,2)&gt;5</formula>
    </cfRule>
  </conditionalFormatting>
  <conditionalFormatting sqref="F5 C9 E11 C12 C19">
    <cfRule type="expression" dxfId="136" priority="38">
      <formula>WEEKDAY(H$3,2)&gt;5</formula>
    </cfRule>
  </conditionalFormatting>
  <conditionalFormatting sqref="C5:C21 D5:D17 E5:E20 F5:F25 G5:G21 H5:H9 I5:I25 J5:J22 K5:K17 L5:L27 M5:M26 N5:N21 O5:O24 P5:P8 Q5:Q25 R5:R21 S5:T25 U5:V14 W5:X22 Y5:Y25 Z5:AB36 AC5:AC26 AD5:AD24 AE5:AE33 AF5:AF21 AG5:AG22 AH5:AH21 P10:P14 H11:H21 P16:P22 U16:V25 D19:D23 K19:K21 E22:E25 C23 G23:G33 H23:H25 K23:K25 N23:N29 R23:R26 AH23 J24:J27 P24:P25 W24:X25 AF24:AF30 AG24:AG26 AD26:AD28 AH26 C27:F27 H27:H34 P27:P29 Q27:Q32 S27:S28 U27:V35 W27:W29 X27:X33 Y27:Y36 R28:R29 T28:T35 AC28:AC36 D29:D30 E29:E33 I29:I32 J29:M29 O29 F30:F33 AD30 AG30:AH30 J31:J32 N31 O31:O32 S31:S35 W31:W35 K32 L32:M33 P32 AD32:AD33 AF32 C33 R33 F35:G35 K35 Q35:R35 X35 AD35:AF35 AH35 U37">
    <cfRule type="cellIs" dxfId="137" priority="39" operator="equal">
      <formula>"B"</formula>
    </cfRule>
    <cfRule type="cellIs" dxfId="137" priority="40" operator="equal">
      <formula>"AL"</formula>
    </cfRule>
    <cfRule type="cellIs" dxfId="138" priority="41" operator="equal">
      <formula>"DM"</formula>
    </cfRule>
    <cfRule type="cellIs" dxfId="139" priority="42" operator="equal">
      <formula>"CS1"</formula>
    </cfRule>
    <cfRule type="cellIs" dxfId="140" priority="43" operator="equal">
      <formula>"CS2"</formula>
    </cfRule>
    <cfRule type="cellIs" dxfId="141" priority="44" operator="equal">
      <formula>"SB1"</formula>
    </cfRule>
    <cfRule type="cellIs" dxfId="142" priority="45" operator="equal">
      <formula>"SB2"</formula>
    </cfRule>
    <cfRule type="cellIs" dxfId="143" priority="46" operator="equal">
      <formula>"AE"</formula>
    </cfRule>
    <cfRule type="cellIs" dxfId="137" priority="48" operator="equal">
      <formula>"DB"</formula>
    </cfRule>
    <cfRule type="containsText" dxfId="144" priority="49" operator="between" text="$AM">
      <formula>NOT(ISERROR(SEARCH("$AM",C5)))</formula>
    </cfRule>
    <cfRule type="containsText" dxfId="145" priority="50" operator="between" text="$PM">
      <formula>NOT(ISERROR(SEARCH("$PM",C5)))</formula>
    </cfRule>
    <cfRule type="containsText" dxfId="146" priority="51" operator="between" text="$L">
      <formula>NOT(ISERROR(SEARCH("$L",C5)))</formula>
    </cfRule>
    <cfRule type="containsText" dxfId="147" priority="52" operator="between" text="$BTP">
      <formula>NOT(ISERROR(SEARCH("$BTP",C5)))</formula>
    </cfRule>
    <cfRule type="containsText" dxfId="148" priority="53" operator="between" text="$M">
      <formula>NOT(ISERROR(SEARCH("$M",C5)))</formula>
    </cfRule>
    <cfRule type="containsText" dxfId="149" priority="54" operator="between" text="$N">
      <formula>NOT(ISERROR(SEARCH("$N",C5)))</formula>
    </cfRule>
    <cfRule type="containsText" dxfId="150" priority="55" operator="between" text="$FC">
      <formula>NOT(ISERROR(SEARCH("$FC",C5)))</formula>
    </cfRule>
    <cfRule type="containsText" dxfId="151" priority="56" operator="between" text="OAL">
      <formula>NOT(ISERROR(SEARCH("OAL",C5)))</formula>
    </cfRule>
    <cfRule type="containsText" dxfId="152" priority="57" operator="between" text="S+">
      <formula>NOT(ISERROR(SEARCH("S+",C5)))</formula>
    </cfRule>
    <cfRule type="containsText" dxfId="153" priority="58" operator="between" text="EX-D">
      <formula>NOT(ISERROR(SEARCH("EX-D",C5)))</formula>
    </cfRule>
    <cfRule type="expression" dxfId="136" priority="59">
      <formula>WEEKDAY(#REF!,2)&gt;5</formula>
    </cfRule>
  </conditionalFormatting>
  <conditionalFormatting sqref="C5:C24 D5:D17 E5:E33 F5:F28 G5:G21 H5:H9 I5:I26 J5:J33 K5:K17 L5:L27 M5:M26 N5:N21 O5:O26 P5:P8 Q5:Q32 R5:R21 S5:S28 T5:T26 U5:V14 W5:W29 X5:X22 Y5:AB36 AC5:AC26 AD5:AD24 AE5:AE33 AF5:AF21 AG5:AG22 AH5:AH21 P10:P14 H11:H21 P16:P29 U16:V35 D19:D23 K19:K21 G23:G33 H23:H34 K23:K29 N23:N29 R23:R26 AH23 X24:X33 AF24:AF30 AG24:AG26 C26:D27 AD26:AD28 AH26 O28:O29 R28:R29 T28:T35 AC28:AC36 D29:D30 I29:I32 L29:M29 F30:F33 AD30 AG30:AH30 N31 O31:O32 S31:S35 W31:W35 K32 L32:M33 P32 AD32:AD33 AF32 C33 R33 F35:G35 K35 Q35:R35 X35 AD35:AF35 AH35 U37">
    <cfRule type="containsText" dxfId="154" priority="47" operator="between" text="VACC">
      <formula>NOT(ISERROR(SEARCH("VACC",C5)))</formula>
    </cfRule>
  </conditionalFormatting>
  <conditionalFormatting sqref="BP5:BQ37">
    <cfRule type="cellIs" dxfId="155" priority="68" operator="lessThan">
      <formula>1</formula>
    </cfRule>
  </conditionalFormatting>
  <conditionalFormatting sqref="W6:X6 AA6 U7 Z7:Z9 S9 V9:Y9 AA9:AB9 T11 Y11 AD11 V12 Z12:AA13 AB12 T13:U13 Y13 T18 Z18:AB18 G20 AC21 Y22 AB22 T23 AE23 F24 AA24:AA25 S25 AF25 Z26 AD26:AD27 AE28 AE30:AE31 AH35 U37">
    <cfRule type="expression" dxfId="136" priority="37">
      <formula>WEEKDAY(X$3,2)&gt;5</formula>
    </cfRule>
  </conditionalFormatting>
  <conditionalFormatting sqref="T16 G19:H19 C21 G21:H21">
    <cfRule type="expression" dxfId="136" priority="8">
      <formula>WEEKDAY(U$3,2)&gt;5</formula>
    </cfRule>
  </conditionalFormatting>
  <conditionalFormatting sqref="C17 C20">
    <cfRule type="expression" dxfId="136" priority="14">
      <formula>WEEKDAY(D$3,2)&gt;5</formula>
    </cfRule>
  </conditionalFormatting>
  <dataValidations count="2">
    <dataValidation type="list" allowBlank="1" sqref="C5:F5 H5:K5 M5:AA5 AC5:AH5 C6:O6 Q6:Y6 AA6:AE6 AG6:AH6 D7:AD7 AF7:AH7 C8:O8 R8:AH8 D9:J9 L9:S9 U9:AH9 C10 E10:O10 Q10:R10 T10:AH10 C11:J11 L11:O11 Q11:Z11 AB11:AH11 C12:H12 J12:K12 M12:R12 U12:Y12 AA12:AH12 C13:Z13 AB13:AD13 AF13:AH13 C14:R14 T14 V14:AH14 C15:L15 N15:U15 X15:AH15 C16 E16:N16 P16:AA16 AC16:AH16 C17:L17 N17:P17 R17:AG17 D18:E18 G18 J18:N18 P18 R18:T18 V18:AD18 C19:R19 T19:V19 X19:Y19 AA19:AD19 C20 E20:J20 L20:O20 R20 T20:AC20 AE20:AH20 C21:D21 F21:M21 O21:R21 T21:X21 AB21:AE21 D22:I22 K22:M22 P22:W22 Y22 AA22:AD22 C23 E23:Y23 AA23:AF23 AH23 C24:AH24 C25:M25 P25:AB25 AE25:AH25 C26:AE26 AG26:AH26 D27:H27 K27:L27 N27 P27 R27:S27 V27:Y27 AB27 AD27:AF27 C28:H28 J28:AA28 AC28:AH28 C29:R29 T29:AC29 AE29:AH29 G30:P30 S30:U30 X30:Z30 AB30 AD30:AH30 G31:K31 M31:O31 Q31 S31:W31 Y31:AA31 AC31 AE31:AH31 C32:J32 L32:M32 O32:X32 Z32:AD32 AF32:AG32 C33:I33 K33:M33 O33 Q33:S33 U33:V33 X33 Z33 AB33:AC33 AE33 AG33:AH33 C34:M34 O34:Y34 AA34:AH34 F35:G35 I35:N35 Q35:R35 T35:V35 X35:Y35 AA35 AC35:AD35 AF35:AH35 J36:L36 T36 V36 X36 AD36:AH36 C37:L37 S37:AH37 C30:E31 AG21:AH22 C35:D36 AF18:AH19 N36:P37" showDropDown="1">
      <formula1>'Setting key Duty'!$B$7:$B$56</formula1>
    </dataValidation>
    <dataValidation type="list" allowBlank="1" sqref="C38:AH44" showDropDown="1">
      <formula1>'Setting key Duty'!$B$7:$B$23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BQ49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C5" sqref="C5"/>
    </sheetView>
  </sheetViews>
  <sheetFormatPr defaultColWidth="12.6285714285714" defaultRowHeight="15.75" customHeight="1"/>
  <cols>
    <col min="1" max="1" width="2.13333333333333" customWidth="1"/>
    <col min="2" max="2" width="29.752380952381" customWidth="1"/>
    <col min="3" max="11" width="9.24761904761905" customWidth="1"/>
    <col min="12" max="12" width="9.38095238095238" customWidth="1"/>
    <col min="13" max="13" width="10.6285714285714" customWidth="1"/>
    <col min="14" max="14" width="9.24761904761905" customWidth="1"/>
    <col min="15" max="15" width="10" customWidth="1"/>
    <col min="16" max="16" width="10.752380952381" customWidth="1"/>
    <col min="17" max="17" width="10.247619047619" customWidth="1"/>
    <col min="18" max="18" width="9.62857142857143" customWidth="1"/>
    <col min="19" max="19" width="9.13333333333333" customWidth="1"/>
    <col min="20" max="26" width="9.24761904761905" customWidth="1"/>
    <col min="27" max="27" width="10.5047619047619" customWidth="1"/>
    <col min="28" max="30" width="9.24761904761905" customWidth="1"/>
    <col min="31" max="31" width="10.5047619047619" customWidth="1"/>
    <col min="32" max="32" width="9.38095238095238" customWidth="1"/>
    <col min="33" max="34" width="9.24761904761905" customWidth="1"/>
    <col min="35" max="41" width="9.38095238095238" hidden="1" customWidth="1" outlineLevel="1"/>
    <col min="42" max="42" width="6.75238095238095" customWidth="1" collapsed="1"/>
    <col min="43" max="43" width="8.87619047619048" customWidth="1" outlineLevel="1"/>
    <col min="44" max="44" width="7.87619047619048" customWidth="1" outlineLevel="1"/>
    <col min="45" max="45" width="9.13333333333333" customWidth="1" outlineLevel="1"/>
    <col min="46" max="46" width="8.24761904761905" customWidth="1" outlineLevel="1"/>
    <col min="47" max="47" width="5.5047619047619" customWidth="1" outlineLevel="1"/>
    <col min="48" max="50" width="9.38095238095238" customWidth="1"/>
    <col min="51" max="58" width="9.38095238095238" customWidth="1" outlineLevel="1"/>
    <col min="59" max="59" width="10" customWidth="1" outlineLevel="1"/>
    <col min="60" max="65" width="9.38095238095238" customWidth="1" outlineLevel="1"/>
    <col min="66" max="66" width="9.38095238095238" customWidth="1"/>
    <col min="67" max="67" width="9.5047619047619" customWidth="1"/>
    <col min="68" max="69" width="9.38095238095238" customWidth="1"/>
  </cols>
  <sheetData>
    <row r="1" ht="3" customHeight="1" spans="1:69">
      <c r="A1" s="284"/>
      <c r="B1" s="285" t="s">
        <v>0</v>
      </c>
      <c r="C1" s="286" t="str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>
  Enter DM for DM, CS1 for CS1, CS2 for CS2, and SB1 for SB1. Use the 'Setting key' tab to customise. Change Date on highlighted cell
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287"/>
      <c r="U1" s="287"/>
      <c r="V1" s="288"/>
      <c r="W1" s="287"/>
      <c r="X1" s="287"/>
      <c r="Y1" s="289"/>
      <c r="Z1" s="289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0"/>
      <c r="BE1" s="290"/>
      <c r="BF1" s="290"/>
      <c r="BG1" s="290"/>
      <c r="BH1" s="290"/>
      <c r="BI1" s="290"/>
      <c r="BJ1" s="290"/>
      <c r="BK1" s="290"/>
      <c r="BL1" s="290"/>
      <c r="BM1" s="290"/>
      <c r="BN1" s="290"/>
      <c r="BO1" s="290"/>
      <c r="BP1" s="290"/>
      <c r="BQ1" s="291"/>
    </row>
    <row r="2" ht="26.25" customHeight="1" spans="1:69">
      <c r="A2" s="292"/>
      <c r="B2" s="24" t="s">
        <v>1</v>
      </c>
      <c r="C2" s="167"/>
      <c r="D2" s="167" t="s">
        <v>503</v>
      </c>
      <c r="E2" s="167"/>
      <c r="F2" s="167" t="s">
        <v>504</v>
      </c>
      <c r="G2" s="167"/>
      <c r="H2" s="167"/>
      <c r="I2" s="167" t="s">
        <v>197</v>
      </c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8"/>
      <c r="U2" s="167"/>
      <c r="V2" s="293"/>
      <c r="W2" s="167"/>
      <c r="X2" s="167"/>
      <c r="Y2" s="167"/>
      <c r="Z2" s="167"/>
      <c r="AA2" s="294"/>
      <c r="AB2" s="167"/>
      <c r="AC2" s="167"/>
      <c r="AD2" s="167"/>
      <c r="AE2" s="167"/>
      <c r="AF2" s="167"/>
      <c r="AG2" s="167"/>
      <c r="AH2" s="258"/>
      <c r="AI2" s="218"/>
      <c r="AJ2" s="218"/>
      <c r="AK2" s="218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  <c r="AX2" s="295"/>
      <c r="AY2" s="295"/>
      <c r="AZ2" s="295"/>
      <c r="BA2" s="296" t="s">
        <v>16</v>
      </c>
      <c r="BB2" s="296"/>
      <c r="BC2" s="296" t="s">
        <v>17</v>
      </c>
      <c r="BD2" s="296"/>
      <c r="BE2" s="296" t="s">
        <v>18</v>
      </c>
      <c r="BF2" s="296"/>
      <c r="BG2" s="296"/>
      <c r="BH2" s="296" t="s">
        <v>19</v>
      </c>
      <c r="BI2" s="296"/>
      <c r="BJ2" s="296" t="s">
        <v>20</v>
      </c>
      <c r="BK2" s="296"/>
      <c r="BL2" s="296"/>
      <c r="BM2" s="296"/>
      <c r="BN2" s="295"/>
      <c r="BO2" s="295"/>
      <c r="BP2" s="295"/>
      <c r="BQ2" s="297"/>
    </row>
    <row r="3" ht="26.25" customHeight="1" spans="1:69">
      <c r="A3" s="292"/>
      <c r="B3" s="24" t="s">
        <v>21</v>
      </c>
      <c r="C3" s="298">
        <v>45839</v>
      </c>
      <c r="D3" s="299">
        <f t="shared" ref="D3:AH3" si="0">C3+1</f>
        <v>45840</v>
      </c>
      <c r="E3" s="299">
        <f t="shared" si="0"/>
        <v>45841</v>
      </c>
      <c r="F3" s="299">
        <f t="shared" si="0"/>
        <v>45842</v>
      </c>
      <c r="G3" s="299">
        <f t="shared" si="0"/>
        <v>45843</v>
      </c>
      <c r="H3" s="299">
        <f t="shared" si="0"/>
        <v>45844</v>
      </c>
      <c r="I3" s="299">
        <f t="shared" si="0"/>
        <v>45845</v>
      </c>
      <c r="J3" s="299">
        <f t="shared" si="0"/>
        <v>45846</v>
      </c>
      <c r="K3" s="299">
        <f t="shared" si="0"/>
        <v>45847</v>
      </c>
      <c r="L3" s="299">
        <f t="shared" si="0"/>
        <v>45848</v>
      </c>
      <c r="M3" s="299">
        <f t="shared" si="0"/>
        <v>45849</v>
      </c>
      <c r="N3" s="299">
        <f t="shared" si="0"/>
        <v>45850</v>
      </c>
      <c r="O3" s="299">
        <f t="shared" si="0"/>
        <v>45851</v>
      </c>
      <c r="P3" s="299">
        <f t="shared" si="0"/>
        <v>45852</v>
      </c>
      <c r="Q3" s="299">
        <f t="shared" si="0"/>
        <v>45853</v>
      </c>
      <c r="R3" s="299">
        <f t="shared" si="0"/>
        <v>45854</v>
      </c>
      <c r="S3" s="299">
        <f t="shared" si="0"/>
        <v>45855</v>
      </c>
      <c r="T3" s="300">
        <f t="shared" si="0"/>
        <v>45856</v>
      </c>
      <c r="U3" s="299">
        <f t="shared" si="0"/>
        <v>45857</v>
      </c>
      <c r="V3" s="301">
        <f t="shared" si="0"/>
        <v>45858</v>
      </c>
      <c r="W3" s="299">
        <f t="shared" si="0"/>
        <v>45859</v>
      </c>
      <c r="X3" s="299">
        <f t="shared" si="0"/>
        <v>45860</v>
      </c>
      <c r="Y3" s="299">
        <f t="shared" si="0"/>
        <v>45861</v>
      </c>
      <c r="Z3" s="299">
        <f t="shared" si="0"/>
        <v>45862</v>
      </c>
      <c r="AA3" s="299">
        <f t="shared" si="0"/>
        <v>45863</v>
      </c>
      <c r="AB3" s="299">
        <f t="shared" si="0"/>
        <v>45864</v>
      </c>
      <c r="AC3" s="299">
        <f t="shared" si="0"/>
        <v>45865</v>
      </c>
      <c r="AD3" s="299">
        <f t="shared" si="0"/>
        <v>45866</v>
      </c>
      <c r="AE3" s="299">
        <f t="shared" si="0"/>
        <v>45867</v>
      </c>
      <c r="AF3" s="299">
        <f t="shared" si="0"/>
        <v>45868</v>
      </c>
      <c r="AG3" s="300">
        <f t="shared" si="0"/>
        <v>45869</v>
      </c>
      <c r="AH3" s="299">
        <f t="shared" si="0"/>
        <v>45870</v>
      </c>
      <c r="AI3" s="221" t="str">
        <f>'Setting key Duty'!$C7</f>
        <v>DM</v>
      </c>
      <c r="AJ3" s="222" t="str">
        <f>'Setting key Duty'!$C8</f>
        <v>CS1</v>
      </c>
      <c r="AK3" s="223" t="str">
        <f>'Setting key Duty'!$C9</f>
        <v>CS2</v>
      </c>
      <c r="AL3" s="302" t="str">
        <f>'Setting key Duty'!$C11</f>
        <v>SB1</v>
      </c>
      <c r="AM3" s="302" t="str">
        <f>'Setting key Duty'!$C12</f>
        <v>SB2</v>
      </c>
      <c r="AN3" s="302" t="str">
        <f>'Setting key Duty'!$C13</f>
        <v>AE</v>
      </c>
      <c r="AO3" s="302" t="str">
        <f>'Setting key Duty'!C14</f>
        <v>EM</v>
      </c>
      <c r="AP3" s="223"/>
      <c r="AQ3" s="223" t="s">
        <v>22</v>
      </c>
      <c r="AR3" s="223" t="s">
        <v>23</v>
      </c>
      <c r="AS3" s="223" t="s">
        <v>24</v>
      </c>
      <c r="AT3" s="223" t="s">
        <v>25</v>
      </c>
      <c r="AU3" s="223" t="s">
        <v>26</v>
      </c>
      <c r="AV3" s="223" t="s">
        <v>27</v>
      </c>
      <c r="AW3" s="223" t="s">
        <v>28</v>
      </c>
      <c r="AX3" s="223" t="s">
        <v>29</v>
      </c>
      <c r="AY3" s="223" t="s">
        <v>30</v>
      </c>
      <c r="AZ3" s="223" t="s">
        <v>31</v>
      </c>
      <c r="BA3" s="302" t="s">
        <v>32</v>
      </c>
      <c r="BB3" s="302" t="s">
        <v>33</v>
      </c>
      <c r="BC3" s="302" t="s">
        <v>34</v>
      </c>
      <c r="BD3" s="302" t="s">
        <v>35</v>
      </c>
      <c r="BE3" s="302" t="s">
        <v>36</v>
      </c>
      <c r="BF3" s="302" t="s">
        <v>37</v>
      </c>
      <c r="BG3" s="302" t="s">
        <v>38</v>
      </c>
      <c r="BH3" s="302" t="s">
        <v>39</v>
      </c>
      <c r="BI3" s="302" t="s">
        <v>40</v>
      </c>
      <c r="BJ3" s="302" t="s">
        <v>41</v>
      </c>
      <c r="BK3" s="302" t="s">
        <v>42</v>
      </c>
      <c r="BL3" s="302" t="str">
        <f>'Setting key Duty'!C52</f>
        <v>Field Camp</v>
      </c>
      <c r="BM3" s="302" t="s">
        <v>43</v>
      </c>
      <c r="BN3" s="302" t="str">
        <f>'Setting key Duty'!$C15</f>
        <v>Block</v>
      </c>
      <c r="BO3" s="302" t="str">
        <f>'Setting key Duty'!C17</f>
        <v>Reserve</v>
      </c>
      <c r="BP3" s="302" t="str">
        <f>'Setting key Duty'!$C22</f>
        <v>AL</v>
      </c>
      <c r="BQ3" s="297"/>
    </row>
    <row r="4" ht="18" customHeight="1" spans="1:69">
      <c r="A4" s="303"/>
      <c r="B4" s="260" t="s">
        <v>156</v>
      </c>
      <c r="C4" s="304" t="str">
        <f t="shared" ref="C4:AH4" si="1">TEXT(C3,"ddd")</f>
        <v>Tue</v>
      </c>
      <c r="D4" s="305" t="str">
        <f t="shared" si="1"/>
        <v>Wed</v>
      </c>
      <c r="E4" s="305" t="str">
        <f t="shared" si="1"/>
        <v>Thu</v>
      </c>
      <c r="F4" s="305" t="str">
        <f t="shared" si="1"/>
        <v>Fri</v>
      </c>
      <c r="G4" s="305" t="str">
        <f t="shared" si="1"/>
        <v>Sat</v>
      </c>
      <c r="H4" s="305" t="str">
        <f t="shared" si="1"/>
        <v>Sun</v>
      </c>
      <c r="I4" s="305" t="str">
        <f t="shared" si="1"/>
        <v>Mon</v>
      </c>
      <c r="J4" s="305" t="str">
        <f t="shared" si="1"/>
        <v>Tue</v>
      </c>
      <c r="K4" s="305" t="str">
        <f t="shared" si="1"/>
        <v>Wed</v>
      </c>
      <c r="L4" s="305" t="str">
        <f t="shared" si="1"/>
        <v>Thu</v>
      </c>
      <c r="M4" s="305" t="str">
        <f t="shared" si="1"/>
        <v>Fri</v>
      </c>
      <c r="N4" s="305" t="str">
        <f t="shared" si="1"/>
        <v>Sat</v>
      </c>
      <c r="O4" s="305" t="str">
        <f t="shared" si="1"/>
        <v>Sun</v>
      </c>
      <c r="P4" s="305" t="str">
        <f t="shared" si="1"/>
        <v>Mon</v>
      </c>
      <c r="Q4" s="305" t="str">
        <f t="shared" si="1"/>
        <v>Tue</v>
      </c>
      <c r="R4" s="305" t="str">
        <f t="shared" si="1"/>
        <v>Wed</v>
      </c>
      <c r="S4" s="305" t="str">
        <f t="shared" si="1"/>
        <v>Thu</v>
      </c>
      <c r="T4" s="304" t="str">
        <f t="shared" si="1"/>
        <v>Fri</v>
      </c>
      <c r="U4" s="305" t="str">
        <f t="shared" si="1"/>
        <v>Sat</v>
      </c>
      <c r="V4" s="306" t="str">
        <f t="shared" si="1"/>
        <v>Sun</v>
      </c>
      <c r="W4" s="305" t="str">
        <f t="shared" si="1"/>
        <v>Mon</v>
      </c>
      <c r="X4" s="305" t="str">
        <f t="shared" si="1"/>
        <v>Tue</v>
      </c>
      <c r="Y4" s="305" t="str">
        <f t="shared" si="1"/>
        <v>Wed</v>
      </c>
      <c r="Z4" s="305" t="str">
        <f t="shared" si="1"/>
        <v>Thu</v>
      </c>
      <c r="AA4" s="305" t="str">
        <f t="shared" si="1"/>
        <v>Fri</v>
      </c>
      <c r="AB4" s="305" t="str">
        <f t="shared" si="1"/>
        <v>Sat</v>
      </c>
      <c r="AC4" s="305" t="str">
        <f t="shared" si="1"/>
        <v>Sun</v>
      </c>
      <c r="AD4" s="305" t="str">
        <f t="shared" si="1"/>
        <v>Mon</v>
      </c>
      <c r="AE4" s="305" t="str">
        <f t="shared" si="1"/>
        <v>Tue</v>
      </c>
      <c r="AF4" s="305" t="str">
        <f t="shared" si="1"/>
        <v>Wed</v>
      </c>
      <c r="AG4" s="304" t="str">
        <f t="shared" si="1"/>
        <v>Thu</v>
      </c>
      <c r="AH4" s="305" t="str">
        <f t="shared" si="1"/>
        <v>Fri</v>
      </c>
      <c r="AI4" s="227" t="str">
        <f>'Setting key Duty'!$B7</f>
        <v>DM</v>
      </c>
      <c r="AJ4" s="228" t="str">
        <f>'Setting key Duty'!$B8</f>
        <v>CS1</v>
      </c>
      <c r="AK4" s="229" t="str">
        <f>'Setting key Duty'!$B9</f>
        <v>CS2</v>
      </c>
      <c r="AL4" s="307" t="str">
        <f>'Setting key Duty'!$B11</f>
        <v>SB1</v>
      </c>
      <c r="AM4" s="307" t="str">
        <f>'Setting key Duty'!$B12</f>
        <v>SB2</v>
      </c>
      <c r="AN4" s="307" t="str">
        <f>'Setting key Duty'!$B13</f>
        <v>AE</v>
      </c>
      <c r="AO4" s="307" t="str">
        <f>'Setting key Duty'!B14</f>
        <v>EM</v>
      </c>
      <c r="AP4" s="307"/>
      <c r="AQ4" s="307"/>
      <c r="AR4" s="307"/>
      <c r="AS4" s="307"/>
      <c r="AT4" s="307"/>
      <c r="AU4" s="307"/>
      <c r="AV4" s="307"/>
      <c r="AW4" s="307"/>
      <c r="AX4" s="307"/>
      <c r="AY4" s="307"/>
      <c r="AZ4" s="307" t="s">
        <v>45</v>
      </c>
      <c r="BA4" s="307" t="s">
        <v>46</v>
      </c>
      <c r="BB4" s="307"/>
      <c r="BC4" s="307" t="s">
        <v>47</v>
      </c>
      <c r="BD4" s="307"/>
      <c r="BE4" s="307" t="s">
        <v>48</v>
      </c>
      <c r="BF4" s="307"/>
      <c r="BG4" s="307" t="s">
        <v>49</v>
      </c>
      <c r="BH4" s="307" t="s">
        <v>50</v>
      </c>
      <c r="BI4" s="307"/>
      <c r="BJ4" s="307" t="s">
        <v>51</v>
      </c>
      <c r="BK4" s="307"/>
      <c r="BL4" s="307" t="str">
        <f>'Setting key Duty'!B52</f>
        <v>$FC</v>
      </c>
      <c r="BM4" s="307"/>
      <c r="BN4" s="307">
        <f>'Setting key Duty'!$B15</f>
        <v>0</v>
      </c>
      <c r="BO4" s="307" t="str">
        <f>'Setting key Duty'!B17</f>
        <v>RESERVE</v>
      </c>
      <c r="BP4" s="307" t="str">
        <f>'Setting key Duty'!$B22</f>
        <v>AL</v>
      </c>
      <c r="BQ4" s="308"/>
    </row>
    <row r="5" ht="19.5" customHeight="1" spans="1:69">
      <c r="A5" s="309"/>
      <c r="B5" s="310" t="s">
        <v>420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 t="s">
        <v>61</v>
      </c>
      <c r="S5" s="197"/>
      <c r="T5" s="197"/>
      <c r="U5" s="197"/>
      <c r="V5" s="200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311"/>
      <c r="AJ5" s="312"/>
      <c r="AK5" s="311"/>
      <c r="AL5" s="313"/>
      <c r="AM5" s="313"/>
      <c r="AN5" s="313"/>
      <c r="AO5" s="313"/>
      <c r="AP5" s="238"/>
      <c r="AQ5" s="313">
        <f>SUMPRODUCT(--WEEKDAY(C$3:AG$3,2)&lt;6,--((C5:AG5="DM"))+(C5:AG5="CS1")+((C5:AG5="CS2"))+(C5:AG5="SB1")+(C5:AG5="AE")+(C5:AG5="EM"))</f>
        <v>0</v>
      </c>
      <c r="AR5" s="238"/>
      <c r="AS5" s="238">
        <f>SUMPRODUCT(--WEEKDAY(C$3:AG$3,2)&gt;5,--((C5:AG5="DM"))+(C5:AG5="CS1")+((C5:AG5="CS2"))+(C5:AG5="SB1")+(C5:AG5="AE")+(C5:AG5="EM"))</f>
        <v>0</v>
      </c>
      <c r="AT5" s="238"/>
      <c r="AU5" s="238">
        <f>(AQ5-AR5)/2+(AS5-AT5)</f>
        <v>0</v>
      </c>
      <c r="AV5" s="238">
        <f>AI5+AJ5+AK5+AL5+AN5+AO5</f>
        <v>0</v>
      </c>
      <c r="AW5" s="238">
        <f>BG5+BH5+BJ5+BE5+BC5+BA5+BL5</f>
        <v>0</v>
      </c>
      <c r="AX5" s="238" t="e">
        <f>AU5+$AY$11</f>
        <v>#VALUE!</v>
      </c>
      <c r="AY5" s="313" t="e">
        <f>(BJ5*('Setting key Duty'!$I$8+'Setting key Duty'!$I$12))+(BH5*'Setting key Duty'!$I$9)+(BC5*('Setting key Duty'!$I$13+'Setting key Duty'!$I$9))+(BA5*('Setting key Duty'!$I$13+'Setting key Duty'!$I$12+'Setting key Duty'!$I$11))+(BE5*('Setting key Duty'!$I$8+'Setting key Duty'!$I$9+'Setting key Duty'!$I$12))</f>
        <v>#VALUE!</v>
      </c>
      <c r="AZ5" s="313">
        <f>COUNTIF(D5:AA5,"*BRT*")</f>
        <v>0</v>
      </c>
      <c r="BA5" s="313">
        <f>COUNTIF(A5:AI5,"*$BTP*")</f>
        <v>0</v>
      </c>
      <c r="BB5" s="313" t="e">
        <f>BA5*('Setting key Duty'!$I$13+'Setting key Duty'!$I$12+'Setting key Duty'!$I$11)</f>
        <v>#VALUE!</v>
      </c>
      <c r="BC5" s="313">
        <f>COUNTIF(A5:AI5,"*$L*")</f>
        <v>0</v>
      </c>
      <c r="BD5" s="313" t="e">
        <f>BC5*('Setting key Duty'!$I$13+'Setting key Duty'!$I$9)</f>
        <v>#VALUE!</v>
      </c>
      <c r="BE5" s="313">
        <f>COUNTIF(A5:AI5,"*$M*")</f>
        <v>0</v>
      </c>
      <c r="BF5" s="313">
        <f>BE5*('Setting key Duty'!$I$8+'Setting key Duty'!$I$9+'Setting key Duty'!$I$12)</f>
        <v>0</v>
      </c>
      <c r="BG5" s="313">
        <f>COUNTIF(AI5,"*$N*")</f>
        <v>0</v>
      </c>
      <c r="BH5" s="313">
        <f>COUNTIF(AI5,"*$PM*")</f>
        <v>0</v>
      </c>
      <c r="BI5" s="313">
        <f>BH5*('Setting key Duty'!$I$9)</f>
        <v>0</v>
      </c>
      <c r="BJ5" s="313">
        <f>COUNTIF(A5:AI5,"*$AM*")</f>
        <v>0</v>
      </c>
      <c r="BK5" s="313">
        <f>BJ5*('Setting key Duty'!$I$12+'Setting key Duty'!$I$8)</f>
        <v>0</v>
      </c>
      <c r="BL5" s="313">
        <f>COUNTIF(D5:AI5,"*$FC*")</f>
        <v>0</v>
      </c>
      <c r="BM5" s="313">
        <f>BL5*('Setting key Duty'!$J$11+'Setting key Duty'!$I$8)</f>
        <v>0</v>
      </c>
      <c r="BN5" s="313">
        <f>COUNTIF($D5:$AA5,BN$4)</f>
        <v>0</v>
      </c>
      <c r="BO5" s="313">
        <f>COUNTIF($D5:$AA5,BO$4)</f>
        <v>0</v>
      </c>
      <c r="BP5" s="313">
        <f>COUNTIF($D5:$AA5,BP$4)</f>
        <v>0</v>
      </c>
      <c r="BQ5" s="314"/>
    </row>
    <row r="6" ht="36" customHeight="1" spans="1:69">
      <c r="A6" s="309"/>
      <c r="B6" s="315" t="s">
        <v>60</v>
      </c>
      <c r="C6" s="316"/>
      <c r="D6" s="197"/>
      <c r="E6" s="197"/>
      <c r="F6" s="197"/>
      <c r="G6" s="197"/>
      <c r="H6" s="197"/>
      <c r="I6" s="197"/>
      <c r="J6" s="197"/>
      <c r="K6" s="317"/>
      <c r="L6" s="317"/>
      <c r="M6" s="197"/>
      <c r="N6" s="197" t="s">
        <v>58</v>
      </c>
      <c r="O6" s="197"/>
      <c r="P6" s="318" t="s">
        <v>380</v>
      </c>
      <c r="Q6" s="318" t="s">
        <v>380</v>
      </c>
      <c r="R6" s="197" t="s">
        <v>505</v>
      </c>
      <c r="S6" s="197"/>
      <c r="T6" s="318" t="s">
        <v>162</v>
      </c>
      <c r="U6" s="197"/>
      <c r="V6" s="200"/>
      <c r="W6" s="197"/>
      <c r="X6" s="197"/>
      <c r="Y6" s="197"/>
      <c r="Z6" s="197" t="s">
        <v>55</v>
      </c>
      <c r="AA6" s="197" t="s">
        <v>55</v>
      </c>
      <c r="AB6" s="197"/>
      <c r="AC6" s="197"/>
      <c r="AD6" s="197"/>
      <c r="AE6" s="197"/>
      <c r="AF6" s="106"/>
      <c r="AG6" s="197" t="s">
        <v>55</v>
      </c>
      <c r="AH6" s="197" t="s">
        <v>55</v>
      </c>
      <c r="AI6" s="311">
        <f t="shared" ref="AI6:AO6" si="2">COUNTIF($D6:$AE6,AI$4)</f>
        <v>0</v>
      </c>
      <c r="AJ6" s="312">
        <f t="shared" si="2"/>
        <v>0</v>
      </c>
      <c r="AK6" s="311">
        <f t="shared" si="2"/>
        <v>0</v>
      </c>
      <c r="AL6" s="313">
        <f t="shared" si="2"/>
        <v>1</v>
      </c>
      <c r="AM6" s="313">
        <f t="shared" si="2"/>
        <v>0</v>
      </c>
      <c r="AN6" s="313">
        <f t="shared" si="2"/>
        <v>0</v>
      </c>
      <c r="AO6" s="313">
        <f t="shared" si="2"/>
        <v>0</v>
      </c>
      <c r="AP6" s="238"/>
      <c r="AQ6" s="313">
        <f>SUMPRODUCT(--WEEKDAY(C$3:AG$3,2)&lt;6,--((C6:AG6="DM"))+(C6:AG6="CS1")+((C6:AG6="CS2"))+(C6:AG6="SB1")+(C6:AG6="AE")+(C6:AG6="EM"))</f>
        <v>0</v>
      </c>
      <c r="AR6" s="238"/>
      <c r="AS6" s="238">
        <f>SUMPRODUCT(--WEEKDAY(C$3:AG$3,2)&gt;5,--((C6:AG6="DM"))+(C6:AG6="CS1")+((C6:AG6="CS2"))+(C6:AG6="SB1")+(C6:AG6="AE")+(C6:AG6="EM"))</f>
        <v>0</v>
      </c>
      <c r="AT6" s="238"/>
      <c r="AU6" s="238">
        <f>(AQ6-AR6)/2+(AS6-AT6)</f>
        <v>0</v>
      </c>
      <c r="AV6" s="238">
        <f>AI6+AJ6+AK6+AL6+AN6+AO6</f>
        <v>1</v>
      </c>
      <c r="AW6" s="238" t="e">
        <f>AU6+AY6</f>
        <v>#VALUE!</v>
      </c>
      <c r="AX6" s="238" t="e">
        <f>AU6+AY6</f>
        <v>#VALUE!</v>
      </c>
      <c r="AY6" s="313" t="e">
        <f>(BJ6*('Setting key Duty'!$I$8+'Setting key Duty'!$I$12))+(BH6*'Setting key Duty'!$I$9)+(BC6*('Setting key Duty'!$I$13+'Setting key Duty'!$I$9))+(BA6*('Setting key Duty'!$I$13+'Setting key Duty'!$I$12+'Setting key Duty'!$I$11))+(BE6*('Setting key Duty'!$I$8+'Setting key Duty'!$I$9+'Setting key Duty'!$I$12))</f>
        <v>#VALUE!</v>
      </c>
      <c r="AZ6" s="313">
        <f>COUNTIF(D6:AE6,"*BRT*")</f>
        <v>0</v>
      </c>
      <c r="BA6" s="313">
        <f>COUNTIF(A6:AI6,"*$BTP*")</f>
        <v>0</v>
      </c>
      <c r="BB6" s="313" t="e">
        <f>BA6*('Setting key Duty'!$I$13+'Setting key Duty'!$I$12+'Setting key Duty'!$I$11)</f>
        <v>#VALUE!</v>
      </c>
      <c r="BC6" s="313">
        <f>COUNTIF(A6:AI6,"*$L*")</f>
        <v>0</v>
      </c>
      <c r="BD6" s="313" t="e">
        <f>BC6*('Setting key Duty'!$I$13+'Setting key Duty'!$I$9)</f>
        <v>#VALUE!</v>
      </c>
      <c r="BE6" s="313">
        <f>COUNTIF(A6:AI6,"*$M*")</f>
        <v>0</v>
      </c>
      <c r="BF6" s="313">
        <f>BE6*('Setting key Duty'!$I$8+'Setting key Duty'!$I$9+'Setting key Duty'!$I$12)</f>
        <v>0</v>
      </c>
      <c r="BG6" s="313">
        <f>COUNTIF(AE6:AI6,"*$N*")</f>
        <v>0</v>
      </c>
      <c r="BH6" s="313">
        <f>COUNTIF(AE6:AI6,"*$PM*")</f>
        <v>0</v>
      </c>
      <c r="BI6" s="313">
        <f>BH6*('Setting key Duty'!$I$9)</f>
        <v>0</v>
      </c>
      <c r="BJ6" s="313">
        <f>COUNTIF(A6:AI6,"*$AM*")</f>
        <v>0</v>
      </c>
      <c r="BK6" s="313">
        <f>BJ6*('Setting key Duty'!$I$12+'Setting key Duty'!$I$8)</f>
        <v>0</v>
      </c>
      <c r="BL6" s="313">
        <f>COUNTIF(D6:AI6,"*$FC*")</f>
        <v>0</v>
      </c>
      <c r="BM6" s="313">
        <f>BL6*('Setting key Duty'!$J$11+'Setting key Duty'!$I$8)</f>
        <v>0</v>
      </c>
      <c r="BN6" s="313">
        <f>COUNTIF($D6:$AE6,BN$4)</f>
        <v>0</v>
      </c>
      <c r="BO6" s="313">
        <f>COUNTIF($D6:$AE6,BO$4)</f>
        <v>0</v>
      </c>
      <c r="BP6" s="313">
        <f>COUNTIF($D6:$AE6,BP$4)</f>
        <v>2</v>
      </c>
      <c r="BQ6" s="314"/>
    </row>
    <row r="7" ht="36" customHeight="1" spans="1:69">
      <c r="A7" s="309"/>
      <c r="B7" s="319" t="s">
        <v>479</v>
      </c>
      <c r="C7" s="283" t="s">
        <v>69</v>
      </c>
      <c r="D7" s="197"/>
      <c r="E7" s="197"/>
      <c r="F7" s="197" t="s">
        <v>506</v>
      </c>
      <c r="G7" s="197"/>
      <c r="H7" s="197"/>
      <c r="I7" s="197"/>
      <c r="J7" s="197"/>
      <c r="K7" s="320"/>
      <c r="L7" s="317"/>
      <c r="M7" s="283" t="s">
        <v>69</v>
      </c>
      <c r="N7" s="197"/>
      <c r="O7" s="197"/>
      <c r="P7" s="318"/>
      <c r="Q7" s="318"/>
      <c r="R7" s="197"/>
      <c r="S7" s="197"/>
      <c r="T7" s="318"/>
      <c r="U7" s="197"/>
      <c r="V7" s="200"/>
      <c r="W7" s="197"/>
      <c r="X7" s="197"/>
      <c r="Y7" s="197"/>
      <c r="Z7" s="321"/>
      <c r="AA7" s="197"/>
      <c r="AB7" s="197"/>
      <c r="AC7" s="197"/>
      <c r="AD7" s="197"/>
      <c r="AE7" s="283"/>
      <c r="AF7" s="106"/>
      <c r="AG7" s="197"/>
      <c r="AH7" s="197"/>
      <c r="AI7" s="311"/>
      <c r="AJ7" s="312"/>
      <c r="AK7" s="311"/>
      <c r="AL7" s="313"/>
      <c r="AM7" s="313"/>
      <c r="AN7" s="313"/>
      <c r="AO7" s="313"/>
      <c r="AP7" s="238"/>
      <c r="AQ7" s="313"/>
      <c r="AR7" s="238"/>
      <c r="AS7" s="238"/>
      <c r="AT7" s="238"/>
      <c r="AU7" s="238"/>
      <c r="AV7" s="238"/>
      <c r="AW7" s="238"/>
      <c r="AX7" s="238"/>
      <c r="AY7" s="313"/>
      <c r="AZ7" s="313"/>
      <c r="BA7" s="313"/>
      <c r="BB7" s="313"/>
      <c r="BC7" s="313"/>
      <c r="BD7" s="313"/>
      <c r="BE7" s="313"/>
      <c r="BF7" s="313"/>
      <c r="BG7" s="313"/>
      <c r="BH7" s="313"/>
      <c r="BI7" s="313"/>
      <c r="BJ7" s="313"/>
      <c r="BK7" s="313"/>
      <c r="BL7" s="313"/>
      <c r="BM7" s="313"/>
      <c r="BN7" s="313"/>
      <c r="BO7" s="313"/>
      <c r="BP7" s="313"/>
      <c r="BQ7" s="314"/>
    </row>
    <row r="8" ht="19.5" customHeight="1" spans="1:69">
      <c r="A8" s="309"/>
      <c r="B8" s="322" t="s">
        <v>211</v>
      </c>
      <c r="D8" s="197"/>
      <c r="E8" s="197" t="s">
        <v>507</v>
      </c>
      <c r="F8" s="197"/>
      <c r="G8" s="317"/>
      <c r="H8" s="197"/>
      <c r="I8" s="197" t="s">
        <v>508</v>
      </c>
      <c r="J8" s="197"/>
      <c r="L8" s="197"/>
      <c r="M8" s="197"/>
      <c r="N8" s="197" t="s">
        <v>57</v>
      </c>
      <c r="O8" s="197"/>
      <c r="P8" s="318" t="s">
        <v>380</v>
      </c>
      <c r="Q8" s="318" t="s">
        <v>380</v>
      </c>
      <c r="R8" s="197"/>
      <c r="S8" s="197"/>
      <c r="T8" s="318" t="s">
        <v>162</v>
      </c>
      <c r="U8" s="197"/>
      <c r="V8" s="200"/>
      <c r="W8" s="197"/>
      <c r="X8" s="197"/>
      <c r="Y8" s="197"/>
      <c r="Z8" s="321"/>
      <c r="AA8" s="197"/>
      <c r="AB8" s="197"/>
      <c r="AC8" s="197"/>
      <c r="AD8" s="197"/>
      <c r="AF8" s="197"/>
      <c r="AG8" s="197"/>
      <c r="AH8" s="197"/>
      <c r="AI8" s="311" t="e">
        <f>COUNTIF(#REF!,AI$4)</f>
        <v>#REF!</v>
      </c>
      <c r="AJ8" s="312" t="e">
        <f>COUNTIF(#REF!,AJ$4)</f>
        <v>#REF!</v>
      </c>
      <c r="AK8" s="311" t="e">
        <f>COUNTIF(#REF!,AK$4)</f>
        <v>#REF!</v>
      </c>
      <c r="AL8" s="313" t="e">
        <f>COUNTIF(#REF!,AL$4)</f>
        <v>#REF!</v>
      </c>
      <c r="AM8" s="313" t="e">
        <f>COUNTIF(#REF!,AM$4)</f>
        <v>#REF!</v>
      </c>
      <c r="AN8" s="313" t="e">
        <f>COUNTIF(#REF!,AN$4)</f>
        <v>#REF!</v>
      </c>
      <c r="AO8" s="313" t="e">
        <f>COUNTIF(#REF!,AO$4)</f>
        <v>#REF!</v>
      </c>
      <c r="AP8" s="238"/>
      <c r="AQ8" s="313">
        <f t="shared" ref="AQ8:AQ14" si="3">SUMPRODUCT(--WEEKDAY(C$3:AG$3,2)&lt;6,--((C8:AG8="DM"))+(C8:AG8="CS1")+((C8:AG8="CS2"))+(C8:AG8="SB1")+(C8:AG8="AE")+(C8:AG8="EM"))</f>
        <v>0</v>
      </c>
      <c r="AR8" s="238"/>
      <c r="AS8" s="238">
        <f t="shared" ref="AS8:AS14" si="4">SUMPRODUCT(--WEEKDAY(C$3:AG$3,2)&gt;5,--((C8:AG8="DM"))+(C8:AG8="CS1")+((C8:AG8="CS2"))+(C8:AG8="SB1")+(C8:AG8="AE")+(C8:AG8="EM"))</f>
        <v>0</v>
      </c>
      <c r="AT8" s="238"/>
      <c r="AU8" s="238">
        <f t="shared" ref="AU8:AU14" si="5">(AQ8-AR8)/2+(AS8-AT8)</f>
        <v>0</v>
      </c>
      <c r="AV8" s="238" t="e">
        <f t="shared" ref="AV8:AV14" si="6">AI8+AJ8+AK8+AL8+AN8+AO8</f>
        <v>#REF!</v>
      </c>
      <c r="AW8" s="238">
        <f t="shared" ref="AW8:AW14" si="7">BG8+BH8+BJ8+BE8+BC8+BA8+BL8</f>
        <v>0</v>
      </c>
      <c r="AX8" s="238" t="e">
        <f>AU8+AY8</f>
        <v>#VALUE!</v>
      </c>
      <c r="AY8" s="313" t="e">
        <f>(BJ8*('Setting key Duty'!$I$8+'Setting key Duty'!$I$12))+(BH8*'Setting key Duty'!$I$9)+(BC8*('Setting key Duty'!$I$13+'Setting key Duty'!$I$9))+(BA8*('Setting key Duty'!$I$13+'Setting key Duty'!$I$12+'Setting key Duty'!$I$11))+(BE8*('Setting key Duty'!$I$8+'Setting key Duty'!$I$9+'Setting key Duty'!$I$12))</f>
        <v>#VALUE!</v>
      </c>
      <c r="AZ8" s="313" t="e">
        <f>COUNTIF(#REF!,"*BRT*")</f>
        <v>#REF!</v>
      </c>
      <c r="BA8" s="313">
        <f>COUNTIF(A8:AI8,"*$BTP*")</f>
        <v>0</v>
      </c>
      <c r="BB8" s="313" t="e">
        <f>BA8*('Setting key Duty'!$I$13+'Setting key Duty'!$I$12+'Setting key Duty'!$I$11)</f>
        <v>#VALUE!</v>
      </c>
      <c r="BC8" s="313">
        <f>COUNTIF(A8:AI8,"*$L*")</f>
        <v>0</v>
      </c>
      <c r="BD8" s="313" t="e">
        <f>BC8*('Setting key Duty'!$I$13+'Setting key Duty'!$I$9)</f>
        <v>#VALUE!</v>
      </c>
      <c r="BE8" s="313">
        <f>COUNTIF(A8:AI8,"*$M*")</f>
        <v>0</v>
      </c>
      <c r="BF8" s="313">
        <f>BE8*('Setting key Duty'!$I$8+'Setting key Duty'!$I$9+'Setting key Duty'!$I$12)</f>
        <v>0</v>
      </c>
      <c r="BG8" s="313">
        <f>COUNTIF(A8:AI8,"*$N*")</f>
        <v>0</v>
      </c>
      <c r="BH8" s="313">
        <f>COUNTIF(AF8:AI8,"*$PM*")</f>
        <v>0</v>
      </c>
      <c r="BI8" s="313">
        <f>BH8*('Setting key Duty'!$I$9)</f>
        <v>0</v>
      </c>
      <c r="BJ8" s="313">
        <f>COUNTIF(A8:AI8,"*$AM*")</f>
        <v>0</v>
      </c>
      <c r="BK8" s="313">
        <f>BJ8*('Setting key Duty'!$I$12+'Setting key Duty'!$I$8)</f>
        <v>0</v>
      </c>
      <c r="BL8" s="313">
        <f>COUNTIF(D8:AI8,"*$FC*")</f>
        <v>0</v>
      </c>
      <c r="BM8" s="313">
        <f>BL8*('Setting key Duty'!$J$11+'Setting key Duty'!$I$8)</f>
        <v>0</v>
      </c>
      <c r="BN8" s="313" t="e">
        <f>COUNTIF(#REF!,BN$4)</f>
        <v>#REF!</v>
      </c>
      <c r="BO8" s="313" t="e">
        <f>COUNTIF(#REF!,BO$4)</f>
        <v>#REF!</v>
      </c>
      <c r="BP8" s="313" t="e">
        <f>COUNTIF(#REF!,BP$4)</f>
        <v>#REF!</v>
      </c>
      <c r="BQ8" s="314"/>
    </row>
    <row r="9" ht="19.5" customHeight="1" spans="1:69">
      <c r="A9" s="309"/>
      <c r="B9" s="323" t="s">
        <v>63</v>
      </c>
      <c r="C9" s="197"/>
      <c r="D9" s="197"/>
      <c r="E9" s="197"/>
      <c r="F9" s="197"/>
      <c r="G9" s="197"/>
      <c r="H9" s="324"/>
      <c r="I9" s="197"/>
      <c r="J9" s="197"/>
      <c r="K9" s="321"/>
      <c r="L9" s="321"/>
      <c r="M9" s="321"/>
      <c r="N9" s="321"/>
      <c r="O9" s="325"/>
      <c r="R9" s="321"/>
      <c r="S9" s="321"/>
      <c r="T9" s="321"/>
      <c r="U9" s="321"/>
      <c r="V9" s="326"/>
      <c r="W9" s="321"/>
      <c r="X9" s="321"/>
      <c r="Y9" s="321"/>
      <c r="Z9" s="321"/>
      <c r="AA9" s="321"/>
      <c r="AB9" s="321"/>
      <c r="AC9" s="321"/>
      <c r="AD9" s="321"/>
      <c r="AE9" s="321"/>
      <c r="AF9" s="321"/>
      <c r="AG9" s="321"/>
      <c r="AH9" s="321"/>
      <c r="AI9" s="311"/>
      <c r="AJ9" s="312"/>
      <c r="AK9" s="311"/>
      <c r="AL9" s="313"/>
      <c r="AM9" s="313"/>
      <c r="AN9" s="313"/>
      <c r="AO9" s="313"/>
      <c r="AP9" s="238"/>
      <c r="AQ9" s="313">
        <f t="shared" si="3"/>
        <v>0</v>
      </c>
      <c r="AR9" s="238"/>
      <c r="AS9" s="238">
        <f t="shared" si="4"/>
        <v>0</v>
      </c>
      <c r="AT9" s="238"/>
      <c r="AU9" s="238">
        <f t="shared" si="5"/>
        <v>0</v>
      </c>
      <c r="AV9" s="238">
        <f t="shared" si="6"/>
        <v>0</v>
      </c>
      <c r="AW9" s="238">
        <f t="shared" si="7"/>
        <v>0</v>
      </c>
      <c r="AX9" s="238">
        <f>AU9+AY9</f>
        <v>0</v>
      </c>
      <c r="AY9" s="313"/>
      <c r="AZ9" s="313"/>
      <c r="BA9" s="313"/>
      <c r="BB9" s="313"/>
      <c r="BC9" s="313"/>
      <c r="BD9" s="313"/>
      <c r="BE9" s="313"/>
      <c r="BF9" s="313"/>
      <c r="BG9" s="313"/>
      <c r="BH9" s="313"/>
      <c r="BI9" s="313"/>
      <c r="BJ9" s="313"/>
      <c r="BK9" s="313"/>
      <c r="BL9" s="313"/>
      <c r="BM9" s="313"/>
      <c r="BN9" s="313"/>
      <c r="BO9" s="313"/>
      <c r="BP9" s="313"/>
      <c r="BQ9" s="314"/>
    </row>
    <row r="10" ht="19.5" customHeight="1" spans="1:69">
      <c r="A10" s="309"/>
      <c r="B10" s="327" t="s">
        <v>377</v>
      </c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318" t="s">
        <v>380</v>
      </c>
      <c r="Q10" s="318" t="s">
        <v>380</v>
      </c>
      <c r="R10" s="197"/>
      <c r="S10" s="197"/>
      <c r="T10" s="318" t="s">
        <v>162</v>
      </c>
      <c r="U10" s="321"/>
      <c r="V10" s="197"/>
      <c r="W10" s="197"/>
      <c r="X10" s="197"/>
      <c r="Y10" s="197"/>
      <c r="Z10" s="197"/>
      <c r="AA10" s="197"/>
      <c r="AB10" s="321"/>
      <c r="AC10" s="321"/>
      <c r="AD10" s="197"/>
      <c r="AE10" s="197"/>
      <c r="AF10" s="197"/>
      <c r="AG10" s="197"/>
      <c r="AH10" s="197"/>
      <c r="AI10" s="311"/>
      <c r="AJ10" s="312"/>
      <c r="AK10" s="311"/>
      <c r="AL10" s="313"/>
      <c r="AM10" s="313"/>
      <c r="AN10" s="313"/>
      <c r="AO10" s="313"/>
      <c r="AP10" s="238"/>
      <c r="AQ10" s="313">
        <f t="shared" si="3"/>
        <v>0</v>
      </c>
      <c r="AR10" s="238"/>
      <c r="AS10" s="238">
        <f t="shared" si="4"/>
        <v>0</v>
      </c>
      <c r="AT10" s="238"/>
      <c r="AU10" s="238">
        <f t="shared" si="5"/>
        <v>0</v>
      </c>
      <c r="AV10" s="238">
        <f t="shared" si="6"/>
        <v>0</v>
      </c>
      <c r="AW10" s="238">
        <f t="shared" si="7"/>
        <v>0</v>
      </c>
      <c r="AX10" s="238" t="e">
        <f>AU10+AY10</f>
        <v>#VALUE!</v>
      </c>
      <c r="AY10" s="313" t="e">
        <f>(BJ10*('Setting key Duty'!$I$8+'Setting key Duty'!$I$12))+(BH10*'Setting key Duty'!$I$9)+(BC10*('Setting key Duty'!$I$13+'Setting key Duty'!$I$9))+(BA10*('Setting key Duty'!$I$13+'Setting key Duty'!$I$12+'Setting key Duty'!$I$11))+(BE10*('Setting key Duty'!$I$8+'Setting key Duty'!$I$9+'Setting key Duty'!$I$12))</f>
        <v>#VALUE!</v>
      </c>
      <c r="AZ10" s="313">
        <f>COUNTIF(D10:V10,"*BRT*")</f>
        <v>0</v>
      </c>
      <c r="BA10" s="313">
        <f>COUNTIF(A10:AI10,"*$BTP*")</f>
        <v>0</v>
      </c>
      <c r="BB10" s="313" t="e">
        <f>BA10*('Setting key Duty'!$I$13+'Setting key Duty'!$I$12+'Setting key Duty'!$I$11)</f>
        <v>#VALUE!</v>
      </c>
      <c r="BC10" s="313">
        <f>COUNTIF(A10:AI10,"*$L*")</f>
        <v>0</v>
      </c>
      <c r="BD10" s="313" t="e">
        <f>BC10*('Setting key Duty'!$I$13+'Setting key Duty'!$I$9)</f>
        <v>#VALUE!</v>
      </c>
      <c r="BE10" s="313">
        <f>COUNTIF(A10:AI10,"*$M*")</f>
        <v>0</v>
      </c>
      <c r="BF10" s="313">
        <f>BE10*('Setting key Duty'!$I$8+'Setting key Duty'!$I$9+'Setting key Duty'!$I$12)</f>
        <v>0</v>
      </c>
      <c r="BG10" s="313">
        <f>COUNTIF(AI10,"*$N*")</f>
        <v>0</v>
      </c>
      <c r="BH10" s="313">
        <f>COUNTIF(AI10,"*$PM*")</f>
        <v>0</v>
      </c>
      <c r="BI10" s="313">
        <f>BH10*('Setting key Duty'!$I$9)</f>
        <v>0</v>
      </c>
      <c r="BJ10" s="313">
        <f>COUNTIF(A10:AI10,"*$AM*")</f>
        <v>0</v>
      </c>
      <c r="BK10" s="313">
        <f>BJ10*('Setting key Duty'!$I$12+'Setting key Duty'!$I$8)</f>
        <v>0</v>
      </c>
      <c r="BL10" s="313">
        <f>COUNTIF(D10:AI10,"*$FC*")</f>
        <v>0</v>
      </c>
      <c r="BM10" s="313">
        <f>BL10*('Setting key Duty'!$J$11+'Setting key Duty'!$I$8)</f>
        <v>0</v>
      </c>
      <c r="BN10" s="313">
        <f>COUNTIF($D10:$V10,BN$4)</f>
        <v>0</v>
      </c>
      <c r="BO10" s="313">
        <f>COUNTIF($D10:$V10,BO$4)</f>
        <v>0</v>
      </c>
      <c r="BP10" s="313">
        <f>COUNTIF($D10:$V10,BP$4)</f>
        <v>0</v>
      </c>
      <c r="BQ10" s="314"/>
    </row>
    <row r="11" ht="19.5" customHeight="1" spans="1:69">
      <c r="A11" s="309"/>
      <c r="B11" s="328" t="s">
        <v>467</v>
      </c>
      <c r="C11" s="197"/>
      <c r="E11" s="197"/>
      <c r="F11" s="197"/>
      <c r="G11" s="197"/>
      <c r="H11" s="324"/>
      <c r="I11" s="197"/>
      <c r="J11" s="197" t="s">
        <v>509</v>
      </c>
      <c r="K11" s="197"/>
      <c r="L11" s="197"/>
      <c r="M11" s="317"/>
      <c r="N11" s="321" t="s">
        <v>54</v>
      </c>
      <c r="O11" s="321"/>
      <c r="R11" s="196"/>
      <c r="T11" s="197"/>
      <c r="U11" s="196"/>
      <c r="V11" s="200"/>
      <c r="W11" s="324"/>
      <c r="X11" s="197"/>
      <c r="Y11" s="197"/>
      <c r="Z11" s="197"/>
      <c r="AA11" s="197"/>
      <c r="AB11" s="196"/>
      <c r="AC11" s="197"/>
      <c r="AD11" s="197"/>
      <c r="AE11" s="197"/>
      <c r="AF11" s="197"/>
      <c r="AG11" s="197"/>
      <c r="AH11" s="197"/>
      <c r="AI11" s="311"/>
      <c r="AJ11" s="312"/>
      <c r="AK11" s="311"/>
      <c r="AL11" s="313"/>
      <c r="AM11" s="313"/>
      <c r="AN11" s="313"/>
      <c r="AO11" s="313"/>
      <c r="AP11" s="238"/>
      <c r="AQ11" s="313">
        <f t="shared" si="3"/>
        <v>0</v>
      </c>
      <c r="AR11" s="238"/>
      <c r="AS11" s="238">
        <f t="shared" si="4"/>
        <v>0</v>
      </c>
      <c r="AT11" s="238"/>
      <c r="AU11" s="238">
        <f t="shared" si="5"/>
        <v>0</v>
      </c>
      <c r="AV11" s="238">
        <f t="shared" si="6"/>
        <v>0</v>
      </c>
      <c r="AW11" s="238">
        <f t="shared" si="7"/>
        <v>0</v>
      </c>
      <c r="AX11" s="238" t="e">
        <f>AU11+$AY$11</f>
        <v>#VALUE!</v>
      </c>
      <c r="AY11" s="313" t="e">
        <f>(BJ11*('Setting key Duty'!$I$8+'Setting key Duty'!$I$12))+(BH11*'Setting key Duty'!$I$9)+(BC11*('Setting key Duty'!$I$13+'Setting key Duty'!$I$9))+(BA11*('Setting key Duty'!$I$13+'Setting key Duty'!$I$12+'Setting key Duty'!$I$11))+(BE11*('Setting key Duty'!$I$8+'Setting key Duty'!$I$9+'Setting key Duty'!$I$12))</f>
        <v>#VALUE!</v>
      </c>
      <c r="AZ11" s="313">
        <f>COUNTIF(C11:AC11,"*BRT*")</f>
        <v>0</v>
      </c>
      <c r="BA11" s="313">
        <f>COUNTIF(A11:AI11,"*$BTP*")</f>
        <v>0</v>
      </c>
      <c r="BB11" s="313" t="e">
        <f>BA11*('Setting key Duty'!$I$13+'Setting key Duty'!$I$12+'Setting key Duty'!$I$11)</f>
        <v>#VALUE!</v>
      </c>
      <c r="BC11" s="313">
        <f>COUNTIF(D11:AI11,"*$L*")</f>
        <v>0</v>
      </c>
      <c r="BD11" s="313" t="e">
        <f>BC11*('Setting key Duty'!$I$13+'Setting key Duty'!$I$9)</f>
        <v>#VALUE!</v>
      </c>
      <c r="BE11" s="313">
        <f>COUNTIF(D11:AI11,"*$M*")</f>
        <v>0</v>
      </c>
      <c r="BF11" s="313">
        <f>BE11*('Setting key Duty'!$I$8+'Setting key Duty'!$I$9+'Setting key Duty'!$I$12)</f>
        <v>0</v>
      </c>
      <c r="BG11" s="313">
        <f>COUNTIF(D11:AI11,"*$N*")</f>
        <v>0</v>
      </c>
      <c r="BH11" s="313">
        <f>COUNTIF(D11:AI11,"*$PM*")</f>
        <v>0</v>
      </c>
      <c r="BI11" s="313">
        <f>BH11*('Setting key Duty'!$I$9)</f>
        <v>0</v>
      </c>
      <c r="BJ11" s="313">
        <f>COUNTIF(D11:AI11,"*$AM*")</f>
        <v>0</v>
      </c>
      <c r="BK11" s="313">
        <f>BJ11*('Setting key Duty'!$I$12+'Setting key Duty'!$I$8)</f>
        <v>0</v>
      </c>
      <c r="BL11" s="313">
        <f>COUNTIF(C11:AI11,"*$FC*")</f>
        <v>0</v>
      </c>
      <c r="BM11" s="313">
        <f>BL11*('Setting key Duty'!$J$11+'Setting key Duty'!$I$8)</f>
        <v>0</v>
      </c>
      <c r="BN11" s="313">
        <f>COUNTIF($C11:$AG11,BN$4)</f>
        <v>0</v>
      </c>
      <c r="BO11" s="313">
        <f>COUNTIF($C11:$AG11,BO$4)</f>
        <v>0</v>
      </c>
      <c r="BP11" s="313">
        <f>COUNTIF($D11:$AD11,BP$4)</f>
        <v>0</v>
      </c>
      <c r="BQ11" s="314"/>
    </row>
    <row r="12" ht="19.5" customHeight="1" spans="1:69">
      <c r="A12" s="309"/>
      <c r="B12" s="315" t="s">
        <v>70</v>
      </c>
      <c r="C12" s="197"/>
      <c r="D12" s="197" t="s">
        <v>57</v>
      </c>
      <c r="E12" s="197"/>
      <c r="F12" s="197"/>
      <c r="G12" s="197" t="s">
        <v>57</v>
      </c>
      <c r="H12" s="197" t="s">
        <v>510</v>
      </c>
      <c r="I12" s="197" t="s">
        <v>253</v>
      </c>
      <c r="J12" s="197"/>
      <c r="L12" s="197"/>
      <c r="M12" s="197"/>
      <c r="N12" s="197" t="s">
        <v>54</v>
      </c>
      <c r="O12" s="197"/>
      <c r="P12" s="318" t="s">
        <v>380</v>
      </c>
      <c r="Q12" s="318" t="s">
        <v>380</v>
      </c>
      <c r="R12" s="197"/>
      <c r="S12" s="197"/>
      <c r="T12" s="318" t="s">
        <v>162</v>
      </c>
      <c r="U12" s="196"/>
      <c r="V12" s="200"/>
      <c r="W12" s="197"/>
      <c r="X12" s="197"/>
      <c r="Y12" s="197"/>
      <c r="Z12" s="197"/>
      <c r="AA12" s="197" t="s">
        <v>55</v>
      </c>
      <c r="AB12" s="197" t="s">
        <v>120</v>
      </c>
      <c r="AC12" s="197"/>
      <c r="AD12" s="197"/>
      <c r="AE12" s="197"/>
      <c r="AF12" s="197"/>
      <c r="AG12" s="197"/>
      <c r="AH12" s="197"/>
      <c r="AI12" s="311"/>
      <c r="AJ12" s="312"/>
      <c r="AK12" s="311"/>
      <c r="AL12" s="313"/>
      <c r="AM12" s="313"/>
      <c r="AN12" s="313"/>
      <c r="AO12" s="313"/>
      <c r="AP12" s="238"/>
      <c r="AQ12" s="313">
        <f t="shared" si="3"/>
        <v>0</v>
      </c>
      <c r="AR12" s="238"/>
      <c r="AS12" s="238">
        <f t="shared" si="4"/>
        <v>0</v>
      </c>
      <c r="AT12" s="238"/>
      <c r="AU12" s="238">
        <f t="shared" si="5"/>
        <v>0</v>
      </c>
      <c r="AV12" s="238">
        <f t="shared" si="6"/>
        <v>0</v>
      </c>
      <c r="AW12" s="238">
        <f t="shared" si="7"/>
        <v>0</v>
      </c>
      <c r="AX12" s="238" t="e">
        <f>AU12+AY12</f>
        <v>#VALUE!</v>
      </c>
      <c r="AY12" s="313" t="e">
        <f>(BJ12*('Setting key Duty'!$I$8+'Setting key Duty'!$I$12))+(BH12*'Setting key Duty'!$I$9)+(BC12*('Setting key Duty'!$I$13+'Setting key Duty'!$I$9))+(BA12*('Setting key Duty'!$I$13+'Setting key Duty'!$I$12+'Setting key Duty'!$I$11))+(BE12*('Setting key Duty'!$I$8+'Setting key Duty'!$I$9+'Setting key Duty'!$I$12))</f>
        <v>#VALUE!</v>
      </c>
      <c r="AZ12" s="313">
        <f>COUNTIF(D12:AC12,"*BRT*")</f>
        <v>0</v>
      </c>
      <c r="BA12" s="313">
        <f>COUNTIF(A12:AI12,"*$BTP*")</f>
        <v>0</v>
      </c>
      <c r="BB12" s="313" t="e">
        <f>BA12*('Setting key Duty'!$I$13+'Setting key Duty'!$I$12+'Setting key Duty'!$I$11)</f>
        <v>#VALUE!</v>
      </c>
      <c r="BC12" s="313">
        <f>COUNTIF(A12:AI12,"*$L*")</f>
        <v>0</v>
      </c>
      <c r="BD12" s="313" t="e">
        <f>BC12*('Setting key Duty'!$I$13+'Setting key Duty'!$I$9)</f>
        <v>#VALUE!</v>
      </c>
      <c r="BE12" s="313">
        <f>COUNTIF(A12:AI12,"*$M*")</f>
        <v>0</v>
      </c>
      <c r="BF12" s="313">
        <f>BE12*('Setting key Duty'!$I$8+'Setting key Duty'!$I$9+'Setting key Duty'!$I$12)</f>
        <v>0</v>
      </c>
      <c r="BG12" s="313">
        <f>COUNTIF(AF12:AI12,"*$N*")</f>
        <v>0</v>
      </c>
      <c r="BH12" s="313">
        <f>COUNTIF(AF12:AI12,"*$PM*")</f>
        <v>0</v>
      </c>
      <c r="BI12" s="313">
        <f>BH12*('Setting key Duty'!$I$9)</f>
        <v>0</v>
      </c>
      <c r="BJ12" s="313">
        <f>COUNTIF(A12:AI12,"*$AM*")</f>
        <v>0</v>
      </c>
      <c r="BK12" s="313">
        <f>BJ12*('Setting key Duty'!$I$12+'Setting key Duty'!$I$8)</f>
        <v>0</v>
      </c>
      <c r="BL12" s="313">
        <f>COUNTIF(D12:AI12,"*$FC*")</f>
        <v>0</v>
      </c>
      <c r="BM12" s="313">
        <f>BL12*('Setting key Duty'!$J$11+'Setting key Duty'!$I$8)</f>
        <v>0</v>
      </c>
      <c r="BN12" s="313">
        <f>COUNTIF($D12:$AE12,BN$4)</f>
        <v>0</v>
      </c>
      <c r="BO12" s="313">
        <f>COUNTIF($D12:$AE12,BO$4)</f>
        <v>0</v>
      </c>
      <c r="BP12" s="313">
        <f>COUNTIF($D12:$AE12,BP$4)</f>
        <v>1</v>
      </c>
      <c r="BQ12" s="314"/>
    </row>
    <row r="13" ht="19.5" customHeight="1" spans="1:69">
      <c r="A13" s="309"/>
      <c r="B13" s="329" t="s">
        <v>72</v>
      </c>
      <c r="C13" s="197"/>
      <c r="D13" s="330"/>
      <c r="E13" s="197"/>
      <c r="F13" s="331"/>
      <c r="G13" s="197"/>
      <c r="H13" s="197"/>
      <c r="J13" s="197"/>
      <c r="K13" s="317"/>
      <c r="M13" s="197"/>
      <c r="N13" s="197"/>
      <c r="O13" s="197"/>
      <c r="P13" s="318" t="s">
        <v>380</v>
      </c>
      <c r="Q13" s="318" t="s">
        <v>380</v>
      </c>
      <c r="R13" s="197"/>
      <c r="T13" s="318" t="s">
        <v>162</v>
      </c>
      <c r="U13" s="31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311"/>
      <c r="AJ13" s="312"/>
      <c r="AK13" s="311"/>
      <c r="AL13" s="313"/>
      <c r="AM13" s="313"/>
      <c r="AN13" s="313"/>
      <c r="AO13" s="313"/>
      <c r="AP13" s="238"/>
      <c r="AQ13" s="313">
        <f t="shared" si="3"/>
        <v>0</v>
      </c>
      <c r="AR13" s="238"/>
      <c r="AS13" s="238">
        <f t="shared" si="4"/>
        <v>0</v>
      </c>
      <c r="AT13" s="238"/>
      <c r="AU13" s="238">
        <f t="shared" si="5"/>
        <v>0</v>
      </c>
      <c r="AV13" s="238">
        <f t="shared" si="6"/>
        <v>0</v>
      </c>
      <c r="AW13" s="238">
        <f t="shared" si="7"/>
        <v>0</v>
      </c>
      <c r="AX13" s="238" t="e">
        <f>AU13+AY13</f>
        <v>#VALUE!</v>
      </c>
      <c r="AY13" s="313" t="e">
        <f>(BJ13*('Setting key Duty'!$I$8+'Setting key Duty'!$I$12))+(BH13*'Setting key Duty'!$I$9)+(BC13*('Setting key Duty'!$I$13+'Setting key Duty'!$I$9))+(BA13*('Setting key Duty'!$I$13+'Setting key Duty'!$I$12+'Setting key Duty'!$I$11))+(BE13*('Setting key Duty'!$I$8+'Setting key Duty'!$I$9+'Setting key Duty'!$I$12))</f>
        <v>#VALUE!</v>
      </c>
      <c r="AZ13" s="313">
        <f>COUNTIF(D13:Y13,"*BRT*")</f>
        <v>0</v>
      </c>
      <c r="BA13" s="313">
        <f>COUNTIF(A13:AI13,"*$BTP*")</f>
        <v>0</v>
      </c>
      <c r="BB13" s="313" t="e">
        <f>BA13*('Setting key Duty'!$I$13+'Setting key Duty'!$I$12+'Setting key Duty'!$I$11)</f>
        <v>#VALUE!</v>
      </c>
      <c r="BC13" s="313">
        <f>COUNTIF(A13:AI13,"*$L*")</f>
        <v>0</v>
      </c>
      <c r="BD13" s="313" t="e">
        <f>BC13*('Setting key Duty'!$I$13+'Setting key Duty'!$I$9)</f>
        <v>#VALUE!</v>
      </c>
      <c r="BE13" s="313">
        <f>COUNTIF(A13:AI13,"*$M*")</f>
        <v>0</v>
      </c>
      <c r="BF13" s="313">
        <f>BE13*('Setting key Duty'!$I$8+'Setting key Duty'!$I$9+'Setting key Duty'!$I$12)</f>
        <v>0</v>
      </c>
      <c r="BG13" s="313">
        <f>COUNTIF(AI13,"*$N*")</f>
        <v>0</v>
      </c>
      <c r="BH13" s="313">
        <f>COUNTIF(AI13,"*$PM*")</f>
        <v>0</v>
      </c>
      <c r="BI13" s="313">
        <f>BH13*('Setting key Duty'!$I$9)</f>
        <v>0</v>
      </c>
      <c r="BJ13" s="313">
        <f>COUNTIF(A13:AI13,"*$AM*")</f>
        <v>0</v>
      </c>
      <c r="BK13" s="313">
        <f>BJ13*('Setting key Duty'!$I$12+'Setting key Duty'!$I$8)</f>
        <v>0</v>
      </c>
      <c r="BL13" s="313">
        <f>COUNTIF(D13:AI13,"*$FC*")</f>
        <v>0</v>
      </c>
      <c r="BM13" s="313">
        <f>BL13*('Setting key Duty'!$J$11+'Setting key Duty'!$I$8)</f>
        <v>0</v>
      </c>
      <c r="BN13" s="313">
        <f>COUNTIF($D13:$Y13,BN$4)</f>
        <v>0</v>
      </c>
      <c r="BO13" s="313">
        <f>COUNTIF($D13:$Y13,BO$4)</f>
        <v>0</v>
      </c>
      <c r="BP13" s="313">
        <f>COUNTIF($D13:$Y13,BP$4)</f>
        <v>0</v>
      </c>
      <c r="BQ13" s="314"/>
    </row>
    <row r="14" ht="24" customHeight="1" spans="1:69">
      <c r="A14" s="309"/>
      <c r="B14" s="332" t="s">
        <v>353</v>
      </c>
      <c r="C14" s="197"/>
      <c r="D14" s="197"/>
      <c r="E14" s="197"/>
      <c r="F14" s="197"/>
      <c r="G14" s="197"/>
      <c r="H14" s="197"/>
      <c r="I14" s="197"/>
      <c r="J14" s="317"/>
      <c r="K14" s="197"/>
      <c r="L14" s="197"/>
      <c r="M14" s="197"/>
      <c r="N14" s="197" t="s">
        <v>56</v>
      </c>
      <c r="O14" s="197"/>
      <c r="P14" s="318" t="s">
        <v>380</v>
      </c>
      <c r="Q14" s="318" t="s">
        <v>380</v>
      </c>
      <c r="R14" s="197"/>
      <c r="S14" s="197"/>
      <c r="T14" s="318" t="s">
        <v>162</v>
      </c>
      <c r="U14" s="197"/>
      <c r="V14" s="200"/>
      <c r="W14" s="197"/>
      <c r="X14" s="197"/>
      <c r="Y14" s="197"/>
      <c r="Z14" s="197"/>
      <c r="AA14" s="197"/>
      <c r="AB14" s="197"/>
      <c r="AC14" s="197"/>
      <c r="AD14" s="197"/>
      <c r="AF14" s="197"/>
      <c r="AG14" s="197"/>
      <c r="AH14" s="197"/>
      <c r="AI14" s="311">
        <f t="shared" ref="AI14:AO14" si="8">COUNTIF($C14:$AB14,AI$4)</f>
        <v>0</v>
      </c>
      <c r="AJ14" s="312">
        <f t="shared" si="8"/>
        <v>1</v>
      </c>
      <c r="AK14" s="311">
        <f t="shared" si="8"/>
        <v>0</v>
      </c>
      <c r="AL14" s="313">
        <f t="shared" si="8"/>
        <v>0</v>
      </c>
      <c r="AM14" s="313">
        <f t="shared" si="8"/>
        <v>0</v>
      </c>
      <c r="AN14" s="313">
        <f t="shared" si="8"/>
        <v>0</v>
      </c>
      <c r="AO14" s="313">
        <f t="shared" si="8"/>
        <v>0</v>
      </c>
      <c r="AP14" s="238"/>
      <c r="AQ14" s="313">
        <f t="shared" si="3"/>
        <v>0</v>
      </c>
      <c r="AR14" s="238"/>
      <c r="AS14" s="238">
        <f t="shared" si="4"/>
        <v>0</v>
      </c>
      <c r="AT14" s="238"/>
      <c r="AU14" s="238">
        <f t="shared" si="5"/>
        <v>0</v>
      </c>
      <c r="AV14" s="238">
        <f t="shared" si="6"/>
        <v>1</v>
      </c>
      <c r="AW14" s="238">
        <f t="shared" si="7"/>
        <v>0</v>
      </c>
      <c r="AX14" s="238" t="e">
        <f>AU14+AY14</f>
        <v>#VALUE!</v>
      </c>
      <c r="AY14" s="313" t="e">
        <f>(BJ14*('Setting key Duty'!$I$8+'Setting key Duty'!$I$12))+(BH14*'Setting key Duty'!$I$9)+(BC14*('Setting key Duty'!$I$13+'Setting key Duty'!$I$9))+(BA14*('Setting key Duty'!$I$13+'Setting key Duty'!$I$12+'Setting key Duty'!$I$11))+(BE14*('Setting key Duty'!$I$8+'Setting key Duty'!$I$9+'Setting key Duty'!$I$12))</f>
        <v>#VALUE!</v>
      </c>
      <c r="AZ14" s="313">
        <f>COUNTIF(C14:AB14,"*BRT*")</f>
        <v>0</v>
      </c>
      <c r="BA14" s="313">
        <f>COUNTIF(A14:AI14,"*$BTP*")</f>
        <v>0</v>
      </c>
      <c r="BB14" s="313" t="e">
        <f>BA14*('Setting key Duty'!$I$13+'Setting key Duty'!$I$12+'Setting key Duty'!$I$11)</f>
        <v>#VALUE!</v>
      </c>
      <c r="BC14" s="313">
        <f>COUNTIF(A14:AI14,"*$L*")</f>
        <v>0</v>
      </c>
      <c r="BD14" s="313" t="e">
        <f>BC14*('Setting key Duty'!$I$13+'Setting key Duty'!$I$9)</f>
        <v>#VALUE!</v>
      </c>
      <c r="BE14" s="313">
        <f>COUNTIF(A14:AI14,"*$M*")</f>
        <v>0</v>
      </c>
      <c r="BF14" s="313">
        <f>BE14*('Setting key Duty'!$I$8+'Setting key Duty'!$I$9+'Setting key Duty'!$I$12)</f>
        <v>0</v>
      </c>
      <c r="BG14" s="313">
        <f>COUNTIF(A14:AI14,"*$N*")</f>
        <v>0</v>
      </c>
      <c r="BH14" s="313">
        <f>COUNTIF(AI14,"*$PM*")</f>
        <v>0</v>
      </c>
      <c r="BI14" s="313">
        <f>BH14*('Setting key Duty'!$I$9)</f>
        <v>0</v>
      </c>
      <c r="BJ14" s="313">
        <f>COUNTIF(A14:AI14,"*$AM*")</f>
        <v>0</v>
      </c>
      <c r="BK14" s="313">
        <f>BJ14*('Setting key Duty'!$I$12+'Setting key Duty'!$I$8)</f>
        <v>0</v>
      </c>
      <c r="BL14" s="313">
        <f>COUNTIF(C14:AI14,"*$FC*")</f>
        <v>0</v>
      </c>
      <c r="BM14" s="313">
        <f>BL14*('Setting key Duty'!$J$11+'Setting key Duty'!$I$8)</f>
        <v>0</v>
      </c>
      <c r="BN14" s="313">
        <f>COUNTIF($C14:$AB14,BN$4)</f>
        <v>0</v>
      </c>
      <c r="BO14" s="313">
        <f>COUNTIF($C14:$AB14,BO$4)</f>
        <v>0</v>
      </c>
      <c r="BP14" s="313">
        <f>COUNTIF($C14:$AB14,BP$4)</f>
        <v>0</v>
      </c>
      <c r="BQ14" s="314"/>
    </row>
    <row r="15" ht="24" customHeight="1" spans="1:69">
      <c r="A15" s="309"/>
      <c r="B15" s="333" t="s">
        <v>191</v>
      </c>
      <c r="C15" s="197"/>
      <c r="D15" s="197"/>
      <c r="E15" s="197"/>
      <c r="F15" s="197"/>
      <c r="G15" s="197"/>
      <c r="H15" s="197"/>
      <c r="I15" s="197"/>
      <c r="J15" s="317"/>
      <c r="K15" s="197"/>
      <c r="L15" s="197"/>
      <c r="M15" s="197"/>
      <c r="N15" s="197"/>
      <c r="O15" s="197"/>
      <c r="P15" s="318"/>
      <c r="Q15" s="318"/>
      <c r="R15" s="283"/>
      <c r="S15" s="197"/>
      <c r="T15" s="318" t="s">
        <v>511</v>
      </c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F15" s="197" t="s">
        <v>512</v>
      </c>
      <c r="AG15" s="197"/>
      <c r="AH15" s="197"/>
      <c r="AI15" s="311"/>
      <c r="AJ15" s="312"/>
      <c r="AK15" s="311"/>
      <c r="AL15" s="313"/>
      <c r="AM15" s="313"/>
      <c r="AN15" s="313"/>
      <c r="AO15" s="313"/>
      <c r="AP15" s="238"/>
      <c r="AQ15" s="313"/>
      <c r="AR15" s="238"/>
      <c r="AS15" s="238"/>
      <c r="AT15" s="238"/>
      <c r="AU15" s="238"/>
      <c r="AV15" s="238"/>
      <c r="AW15" s="238"/>
      <c r="AX15" s="238"/>
      <c r="AY15" s="313"/>
      <c r="AZ15" s="313"/>
      <c r="BA15" s="313"/>
      <c r="BB15" s="313"/>
      <c r="BC15" s="313"/>
      <c r="BD15" s="313"/>
      <c r="BE15" s="313"/>
      <c r="BF15" s="313"/>
      <c r="BG15" s="313"/>
      <c r="BH15" s="313"/>
      <c r="BI15" s="313"/>
      <c r="BJ15" s="313"/>
      <c r="BK15" s="313"/>
      <c r="BL15" s="313"/>
      <c r="BM15" s="313"/>
      <c r="BN15" s="313"/>
      <c r="BO15" s="313"/>
      <c r="BP15" s="313"/>
      <c r="BQ15" s="314"/>
    </row>
    <row r="16" ht="19.5" customHeight="1" spans="1:69">
      <c r="A16" s="309"/>
      <c r="B16" s="334" t="s">
        <v>286</v>
      </c>
      <c r="C16" s="197"/>
      <c r="D16" s="197"/>
      <c r="E16" s="197"/>
      <c r="F16" s="197"/>
      <c r="G16" s="324"/>
      <c r="H16" s="197"/>
      <c r="I16" s="197" t="s">
        <v>96</v>
      </c>
      <c r="J16" s="197"/>
      <c r="K16" s="197"/>
      <c r="L16" s="197"/>
      <c r="M16" s="317"/>
      <c r="N16" s="317"/>
      <c r="O16" s="317"/>
      <c r="P16" s="197"/>
      <c r="Q16" s="197"/>
      <c r="S16" s="197"/>
      <c r="T16" s="196"/>
      <c r="V16" s="200"/>
      <c r="W16" s="197"/>
      <c r="X16" s="197"/>
      <c r="Y16" s="197"/>
      <c r="Z16" s="197"/>
      <c r="AA16" s="197"/>
      <c r="AB16" s="197"/>
      <c r="AC16" s="197"/>
      <c r="AD16" s="197" t="s">
        <v>69</v>
      </c>
      <c r="AE16" s="197"/>
      <c r="AF16" s="197"/>
      <c r="AG16" s="197"/>
      <c r="AH16" s="197"/>
      <c r="AI16" s="311">
        <f t="shared" ref="AI16:AO16" si="9">COUNTIF($C16:$AF16,AI$4)</f>
        <v>0</v>
      </c>
      <c r="AJ16" s="312">
        <f t="shared" si="9"/>
        <v>0</v>
      </c>
      <c r="AK16" s="311">
        <f t="shared" si="9"/>
        <v>0</v>
      </c>
      <c r="AL16" s="313">
        <f t="shared" si="9"/>
        <v>0</v>
      </c>
      <c r="AM16" s="313">
        <f t="shared" si="9"/>
        <v>0</v>
      </c>
      <c r="AN16" s="313">
        <f t="shared" si="9"/>
        <v>0</v>
      </c>
      <c r="AO16" s="313">
        <f t="shared" si="9"/>
        <v>0</v>
      </c>
      <c r="AP16" s="238"/>
      <c r="AQ16" s="313">
        <f t="shared" ref="AQ16:AQ21" si="10">SUMPRODUCT(--WEEKDAY(C$3:AG$3,2)&lt;6,--((C16:AG16="DM"))+(C16:AG16="CS1")+((C16:AG16="CS2"))+(C16:AG16="SB1")+(C16:AG16="AE")+(C16:AG16="EM"))</f>
        <v>0</v>
      </c>
      <c r="AR16" s="238"/>
      <c r="AS16" s="238">
        <f t="shared" ref="AS16:AS21" si="11">SUMPRODUCT(--WEEKDAY(C$3:AG$3,2)&gt;5,--((C16:AG16="DM"))+(C16:AG16="CS1")+((C16:AG16="CS2"))+(C16:AG16="SB1")+(C16:AG16="AE")+(C16:AG16="EM"))</f>
        <v>0</v>
      </c>
      <c r="AT16" s="238"/>
      <c r="AU16" s="238">
        <f t="shared" ref="AU16:AU21" si="12">(AQ16-AR16)/2+(AS16-AT16)</f>
        <v>0</v>
      </c>
      <c r="AV16" s="238">
        <f t="shared" ref="AV16:AV21" si="13">AI16+AJ16+AK16+AL16+AN16+AO16</f>
        <v>0</v>
      </c>
      <c r="AW16" s="238">
        <f t="shared" ref="AW16:AW21" si="14">BG16+BH16+BJ16+BE16+BC16+BA16+BL16</f>
        <v>0</v>
      </c>
      <c r="AX16" s="238" t="e">
        <f>AU16+AY16</f>
        <v>#VALUE!</v>
      </c>
      <c r="AY16" s="313" t="e">
        <f>(BJ16*('Setting key Duty'!$I$8+'Setting key Duty'!$I$12))+(BH16*'Setting key Duty'!$I$9)+(BC16*('Setting key Duty'!$I$13+'Setting key Duty'!$I$9))+(BA16*('Setting key Duty'!$I$13+'Setting key Duty'!$I$12+'Setting key Duty'!$I$11))+(BE16*('Setting key Duty'!$I$8+'Setting key Duty'!$I$9+'Setting key Duty'!$I$12))</f>
        <v>#VALUE!</v>
      </c>
      <c r="AZ16" s="313">
        <f>COUNTIF(C16:AC16,"*BRT*")</f>
        <v>0</v>
      </c>
      <c r="BA16" s="313">
        <f t="shared" ref="BA16:BA21" si="15">COUNTIF(A16:AI16,"*$BTP*")</f>
        <v>0</v>
      </c>
      <c r="BB16" s="313" t="e">
        <f>BA16*('Setting key Duty'!$I$13+'Setting key Duty'!$I$12+'Setting key Duty'!$I$11)</f>
        <v>#VALUE!</v>
      </c>
      <c r="BC16" s="313">
        <f>COUNTIF(I16:AI16,"*$L*")</f>
        <v>0</v>
      </c>
      <c r="BD16" s="313" t="e">
        <f>BC16*('Setting key Duty'!$I$13+'Setting key Duty'!$I$9)</f>
        <v>#VALUE!</v>
      </c>
      <c r="BE16" s="313">
        <f>COUNTIF(I16:AI16,"*$M*")</f>
        <v>0</v>
      </c>
      <c r="BF16" s="313">
        <f>BE16*('Setting key Duty'!$I$8+'Setting key Duty'!$I$9+'Setting key Duty'!$I$12)</f>
        <v>0</v>
      </c>
      <c r="BG16" s="313">
        <f>COUNTIF(I16:AI16,"*$N*")</f>
        <v>0</v>
      </c>
      <c r="BH16" s="313">
        <f>COUNTIF(I16:AI16,"*$PM*")</f>
        <v>0</v>
      </c>
      <c r="BI16" s="313">
        <f>BH16*('Setting key Duty'!$I$9)</f>
        <v>0</v>
      </c>
      <c r="BJ16" s="313">
        <f>COUNTIF(I16:AI16,"*$AM*")</f>
        <v>0</v>
      </c>
      <c r="BK16" s="313">
        <f>BJ16*('Setting key Duty'!$I$12+'Setting key Duty'!$I$8)</f>
        <v>0</v>
      </c>
      <c r="BL16" s="313">
        <f>COUNTIF(C16:AI16,"*$FC*")</f>
        <v>0</v>
      </c>
      <c r="BM16" s="313">
        <f>BL16*('Setting key Duty'!$J$11+'Setting key Duty'!$I$8)</f>
        <v>0</v>
      </c>
      <c r="BN16" s="313">
        <f>COUNTIF($C16:$AF16,BN$4)</f>
        <v>0</v>
      </c>
      <c r="BO16" s="313">
        <f>COUNTIF($C16:$AF16,BO$4)</f>
        <v>0</v>
      </c>
      <c r="BP16" s="313">
        <f>COUNTIF($I16:$AE16,BP$4)</f>
        <v>0</v>
      </c>
      <c r="BQ16" s="314"/>
    </row>
    <row r="17" ht="19.5" customHeight="1" spans="1:69">
      <c r="A17" s="309"/>
      <c r="B17" s="329" t="s">
        <v>426</v>
      </c>
      <c r="C17" s="317"/>
      <c r="D17" s="197"/>
      <c r="E17" s="197"/>
      <c r="F17" s="197"/>
      <c r="G17" s="197"/>
      <c r="H17" s="197"/>
      <c r="I17" s="197"/>
      <c r="J17" s="197"/>
      <c r="K17" s="197" t="s">
        <v>61</v>
      </c>
      <c r="L17" s="197"/>
      <c r="M17" s="197"/>
      <c r="N17" s="197"/>
      <c r="O17" s="197"/>
      <c r="P17" s="197"/>
      <c r="Q17" s="197"/>
      <c r="R17" s="197"/>
      <c r="S17" s="197"/>
      <c r="T17" s="197"/>
      <c r="U17" s="317"/>
      <c r="V17" s="106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311"/>
      <c r="AJ17" s="312"/>
      <c r="AK17" s="311"/>
      <c r="AL17" s="313"/>
      <c r="AM17" s="313"/>
      <c r="AN17" s="313"/>
      <c r="AO17" s="313"/>
      <c r="AP17" s="238"/>
      <c r="AQ17" s="313">
        <f t="shared" si="10"/>
        <v>0</v>
      </c>
      <c r="AR17" s="238"/>
      <c r="AS17" s="238">
        <f t="shared" si="11"/>
        <v>0</v>
      </c>
      <c r="AT17" s="238"/>
      <c r="AU17" s="238">
        <f t="shared" si="12"/>
        <v>0</v>
      </c>
      <c r="AV17" s="238">
        <f t="shared" si="13"/>
        <v>0</v>
      </c>
      <c r="AW17" s="238">
        <f t="shared" si="14"/>
        <v>0</v>
      </c>
      <c r="AX17" s="238" t="e">
        <f>AU17+$AY$11</f>
        <v>#VALUE!</v>
      </c>
      <c r="AY17" s="313" t="e">
        <f>(BJ17*('Setting key Duty'!$I$8+'Setting key Duty'!$I$12))+(BH17*'Setting key Duty'!$I$9)+(BC17*('Setting key Duty'!$I$13+'Setting key Duty'!$I$9))+(BA17*('Setting key Duty'!$I$13+'Setting key Duty'!$I$12+'Setting key Duty'!$I$11))+(BE17*('Setting key Duty'!$I$8+'Setting key Duty'!$I$9+'Setting key Duty'!$I$12))</f>
        <v>#VALUE!</v>
      </c>
      <c r="AZ17" s="313">
        <f>COUNTIF(D17:AA17,"*BRT*")</f>
        <v>0</v>
      </c>
      <c r="BA17" s="313">
        <f t="shared" si="15"/>
        <v>0</v>
      </c>
      <c r="BB17" s="313" t="e">
        <f>BA17*('Setting key Duty'!$I$13+'Setting key Duty'!$I$12+'Setting key Duty'!$I$11)</f>
        <v>#VALUE!</v>
      </c>
      <c r="BC17" s="313">
        <f>COUNTIF(A17:AI17,"*$L*")</f>
        <v>0</v>
      </c>
      <c r="BD17" s="313" t="e">
        <f>BC17*('Setting key Duty'!$I$13+'Setting key Duty'!$I$9)</f>
        <v>#VALUE!</v>
      </c>
      <c r="BE17" s="313">
        <f>COUNTIF(A17:AI17,"*$M*")</f>
        <v>0</v>
      </c>
      <c r="BF17" s="313">
        <f>BE17*('Setting key Duty'!$I$8+'Setting key Duty'!$I$9+'Setting key Duty'!$I$12)</f>
        <v>0</v>
      </c>
      <c r="BG17" s="313">
        <f>COUNTIF(AI17,"*$N*")</f>
        <v>0</v>
      </c>
      <c r="BH17" s="313">
        <f>COUNTIF(AI17,"*$PM*")</f>
        <v>0</v>
      </c>
      <c r="BI17" s="313">
        <f>BH17*('Setting key Duty'!$I$9)</f>
        <v>0</v>
      </c>
      <c r="BJ17" s="313">
        <f>COUNTIF(A17:AI17,"*$AM*")</f>
        <v>0</v>
      </c>
      <c r="BK17" s="313">
        <f>BJ17*('Setting key Duty'!$I$12+'Setting key Duty'!$I$8)</f>
        <v>0</v>
      </c>
      <c r="BL17" s="313">
        <f>COUNTIF(D17:AI17,"*$FC*")</f>
        <v>0</v>
      </c>
      <c r="BM17" s="313">
        <f>BL17*('Setting key Duty'!$J$11+'Setting key Duty'!$I$8)</f>
        <v>0</v>
      </c>
      <c r="BN17" s="313">
        <f>COUNTIF($D17:$AA17,BN$4)</f>
        <v>0</v>
      </c>
      <c r="BO17" s="313">
        <f>COUNTIF($D17:$AA17,BO$4)</f>
        <v>0</v>
      </c>
      <c r="BP17" s="313">
        <f>COUNTIF($D17:$AA17,BP$4)</f>
        <v>0</v>
      </c>
      <c r="BQ17" s="314"/>
    </row>
    <row r="18" ht="19.5" customHeight="1" spans="1:69">
      <c r="A18" s="309"/>
      <c r="B18" s="335" t="s">
        <v>427</v>
      </c>
      <c r="C18" s="317"/>
      <c r="E18" s="197"/>
      <c r="F18" s="197"/>
      <c r="G18" s="197"/>
      <c r="H18" s="197"/>
      <c r="I18" s="197"/>
      <c r="J18" s="197"/>
      <c r="K18" s="197" t="s">
        <v>61</v>
      </c>
      <c r="L18" s="197"/>
      <c r="M18" s="197"/>
      <c r="N18" s="197"/>
      <c r="P18" s="197"/>
      <c r="Q18" s="197"/>
      <c r="R18" s="197"/>
      <c r="S18" s="197"/>
      <c r="T18" s="197"/>
      <c r="U18" s="197"/>
      <c r="V18" s="200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311"/>
      <c r="AJ18" s="312"/>
      <c r="AK18" s="311"/>
      <c r="AL18" s="313"/>
      <c r="AM18" s="313"/>
      <c r="AN18" s="313"/>
      <c r="AO18" s="313"/>
      <c r="AP18" s="238"/>
      <c r="AQ18" s="313">
        <f t="shared" si="10"/>
        <v>0</v>
      </c>
      <c r="AR18" s="238"/>
      <c r="AS18" s="238">
        <f t="shared" si="11"/>
        <v>0</v>
      </c>
      <c r="AT18" s="238"/>
      <c r="AU18" s="238">
        <f t="shared" si="12"/>
        <v>0</v>
      </c>
      <c r="AV18" s="238">
        <f t="shared" si="13"/>
        <v>0</v>
      </c>
      <c r="AW18" s="238">
        <f t="shared" si="14"/>
        <v>0</v>
      </c>
      <c r="AX18" s="238" t="e">
        <f>AU18+$AY$11</f>
        <v>#VALUE!</v>
      </c>
      <c r="AY18" s="313" t="e">
        <f>(BJ18*('Setting key Duty'!$I$8+'Setting key Duty'!$I$12))+(BH18*'Setting key Duty'!$I$9)+(BC18*('Setting key Duty'!$I$13+'Setting key Duty'!$I$9))+(BA18*('Setting key Duty'!$I$13+'Setting key Duty'!$I$12+'Setting key Duty'!$I$11))+(BE18*('Setting key Duty'!$I$8+'Setting key Duty'!$I$9+'Setting key Duty'!$I$12))</f>
        <v>#VALUE!</v>
      </c>
      <c r="AZ18" s="313">
        <f>COUNTIF(E18:Y18,"*BRT*")</f>
        <v>0</v>
      </c>
      <c r="BA18" s="313">
        <f t="shared" si="15"/>
        <v>0</v>
      </c>
      <c r="BB18" s="313" t="e">
        <f>BA18*('Setting key Duty'!$I$13+'Setting key Duty'!$I$12+'Setting key Duty'!$I$11)</f>
        <v>#VALUE!</v>
      </c>
      <c r="BC18" s="313">
        <f>COUNTIF(A18:AI18,"*$L*")</f>
        <v>0</v>
      </c>
      <c r="BD18" s="313" t="e">
        <f>BC18*('Setting key Duty'!$I$13+'Setting key Duty'!$I$9)</f>
        <v>#VALUE!</v>
      </c>
      <c r="BE18" s="313">
        <f>COUNTIF(A18:AI18,"*$M*")</f>
        <v>0</v>
      </c>
      <c r="BF18" s="313">
        <f>BE18*('Setting key Duty'!$I$8+'Setting key Duty'!$I$9+'Setting key Duty'!$I$12)</f>
        <v>0</v>
      </c>
      <c r="BG18" s="313">
        <f>COUNTIF(AI18,"*$N*")</f>
        <v>0</v>
      </c>
      <c r="BH18" s="313">
        <f>COUNTIF(AI18,"*$PM*")</f>
        <v>0</v>
      </c>
      <c r="BI18" s="313">
        <f>BH18*('Setting key Duty'!$I$9)</f>
        <v>0</v>
      </c>
      <c r="BJ18" s="313">
        <f>COUNTIF(A18:AI18,"*$AM*")</f>
        <v>0</v>
      </c>
      <c r="BK18" s="313">
        <f>BJ18*('Setting key Duty'!$I$12+'Setting key Duty'!$I$8)</f>
        <v>0</v>
      </c>
      <c r="BL18" s="313">
        <f>COUNTIF(E18:AI18,"*$FC*")</f>
        <v>0</v>
      </c>
      <c r="BM18" s="313">
        <f>BL18*('Setting key Duty'!$J$11+'Setting key Duty'!$I$8)</f>
        <v>0</v>
      </c>
      <c r="BN18" s="313">
        <f>COUNTIF($E18:$Y18,BN$4)</f>
        <v>0</v>
      </c>
      <c r="BO18" s="313">
        <f>COUNTIF($E18:$Y18,BO$4)</f>
        <v>0</v>
      </c>
      <c r="BP18" s="313">
        <f>COUNTIF($E18:$Y18,BP$4)</f>
        <v>0</v>
      </c>
      <c r="BQ18" s="314"/>
    </row>
    <row r="19" ht="30.75" customHeight="1" spans="1:69">
      <c r="A19" s="309"/>
      <c r="B19" s="327" t="s">
        <v>472</v>
      </c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N19" s="197"/>
      <c r="O19" s="197"/>
      <c r="P19" s="197"/>
      <c r="Q19" s="197"/>
      <c r="R19" s="197" t="s">
        <v>61</v>
      </c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06"/>
      <c r="AI19" s="311"/>
      <c r="AJ19" s="312"/>
      <c r="AK19" s="311"/>
      <c r="AL19" s="313"/>
      <c r="AM19" s="313"/>
      <c r="AN19" s="313"/>
      <c r="AO19" s="313"/>
      <c r="AP19" s="238"/>
      <c r="AQ19" s="313">
        <f t="shared" si="10"/>
        <v>0</v>
      </c>
      <c r="AR19" s="238"/>
      <c r="AS19" s="238">
        <f t="shared" si="11"/>
        <v>0</v>
      </c>
      <c r="AT19" s="238"/>
      <c r="AU19" s="238">
        <f t="shared" si="12"/>
        <v>0</v>
      </c>
      <c r="AV19" s="238">
        <f t="shared" si="13"/>
        <v>0</v>
      </c>
      <c r="AW19" s="238">
        <f t="shared" si="14"/>
        <v>0</v>
      </c>
      <c r="AX19" s="238" t="e">
        <f>AU19+$AY$11</f>
        <v>#VALUE!</v>
      </c>
      <c r="AY19" s="313" t="e">
        <f>(BJ19*('Setting key Duty'!$I$8+'Setting key Duty'!$I$12))+(BH19*'Setting key Duty'!$I$9)+(BC19*('Setting key Duty'!$I$13+'Setting key Duty'!$I$9))+(BA19*('Setting key Duty'!$I$13+'Setting key Duty'!$I$12+'Setting key Duty'!$I$11))+(BE19*('Setting key Duty'!$I$8+'Setting key Duty'!$I$9+'Setting key Duty'!$I$12))</f>
        <v>#VALUE!</v>
      </c>
      <c r="AZ19" s="313">
        <f>COUNTIF(D19:AA19,"*BRT*")</f>
        <v>0</v>
      </c>
      <c r="BA19" s="313">
        <f t="shared" si="15"/>
        <v>0</v>
      </c>
      <c r="BB19" s="313" t="e">
        <f>BA19*('Setting key Duty'!$I$13+'Setting key Duty'!$I$12+'Setting key Duty'!$I$11)</f>
        <v>#VALUE!</v>
      </c>
      <c r="BC19" s="313">
        <f>COUNTIF(A19:AI19,"*$L*")</f>
        <v>0</v>
      </c>
      <c r="BD19" s="313" t="e">
        <f>BC19*('Setting key Duty'!$I$13+'Setting key Duty'!$I$9)</f>
        <v>#VALUE!</v>
      </c>
      <c r="BE19" s="313">
        <f>COUNTIF(A19:AI19,"*$M*")</f>
        <v>0</v>
      </c>
      <c r="BF19" s="313">
        <f>BE19*('Setting key Duty'!$I$8+'Setting key Duty'!$I$9+'Setting key Duty'!$I$12)</f>
        <v>0</v>
      </c>
      <c r="BG19" s="313">
        <f>COUNTIF(AI19,"*$N*")</f>
        <v>0</v>
      </c>
      <c r="BH19" s="313">
        <f>COUNTIF(AI19,"*$PM*")</f>
        <v>0</v>
      </c>
      <c r="BI19" s="313">
        <f>BH19*('Setting key Duty'!$I$9)</f>
        <v>0</v>
      </c>
      <c r="BJ19" s="313">
        <f>COUNTIF(A19:AI19,"*$AM*")</f>
        <v>0</v>
      </c>
      <c r="BK19" s="313">
        <f>BJ19*('Setting key Duty'!$I$12+'Setting key Duty'!$I$8)</f>
        <v>0</v>
      </c>
      <c r="BL19" s="313">
        <f>COUNTIF(D19:AI19,"*$FC*")</f>
        <v>0</v>
      </c>
      <c r="BM19" s="313">
        <f>BL19*('Setting key Duty'!$J$11+'Setting key Duty'!$I$8)</f>
        <v>0</v>
      </c>
      <c r="BN19" s="313">
        <f>COUNTIF($D19:$AA19,BN$4)</f>
        <v>0</v>
      </c>
      <c r="BO19" s="313">
        <f>COUNTIF($D19:$AA19,BO$4)</f>
        <v>0</v>
      </c>
      <c r="BP19" s="313">
        <f>COUNTIF($D19:$AA19,BP$4)</f>
        <v>0</v>
      </c>
      <c r="BQ19" s="314"/>
    </row>
    <row r="20" ht="27.75" customHeight="1" spans="1:69">
      <c r="A20" s="309"/>
      <c r="B20" s="336" t="s">
        <v>473</v>
      </c>
      <c r="D20" s="197"/>
      <c r="E20" s="197"/>
      <c r="G20" s="197"/>
      <c r="I20" s="197"/>
      <c r="J20" s="197"/>
      <c r="K20" s="197"/>
      <c r="L20" s="196"/>
      <c r="M20" s="197"/>
      <c r="N20" s="197"/>
      <c r="P20" s="197"/>
      <c r="Q20" s="197"/>
      <c r="R20" s="197" t="s">
        <v>513</v>
      </c>
      <c r="S20" s="197"/>
      <c r="T20" s="197"/>
      <c r="U20" s="197"/>
      <c r="V20" s="200"/>
      <c r="W20" s="197"/>
      <c r="X20" s="197"/>
      <c r="Y20" s="197"/>
      <c r="Z20" s="197"/>
      <c r="AA20" s="197"/>
      <c r="AB20" s="197"/>
      <c r="AC20" s="317"/>
      <c r="AD20" s="197"/>
      <c r="AE20" s="197"/>
      <c r="AF20" s="197"/>
      <c r="AG20" s="197"/>
      <c r="AH20" s="197"/>
      <c r="AI20" s="311"/>
      <c r="AJ20" s="312"/>
      <c r="AK20" s="311"/>
      <c r="AL20" s="313"/>
      <c r="AM20" s="313"/>
      <c r="AN20" s="313"/>
      <c r="AO20" s="313"/>
      <c r="AP20" s="238"/>
      <c r="AQ20" s="313">
        <f t="shared" si="10"/>
        <v>0</v>
      </c>
      <c r="AR20" s="238"/>
      <c r="AS20" s="238">
        <f t="shared" si="11"/>
        <v>0</v>
      </c>
      <c r="AT20" s="238"/>
      <c r="AU20" s="238">
        <f t="shared" si="12"/>
        <v>0</v>
      </c>
      <c r="AV20" s="238">
        <f t="shared" si="13"/>
        <v>0</v>
      </c>
      <c r="AW20" s="238">
        <f t="shared" si="14"/>
        <v>1</v>
      </c>
      <c r="AX20" s="238" t="e">
        <f>AU20+$AY$11</f>
        <v>#VALUE!</v>
      </c>
      <c r="AY20" s="313" t="e">
        <f>(BJ20*('Setting key Duty'!$I$8+'Setting key Duty'!$I$12))+(BH20*'Setting key Duty'!$I$9)+(BC20*('Setting key Duty'!$I$13+'Setting key Duty'!$I$9))+(BA20*('Setting key Duty'!$I$13+'Setting key Duty'!$I$12+'Setting key Duty'!$I$11))+(BE20*('Setting key Duty'!$I$8+'Setting key Duty'!$I$9+'Setting key Duty'!$I$12))</f>
        <v>#VALUE!</v>
      </c>
      <c r="AZ20" s="313">
        <f>COUNTIF(C20:AA20,"*BRT*")</f>
        <v>0</v>
      </c>
      <c r="BA20" s="313">
        <f t="shared" si="15"/>
        <v>0</v>
      </c>
      <c r="BB20" s="313" t="e">
        <f>BA20*('Setting key Duty'!$I$13+'Setting key Duty'!$I$12+'Setting key Duty'!$I$11)</f>
        <v>#VALUE!</v>
      </c>
      <c r="BC20" s="313">
        <f>COUNTIF(A20:AI20,"*$L*")</f>
        <v>0</v>
      </c>
      <c r="BD20" s="313" t="e">
        <f>BC20*('Setting key Duty'!$I$13+'Setting key Duty'!$I$9)</f>
        <v>#VALUE!</v>
      </c>
      <c r="BE20" s="313">
        <f>COUNTIF(A20:AI20,"*$M*")</f>
        <v>0</v>
      </c>
      <c r="BF20" s="313">
        <f>BE20*('Setting key Duty'!$I$8+'Setting key Duty'!$I$9+'Setting key Duty'!$I$12)</f>
        <v>0</v>
      </c>
      <c r="BG20" s="313">
        <f>COUNTIF(AI20,"*$N*")</f>
        <v>0</v>
      </c>
      <c r="BH20" s="313">
        <f>COUNTIF(AI20,"*$PM*")</f>
        <v>0</v>
      </c>
      <c r="BI20" s="313">
        <f>BH20*('Setting key Duty'!$I$9)</f>
        <v>0</v>
      </c>
      <c r="BJ20" s="313">
        <f>COUNTIF(A20:AI20,"*$AM*")</f>
        <v>1</v>
      </c>
      <c r="BK20" s="313">
        <f>BJ20*('Setting key Duty'!$I$12+'Setting key Duty'!$I$8)</f>
        <v>0.4375</v>
      </c>
      <c r="BL20" s="313">
        <f>COUNTIF(C20:AI20,"*$FC*")</f>
        <v>0</v>
      </c>
      <c r="BM20" s="313">
        <f>BL20*('Setting key Duty'!$J$11+'Setting key Duty'!$I$8)</f>
        <v>0</v>
      </c>
      <c r="BN20" s="313">
        <f>COUNTIF($C20:$AA20,BN$4)</f>
        <v>0</v>
      </c>
      <c r="BO20" s="313">
        <f>COUNTIF($C20:$AA20,BO$4)</f>
        <v>0</v>
      </c>
      <c r="BP20" s="313">
        <f>COUNTIF($C20:$AA20,BP$4)</f>
        <v>0</v>
      </c>
      <c r="BQ20" s="314"/>
    </row>
    <row r="21" ht="19.5" customHeight="1" spans="1:69">
      <c r="A21" s="309"/>
      <c r="B21" s="332" t="s">
        <v>475</v>
      </c>
      <c r="C21" s="316"/>
      <c r="D21" s="197"/>
      <c r="E21" s="197"/>
      <c r="F21" s="197"/>
      <c r="G21" s="197"/>
      <c r="H21" s="197"/>
      <c r="I21" s="197"/>
      <c r="J21" s="317"/>
      <c r="K21" s="197"/>
      <c r="L21" s="197"/>
      <c r="M21" s="317"/>
      <c r="N21" s="197" t="s">
        <v>59</v>
      </c>
      <c r="O21" s="197"/>
      <c r="P21" s="318" t="s">
        <v>380</v>
      </c>
      <c r="Q21" s="318" t="s">
        <v>380</v>
      </c>
      <c r="R21" s="197"/>
      <c r="T21" s="318" t="s">
        <v>162</v>
      </c>
      <c r="U21" s="197"/>
      <c r="V21" s="197"/>
      <c r="X21" s="197"/>
      <c r="Y21" s="197"/>
      <c r="AA21" s="197"/>
      <c r="AB21" s="317"/>
      <c r="AC21" s="197"/>
      <c r="AD21" s="317"/>
      <c r="AF21" s="197"/>
      <c r="AG21" s="197"/>
      <c r="AH21" s="197"/>
      <c r="AI21" s="311"/>
      <c r="AJ21" s="312"/>
      <c r="AK21" s="311"/>
      <c r="AL21" s="313"/>
      <c r="AM21" s="313"/>
      <c r="AN21" s="313"/>
      <c r="AO21" s="313"/>
      <c r="AP21" s="238"/>
      <c r="AQ21" s="313">
        <f t="shared" si="10"/>
        <v>0</v>
      </c>
      <c r="AR21" s="238"/>
      <c r="AS21" s="238">
        <f t="shared" si="11"/>
        <v>0</v>
      </c>
      <c r="AT21" s="238"/>
      <c r="AU21" s="238">
        <f t="shared" si="12"/>
        <v>0</v>
      </c>
      <c r="AV21" s="238">
        <f t="shared" si="13"/>
        <v>0</v>
      </c>
      <c r="AW21" s="238">
        <f t="shared" si="14"/>
        <v>0</v>
      </c>
      <c r="AX21" s="238" t="e">
        <f>AU21+AY21</f>
        <v>#VALUE!</v>
      </c>
      <c r="AY21" s="313" t="e">
        <f>(BJ21*('Setting key Duty'!$I$8+'Setting key Duty'!$I$12))+(BH21*'Setting key Duty'!$I$9)+(BC21*('Setting key Duty'!$I$13+'Setting key Duty'!$I$9))+(BA21*('Setting key Duty'!$I$13+'Setting key Duty'!$I$12+'Setting key Duty'!$I$11))+(BE21*('Setting key Duty'!$I$8+'Setting key Duty'!$I$9+'Setting key Duty'!$I$12))</f>
        <v>#VALUE!</v>
      </c>
      <c r="AZ21" s="313">
        <f>COUNTIF(D21:AB21,"*BRT*")</f>
        <v>0</v>
      </c>
      <c r="BA21" s="313">
        <f t="shared" si="15"/>
        <v>0</v>
      </c>
      <c r="BB21" s="313" t="e">
        <f>BA21*('Setting key Duty'!$I$13+'Setting key Duty'!$I$12+'Setting key Duty'!$I$11)</f>
        <v>#VALUE!</v>
      </c>
      <c r="BC21" s="313">
        <f>COUNTIF(A21:AI21,"*$L*")</f>
        <v>0</v>
      </c>
      <c r="BD21" s="313" t="e">
        <f>BC21*('Setting key Duty'!$I$13+'Setting key Duty'!$I$9)</f>
        <v>#VALUE!</v>
      </c>
      <c r="BE21" s="313">
        <f>COUNTIF(A21:AI21,"*$M*")</f>
        <v>0</v>
      </c>
      <c r="BF21" s="313">
        <f>BE21*('Setting key Duty'!$I$8+'Setting key Duty'!$I$9+'Setting key Duty'!$I$12)</f>
        <v>0</v>
      </c>
      <c r="BG21" s="313">
        <f>COUNTIF(AF21:AI21,"*$N*")</f>
        <v>0</v>
      </c>
      <c r="BH21" s="313">
        <f>COUNTIF(AF21:AI21,"*$PM*")</f>
        <v>0</v>
      </c>
      <c r="BI21" s="313">
        <f>BH21*('Setting key Duty'!$I$9)</f>
        <v>0</v>
      </c>
      <c r="BJ21" s="313">
        <f>COUNTIF(A21:AI21,"*$AM*")</f>
        <v>0</v>
      </c>
      <c r="BK21" s="313">
        <f>BJ21*('Setting key Duty'!$I$12+'Setting key Duty'!$I$8)</f>
        <v>0</v>
      </c>
      <c r="BL21" s="313">
        <f>COUNTIF(D21:AI21,"*$FC*")</f>
        <v>0</v>
      </c>
      <c r="BM21" s="313">
        <f>BL21*('Setting key Duty'!$J$11+'Setting key Duty'!$I$8)</f>
        <v>0</v>
      </c>
      <c r="BN21" s="313">
        <f>COUNTIF($D21:$AF21,BN$4)</f>
        <v>0</v>
      </c>
      <c r="BO21" s="313">
        <f>COUNTIF($D21:$AF21,BO$4)</f>
        <v>0</v>
      </c>
      <c r="BP21" s="313">
        <f>COUNTIF($D21:$AF21,BP$4)</f>
        <v>0</v>
      </c>
      <c r="BQ21" s="314"/>
    </row>
    <row r="22" ht="19.5" customHeight="1" spans="1:69">
      <c r="A22" s="309"/>
      <c r="B22" s="337" t="s">
        <v>442</v>
      </c>
      <c r="C22" s="197"/>
      <c r="D22" s="197"/>
      <c r="E22" s="197"/>
      <c r="F22" s="197"/>
      <c r="G22" s="197"/>
      <c r="H22" s="197"/>
      <c r="I22" s="197"/>
      <c r="J22" s="317"/>
      <c r="K22" s="197"/>
      <c r="L22" s="320"/>
      <c r="M22" s="317"/>
      <c r="N22" s="197"/>
      <c r="O22" s="197"/>
      <c r="P22" s="338"/>
      <c r="Q22" s="338"/>
      <c r="R22" s="197"/>
      <c r="T22" s="318"/>
      <c r="U22" s="197"/>
      <c r="V22" s="197"/>
      <c r="X22" s="197"/>
      <c r="Y22" s="197"/>
      <c r="AA22" s="197"/>
      <c r="AB22" s="317"/>
      <c r="AC22" s="197"/>
      <c r="AD22" s="320"/>
      <c r="AF22" s="197"/>
      <c r="AG22" s="197" t="s">
        <v>454</v>
      </c>
      <c r="AH22" s="197"/>
      <c r="AI22" s="311"/>
      <c r="AJ22" s="312"/>
      <c r="AK22" s="311"/>
      <c r="AL22" s="313"/>
      <c r="AM22" s="313"/>
      <c r="AN22" s="313"/>
      <c r="AO22" s="313"/>
      <c r="AP22" s="238"/>
      <c r="AQ22" s="313"/>
      <c r="AR22" s="238"/>
      <c r="AS22" s="238"/>
      <c r="AT22" s="238"/>
      <c r="AU22" s="238"/>
      <c r="AV22" s="238"/>
      <c r="AW22" s="238"/>
      <c r="AX22" s="238"/>
      <c r="AY22" s="313"/>
      <c r="AZ22" s="313"/>
      <c r="BA22" s="313"/>
      <c r="BB22" s="313"/>
      <c r="BC22" s="313"/>
      <c r="BD22" s="313"/>
      <c r="BE22" s="313"/>
      <c r="BF22" s="313"/>
      <c r="BG22" s="313"/>
      <c r="BH22" s="313"/>
      <c r="BI22" s="313"/>
      <c r="BJ22" s="313"/>
      <c r="BK22" s="313"/>
      <c r="BL22" s="313"/>
      <c r="BM22" s="313"/>
      <c r="BN22" s="313"/>
      <c r="BO22" s="313"/>
      <c r="BP22" s="313"/>
      <c r="BQ22" s="314"/>
    </row>
    <row r="23" ht="19.5" customHeight="1" spans="1:69">
      <c r="A23" s="309"/>
      <c r="B23" s="339" t="s">
        <v>388</v>
      </c>
      <c r="C23" s="340" t="s">
        <v>477</v>
      </c>
      <c r="D23" s="340" t="s">
        <v>477</v>
      </c>
      <c r="E23" s="340" t="s">
        <v>477</v>
      </c>
      <c r="F23" s="318" t="s">
        <v>477</v>
      </c>
      <c r="G23" s="318" t="s">
        <v>477</v>
      </c>
      <c r="H23" s="318" t="s">
        <v>477</v>
      </c>
      <c r="I23" s="340" t="s">
        <v>477</v>
      </c>
      <c r="J23" s="340" t="s">
        <v>477</v>
      </c>
      <c r="K23" s="340" t="s">
        <v>477</v>
      </c>
      <c r="L23" s="340" t="s">
        <v>477</v>
      </c>
      <c r="M23" s="318" t="s">
        <v>477</v>
      </c>
      <c r="N23" s="197"/>
      <c r="O23" s="197"/>
      <c r="R23" s="197" t="s">
        <v>61</v>
      </c>
      <c r="T23" s="197"/>
      <c r="U23" s="197" t="s">
        <v>514</v>
      </c>
      <c r="V23" s="200"/>
      <c r="W23" s="197"/>
      <c r="X23" s="197"/>
      <c r="Y23" s="197"/>
      <c r="Z23" s="197"/>
      <c r="AA23" s="197"/>
      <c r="AB23" s="197"/>
      <c r="AC23" s="197" t="s">
        <v>514</v>
      </c>
      <c r="AE23" s="197"/>
      <c r="AF23" s="197"/>
      <c r="AG23" s="197"/>
      <c r="AH23" s="197"/>
      <c r="AI23" s="311"/>
      <c r="AJ23" s="312"/>
      <c r="AK23" s="311"/>
      <c r="AL23" s="313"/>
      <c r="AM23" s="313"/>
      <c r="AN23" s="313"/>
      <c r="AO23" s="313"/>
      <c r="AP23" s="238"/>
      <c r="AQ23" s="313">
        <f>SUMPRODUCT(--WEEKDAY(C$3:AG$3,2)&lt;6,--((C23:AG23="DM"))+(C23:AG23="CS1")+((C23:AG23="CS2"))+(C23:AG23="SB1")+(C23:AG23="AE")+(C23:AG23="EM"))</f>
        <v>0</v>
      </c>
      <c r="AR23" s="238"/>
      <c r="AS23" s="238">
        <f>SUMPRODUCT(--WEEKDAY(C$3:AG$3,2)&gt;5,--((C23:AG23="DM"))+(C23:AG23="CS1")+((C23:AG23="CS2"))+(C23:AG23="SB1")+(C23:AG23="AE")+(C23:AG23="EM"))</f>
        <v>0</v>
      </c>
      <c r="AT23" s="238"/>
      <c r="AU23" s="238">
        <f>(AQ23-AR23)/2+(AS23-AT23)</f>
        <v>0</v>
      </c>
      <c r="AV23" s="238">
        <f>AI23+AJ23+AK23+AL23+AN23+AO23</f>
        <v>0</v>
      </c>
      <c r="AW23" s="238">
        <f>BG23+BH23+BJ23+BE23+BC23+BA23+BL23</f>
        <v>0</v>
      </c>
      <c r="AX23" s="238" t="e">
        <f>AU23+$AY$11</f>
        <v>#VALUE!</v>
      </c>
      <c r="AY23" s="313" t="e">
        <f>(BJ23*('Setting key Duty'!$I$8+'Setting key Duty'!$I$12))+(BH23*'Setting key Duty'!$I$9)+(BC23*('Setting key Duty'!$I$13+'Setting key Duty'!$I$9))+(BA23*('Setting key Duty'!$I$13+'Setting key Duty'!$I$12+'Setting key Duty'!$I$11))+(BE23*('Setting key Duty'!$I$8+'Setting key Duty'!$I$9+'Setting key Duty'!$I$12))</f>
        <v>#VALUE!</v>
      </c>
      <c r="AZ23" s="313"/>
      <c r="BA23" s="313"/>
      <c r="BB23" s="313"/>
      <c r="BC23" s="313"/>
      <c r="BD23" s="313"/>
      <c r="BE23" s="313"/>
      <c r="BF23" s="313"/>
      <c r="BG23" s="313"/>
      <c r="BH23" s="313"/>
      <c r="BI23" s="313"/>
      <c r="BJ23" s="313"/>
      <c r="BK23" s="313"/>
      <c r="BL23" s="313"/>
      <c r="BM23" s="313"/>
      <c r="BN23" s="313"/>
      <c r="BO23" s="313"/>
      <c r="BP23" s="313"/>
      <c r="BQ23" s="314"/>
    </row>
    <row r="24" ht="19.5" customHeight="1" spans="1:69">
      <c r="A24" s="309"/>
      <c r="B24" s="341" t="s">
        <v>434</v>
      </c>
      <c r="C24" s="197" t="s">
        <v>69</v>
      </c>
      <c r="D24" s="340"/>
      <c r="E24" s="342"/>
      <c r="F24" s="318"/>
      <c r="G24" s="318"/>
      <c r="H24" s="318"/>
      <c r="I24" s="340"/>
      <c r="J24" s="340"/>
      <c r="K24" s="340"/>
      <c r="L24" s="340"/>
      <c r="M24" s="338" t="s">
        <v>69</v>
      </c>
      <c r="N24" s="283"/>
      <c r="O24" s="197"/>
      <c r="R24" s="197"/>
      <c r="T24" s="197"/>
      <c r="U24" s="197"/>
      <c r="V24" s="200"/>
      <c r="W24" s="197"/>
      <c r="X24" s="197"/>
      <c r="Y24" s="283"/>
      <c r="Z24" s="197" t="s">
        <v>69</v>
      </c>
      <c r="AA24" s="283"/>
      <c r="AB24" s="197"/>
      <c r="AC24" s="197"/>
      <c r="AE24" s="197"/>
      <c r="AF24" s="197" t="s">
        <v>69</v>
      </c>
      <c r="AG24" s="197" t="s">
        <v>69</v>
      </c>
      <c r="AH24" s="197"/>
      <c r="AI24" s="311"/>
      <c r="AJ24" s="312"/>
      <c r="AK24" s="311"/>
      <c r="AL24" s="313"/>
      <c r="AM24" s="313"/>
      <c r="AN24" s="313"/>
      <c r="AO24" s="313"/>
      <c r="AP24" s="238"/>
      <c r="AQ24" s="313"/>
      <c r="AR24" s="238"/>
      <c r="AS24" s="238"/>
      <c r="AT24" s="238"/>
      <c r="AU24" s="238"/>
      <c r="AV24" s="238"/>
      <c r="AW24" s="238"/>
      <c r="AX24" s="238"/>
      <c r="AY24" s="313"/>
      <c r="AZ24" s="313"/>
      <c r="BA24" s="313"/>
      <c r="BB24" s="313"/>
      <c r="BC24" s="313"/>
      <c r="BD24" s="313"/>
      <c r="BE24" s="313"/>
      <c r="BF24" s="313"/>
      <c r="BG24" s="313"/>
      <c r="BH24" s="313"/>
      <c r="BI24" s="313"/>
      <c r="BJ24" s="313"/>
      <c r="BK24" s="313"/>
      <c r="BL24" s="313"/>
      <c r="BM24" s="313"/>
      <c r="BN24" s="313"/>
      <c r="BO24" s="313"/>
      <c r="BP24" s="313"/>
      <c r="BQ24" s="314"/>
    </row>
    <row r="25" ht="19.5" customHeight="1" spans="1:69">
      <c r="A25" s="309"/>
      <c r="B25" s="327" t="s">
        <v>478</v>
      </c>
      <c r="C25" s="316"/>
      <c r="D25" s="197"/>
      <c r="E25" s="1" t="s">
        <v>514</v>
      </c>
      <c r="F25" s="197"/>
      <c r="G25" s="197"/>
      <c r="H25" s="197"/>
      <c r="I25" s="197"/>
      <c r="J25" s="197"/>
      <c r="K25" s="197"/>
      <c r="L25" s="197"/>
      <c r="M25" s="317"/>
      <c r="O25" s="197"/>
      <c r="P25" s="318" t="s">
        <v>380</v>
      </c>
      <c r="Q25" s="318" t="s">
        <v>380</v>
      </c>
      <c r="R25" s="197"/>
      <c r="S25" s="197"/>
      <c r="T25" s="318" t="s">
        <v>162</v>
      </c>
      <c r="U25" s="196"/>
      <c r="V25" s="196"/>
      <c r="W25" s="197"/>
      <c r="X25" s="197"/>
      <c r="Z25" s="197"/>
      <c r="AB25" s="197"/>
      <c r="AC25" s="197"/>
      <c r="AD25" s="317"/>
      <c r="AE25" s="197"/>
      <c r="AF25" s="197" t="s">
        <v>454</v>
      </c>
      <c r="AG25" s="197"/>
      <c r="AH25" s="197"/>
      <c r="AI25" s="311"/>
      <c r="AJ25" s="312"/>
      <c r="AK25" s="311"/>
      <c r="AL25" s="313"/>
      <c r="AM25" s="313"/>
      <c r="AN25" s="313"/>
      <c r="AO25" s="313"/>
      <c r="AP25" s="238"/>
      <c r="AQ25" s="313">
        <f t="shared" ref="AQ25:AQ41" si="16">SUMPRODUCT(--WEEKDAY(C$3:AG$3,2)&lt;6,--((C25:AG25="DM"))+(C25:AG25="CS1")+((C25:AG25="CS2"))+(C25:AG25="SB1")+(C25:AG25="AE")+(C25:AG25="EM"))</f>
        <v>0</v>
      </c>
      <c r="AR25" s="238"/>
      <c r="AS25" s="238">
        <f t="shared" ref="AS25:AS41" si="17">SUMPRODUCT(--WEEKDAY(C$3:AG$3,2)&gt;5,--((C25:AG25="DM"))+(C25:AG25="CS1")+((C25:AG25="CS2"))+(C25:AG25="SB1")+(C25:AG25="AE")+(C25:AG25="EM"))</f>
        <v>0</v>
      </c>
      <c r="AT25" s="238"/>
      <c r="AU25" s="238">
        <f t="shared" ref="AU25:AU41" si="18">(AQ25-AR25)/2+(AS25-AT25)</f>
        <v>0</v>
      </c>
      <c r="AV25" s="238">
        <f t="shared" ref="AV25:AV41" si="19">AI25+AJ25+AK25+AL25+AN25+AO25</f>
        <v>0</v>
      </c>
      <c r="AW25" s="238">
        <f t="shared" ref="AW25:AW41" si="20">BG25+BH25+BJ25+BE25+BC25+BA25+BL25</f>
        <v>1</v>
      </c>
      <c r="AX25" s="238" t="e">
        <f t="shared" ref="AX25:AX41" si="21">AU25+AY25</f>
        <v>#VALUE!</v>
      </c>
      <c r="AY25" s="313" t="e">
        <f>(BJ25*('Setting key Duty'!$I$8+'Setting key Duty'!$I$12))+(BH25*'Setting key Duty'!$I$9)+(BC25*('Setting key Duty'!$I$13+'Setting key Duty'!$I$9))+(BA25*('Setting key Duty'!$I$13+'Setting key Duty'!$I$12+'Setting key Duty'!$I$11))+(BE25*('Setting key Duty'!$I$8+'Setting key Duty'!$I$9+'Setting key Duty'!$I$12))</f>
        <v>#VALUE!</v>
      </c>
      <c r="AZ25" s="313">
        <f>COUNTIF(D25:AA25,"*BRT*")</f>
        <v>0</v>
      </c>
      <c r="BA25" s="313">
        <f t="shared" ref="BA25:BA41" si="22">COUNTIF(A25:AI25,"*$BTP*")</f>
        <v>1</v>
      </c>
      <c r="BB25" s="313" t="e">
        <f>BA25*('Setting key Duty'!$I$13+'Setting key Duty'!$I$12+'Setting key Duty'!$I$11)</f>
        <v>#VALUE!</v>
      </c>
      <c r="BC25" s="313">
        <f>COUNTIF(A25:AI25,"*$L*")</f>
        <v>0</v>
      </c>
      <c r="BD25" s="313" t="e">
        <f>BC25*('Setting key Duty'!$I$13+'Setting key Duty'!$I$9)</f>
        <v>#VALUE!</v>
      </c>
      <c r="BE25" s="313">
        <f>COUNTIF(A25:AI25,"*$M*")</f>
        <v>0</v>
      </c>
      <c r="BF25" s="313">
        <f>BE25*('Setting key Duty'!$I$8+'Setting key Duty'!$I$9+'Setting key Duty'!$I$12)</f>
        <v>0</v>
      </c>
      <c r="BG25" s="313">
        <f>COUNTIF(AI25,"*$N*")</f>
        <v>0</v>
      </c>
      <c r="BH25" s="313">
        <f>COUNTIF(AI25,"*$PM*")</f>
        <v>0</v>
      </c>
      <c r="BI25" s="313">
        <f>BH25*('Setting key Duty'!$I$9)</f>
        <v>0</v>
      </c>
      <c r="BJ25" s="313">
        <f>COUNTIF(A25:AI25,"*$AM*")</f>
        <v>0</v>
      </c>
      <c r="BK25" s="313">
        <f>BJ25*('Setting key Duty'!$I$12+'Setting key Duty'!$I$8)</f>
        <v>0</v>
      </c>
      <c r="BL25" s="313">
        <f>COUNTIF(D25:AI25,"*$FC*")</f>
        <v>0</v>
      </c>
      <c r="BM25" s="313">
        <f>BL25*('Setting key Duty'!$J$11+'Setting key Duty'!$I$8)</f>
        <v>0</v>
      </c>
      <c r="BN25" s="313">
        <f>COUNTIF($D25:$AA25,BN$4)</f>
        <v>0</v>
      </c>
      <c r="BO25" s="313">
        <f>COUNTIF($D25:$AA25,BO$4)</f>
        <v>0</v>
      </c>
      <c r="BP25" s="313">
        <f>COUNTIF($D25:$AA25,BP$4)</f>
        <v>0</v>
      </c>
      <c r="BQ25" s="314"/>
    </row>
    <row r="26" ht="19.5" customHeight="1" spans="1:69">
      <c r="A26" s="309"/>
      <c r="B26" s="337" t="s">
        <v>436</v>
      </c>
      <c r="C26" s="197"/>
      <c r="D26" s="106"/>
      <c r="E26" s="197"/>
      <c r="F26" s="197"/>
      <c r="G26" s="197"/>
      <c r="H26" s="197"/>
      <c r="I26" s="197"/>
      <c r="J26" s="197"/>
      <c r="K26" s="197"/>
      <c r="L26" s="197"/>
      <c r="M26" s="197" t="s">
        <v>515</v>
      </c>
      <c r="N26" s="197"/>
      <c r="O26" s="197"/>
      <c r="P26" s="197" t="s">
        <v>516</v>
      </c>
      <c r="Q26" s="197"/>
      <c r="R26" s="197"/>
      <c r="S26" s="197"/>
      <c r="T26" s="197"/>
      <c r="U26" s="197"/>
      <c r="V26" s="200"/>
      <c r="W26" s="197"/>
      <c r="X26" s="197"/>
      <c r="Y26" s="197"/>
      <c r="AA26" s="197"/>
      <c r="AB26" s="197"/>
      <c r="AC26" s="197"/>
      <c r="AD26" s="317"/>
      <c r="AE26" s="197"/>
      <c r="AF26" s="317"/>
      <c r="AH26" s="197"/>
      <c r="AI26" s="311"/>
      <c r="AJ26" s="312"/>
      <c r="AK26" s="311"/>
      <c r="AL26" s="313"/>
      <c r="AM26" s="313"/>
      <c r="AN26" s="313"/>
      <c r="AO26" s="313"/>
      <c r="AP26" s="238"/>
      <c r="AQ26" s="313">
        <f t="shared" si="16"/>
        <v>0</v>
      </c>
      <c r="AR26" s="238"/>
      <c r="AS26" s="238">
        <f t="shared" si="17"/>
        <v>0</v>
      </c>
      <c r="AT26" s="238"/>
      <c r="AU26" s="238">
        <f t="shared" si="18"/>
        <v>0</v>
      </c>
      <c r="AV26" s="238">
        <f t="shared" si="19"/>
        <v>0</v>
      </c>
      <c r="AW26" s="238">
        <f t="shared" si="20"/>
        <v>2</v>
      </c>
      <c r="AX26" s="238" t="e">
        <f t="shared" si="21"/>
        <v>#VALUE!</v>
      </c>
      <c r="AY26" s="313" t="e">
        <f>(BJ26*('Setting key Duty'!$I$8+'Setting key Duty'!$I$12))+(BH26*'Setting key Duty'!$I$9)+(BC26*('Setting key Duty'!$I$13+'Setting key Duty'!$I$9))+(BA26*('Setting key Duty'!$I$13+'Setting key Duty'!$I$12+'Setting key Duty'!$I$11))+(BE26*('Setting key Duty'!$I$8+'Setting key Duty'!$I$9+'Setting key Duty'!$I$12))</f>
        <v>#VALUE!</v>
      </c>
      <c r="AZ26" s="313">
        <f>COUNTIF(C26:W26,"*BRT*")</f>
        <v>0</v>
      </c>
      <c r="BA26" s="313">
        <f t="shared" si="22"/>
        <v>0</v>
      </c>
      <c r="BB26" s="313" t="e">
        <f>BA26*('Setting key Duty'!$I$13+'Setting key Duty'!$I$12+'Setting key Duty'!$I$11)</f>
        <v>#VALUE!</v>
      </c>
      <c r="BC26" s="313">
        <f t="shared" ref="BC26:BC41" si="23">COUNTIF(D26:AI26,"*$L*")</f>
        <v>0</v>
      </c>
      <c r="BD26" s="313" t="e">
        <f>BC26*('Setting key Duty'!$I$13+'Setting key Duty'!$I$9)</f>
        <v>#VALUE!</v>
      </c>
      <c r="BE26" s="313">
        <f t="shared" ref="BE26:BE41" si="24">COUNTIF(D26:AI26,"*$M*")</f>
        <v>0</v>
      </c>
      <c r="BF26" s="313">
        <f>BE26*('Setting key Duty'!$I$8+'Setting key Duty'!$I$9+'Setting key Duty'!$I$12)</f>
        <v>0</v>
      </c>
      <c r="BG26" s="313">
        <f t="shared" ref="BG26:BG41" si="25">COUNTIF(D26:AI26,"*$N*")</f>
        <v>0</v>
      </c>
      <c r="BH26" s="313">
        <f t="shared" ref="BH26:BH41" si="26">COUNTIF(D26:AI26,"*$PM*")</f>
        <v>0</v>
      </c>
      <c r="BI26" s="313">
        <f>BH26*('Setting key Duty'!$I$9)</f>
        <v>0</v>
      </c>
      <c r="BJ26" s="313">
        <f t="shared" ref="BJ26:BJ35" si="27">COUNTIF(D26:AI26,"*$AM*")</f>
        <v>2</v>
      </c>
      <c r="BK26" s="313">
        <f>BJ26*('Setting key Duty'!$I$12+'Setting key Duty'!$I$8)</f>
        <v>0.875</v>
      </c>
      <c r="BL26" s="313">
        <f t="shared" ref="BL26:BL35" si="28">COUNTIF(C26:AI26,"*$FC*")</f>
        <v>0</v>
      </c>
      <c r="BM26" s="313">
        <f>BL26*('Setting key Duty'!$J$11+'Setting key Duty'!$I$8)</f>
        <v>0</v>
      </c>
      <c r="BN26" s="313">
        <f t="shared" ref="BN26:BN35" si="29">COUNTIF($C26:$AG26,BN$4)</f>
        <v>0</v>
      </c>
      <c r="BO26" s="313">
        <f t="shared" ref="BO26:BO35" si="30">COUNTIF($C26:$AG26,BO$4)</f>
        <v>0</v>
      </c>
      <c r="BP26" s="313">
        <f>COUNTIF($D26:$AD26,BP$4)</f>
        <v>0</v>
      </c>
      <c r="BQ26" s="314"/>
    </row>
    <row r="27" ht="19.5" customHeight="1" spans="1:69">
      <c r="A27" s="309"/>
      <c r="B27" s="343" t="s">
        <v>262</v>
      </c>
      <c r="C27" s="197"/>
      <c r="D27" s="197"/>
      <c r="E27" s="197"/>
      <c r="F27" s="197" t="s">
        <v>511</v>
      </c>
      <c r="G27" s="197"/>
      <c r="H27" s="197"/>
      <c r="I27" s="197"/>
      <c r="J27" s="197"/>
      <c r="K27" s="197" t="s">
        <v>235</v>
      </c>
      <c r="L27" s="197" t="s">
        <v>513</v>
      </c>
      <c r="M27" s="197"/>
      <c r="N27" s="197"/>
      <c r="O27" s="197"/>
      <c r="P27" s="197"/>
      <c r="Q27" s="197"/>
      <c r="R27" s="197"/>
      <c r="S27" s="197" t="s">
        <v>517</v>
      </c>
      <c r="T27" s="197" t="s">
        <v>511</v>
      </c>
      <c r="U27" s="197"/>
      <c r="V27" s="200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311"/>
      <c r="AJ27" s="312"/>
      <c r="AK27" s="311"/>
      <c r="AL27" s="344"/>
      <c r="AM27" s="344"/>
      <c r="AN27" s="344"/>
      <c r="AO27" s="344"/>
      <c r="AP27" s="246"/>
      <c r="AQ27" s="313">
        <f t="shared" si="16"/>
        <v>0</v>
      </c>
      <c r="AR27" s="238"/>
      <c r="AS27" s="238">
        <f t="shared" si="17"/>
        <v>0</v>
      </c>
      <c r="AT27" s="246"/>
      <c r="AU27" s="238">
        <f t="shared" si="18"/>
        <v>0</v>
      </c>
      <c r="AV27" s="238">
        <f t="shared" si="19"/>
        <v>0</v>
      </c>
      <c r="AW27" s="238">
        <f t="shared" si="20"/>
        <v>3</v>
      </c>
      <c r="AX27" s="238" t="e">
        <f t="shared" si="21"/>
        <v>#VALUE!</v>
      </c>
      <c r="AY27" s="313" t="e">
        <f>(BJ27*('Setting key Duty'!$I$8+'Setting key Duty'!$I$12))+(BH27*'Setting key Duty'!$I$9)+(BC27*('Setting key Duty'!$I$13+'Setting key Duty'!$I$9))+(BA27*('Setting key Duty'!$I$13+'Setting key Duty'!$I$12+'Setting key Duty'!$I$11))+(BE27*('Setting key Duty'!$I$8+'Setting key Duty'!$I$9+'Setting key Duty'!$I$12))</f>
        <v>#VALUE!</v>
      </c>
      <c r="AZ27" s="313">
        <f t="shared" ref="AZ27:AZ41" si="31">COUNTIF(C27:Y27,"*BRT*")</f>
        <v>0</v>
      </c>
      <c r="BA27" s="313">
        <f t="shared" si="22"/>
        <v>1</v>
      </c>
      <c r="BB27" s="313" t="e">
        <f>BA27*('Setting key Duty'!$I$13+'Setting key Duty'!$I$12+'Setting key Duty'!$I$11)</f>
        <v>#VALUE!</v>
      </c>
      <c r="BC27" s="313">
        <f t="shared" si="23"/>
        <v>0</v>
      </c>
      <c r="BD27" s="313" t="e">
        <f>BC27*('Setting key Duty'!$I$13+'Setting key Duty'!$I$9)</f>
        <v>#VALUE!</v>
      </c>
      <c r="BE27" s="313">
        <f t="shared" si="24"/>
        <v>0</v>
      </c>
      <c r="BF27" s="313">
        <f>BE27*('Setting key Duty'!$I$8+'Setting key Duty'!$I$9+'Setting key Duty'!$I$12)</f>
        <v>0</v>
      </c>
      <c r="BG27" s="313">
        <f t="shared" si="25"/>
        <v>0</v>
      </c>
      <c r="BH27" s="313">
        <f t="shared" si="26"/>
        <v>0</v>
      </c>
      <c r="BI27" s="313">
        <f>BH27*('Setting key Duty'!$I$9)</f>
        <v>0</v>
      </c>
      <c r="BJ27" s="313">
        <f t="shared" si="27"/>
        <v>2</v>
      </c>
      <c r="BK27" s="313">
        <f>BJ27*('Setting key Duty'!$I$12+'Setting key Duty'!$I$8)</f>
        <v>0.875</v>
      </c>
      <c r="BL27" s="313">
        <f t="shared" si="28"/>
        <v>0</v>
      </c>
      <c r="BM27" s="313">
        <f>BL27*('Setting key Duty'!$J$11+'Setting key Duty'!$I$8)</f>
        <v>0</v>
      </c>
      <c r="BN27" s="313">
        <f t="shared" si="29"/>
        <v>0</v>
      </c>
      <c r="BO27" s="313">
        <f t="shared" si="30"/>
        <v>0</v>
      </c>
      <c r="BP27" s="313">
        <f>COUNTIF($D27:$AE27,BP$4)</f>
        <v>0</v>
      </c>
      <c r="BQ27" s="345"/>
    </row>
    <row r="28" ht="19.5" customHeight="1" spans="1:69">
      <c r="A28" s="309"/>
      <c r="B28" s="346" t="s">
        <v>518</v>
      </c>
      <c r="C28" s="197"/>
      <c r="D28" s="197"/>
      <c r="E28" s="197" t="s">
        <v>54</v>
      </c>
      <c r="F28" s="197" t="s">
        <v>54</v>
      </c>
      <c r="G28" s="197" t="s">
        <v>54</v>
      </c>
      <c r="H28" s="197" t="s">
        <v>54</v>
      </c>
      <c r="I28" s="197" t="s">
        <v>54</v>
      </c>
      <c r="J28" s="197" t="s">
        <v>54</v>
      </c>
      <c r="K28" s="197" t="s">
        <v>54</v>
      </c>
      <c r="L28" s="197" t="s">
        <v>54</v>
      </c>
      <c r="M28" s="197" t="s">
        <v>54</v>
      </c>
      <c r="N28" s="197" t="s">
        <v>54</v>
      </c>
      <c r="O28" s="197" t="s">
        <v>54</v>
      </c>
      <c r="P28" s="197" t="s">
        <v>54</v>
      </c>
      <c r="Q28" s="197" t="s">
        <v>387</v>
      </c>
      <c r="R28" s="197"/>
      <c r="S28" s="197"/>
      <c r="T28" s="197"/>
      <c r="U28" s="197"/>
      <c r="V28" s="200"/>
      <c r="W28" s="197"/>
      <c r="X28" s="197"/>
      <c r="Y28" s="197"/>
      <c r="Z28" s="197" t="s">
        <v>402</v>
      </c>
      <c r="AA28" s="197"/>
      <c r="AB28" s="106"/>
      <c r="AC28" s="197"/>
      <c r="AD28" s="324"/>
      <c r="AE28" s="197"/>
      <c r="AF28" s="197" t="s">
        <v>519</v>
      </c>
      <c r="AG28" s="197"/>
      <c r="AH28" s="317"/>
      <c r="AI28" s="311"/>
      <c r="AJ28" s="312"/>
      <c r="AK28" s="311"/>
      <c r="AL28" s="344"/>
      <c r="AM28" s="344"/>
      <c r="AN28" s="344"/>
      <c r="AO28" s="344"/>
      <c r="AP28" s="246"/>
      <c r="AQ28" s="313">
        <f t="shared" si="16"/>
        <v>0</v>
      </c>
      <c r="AR28" s="246"/>
      <c r="AS28" s="238">
        <f t="shared" si="17"/>
        <v>0</v>
      </c>
      <c r="AT28" s="246"/>
      <c r="AU28" s="238">
        <f t="shared" si="18"/>
        <v>0</v>
      </c>
      <c r="AV28" s="238">
        <f t="shared" si="19"/>
        <v>0</v>
      </c>
      <c r="AW28" s="238">
        <f t="shared" si="20"/>
        <v>3</v>
      </c>
      <c r="AX28" s="238" t="e">
        <f t="shared" si="21"/>
        <v>#VALUE!</v>
      </c>
      <c r="AY28" s="313" t="e">
        <f>(BJ28*('Setting key Duty'!$I$8+'Setting key Duty'!$I$12))+(BH28*'Setting key Duty'!$I$9)+(BC28*('Setting key Duty'!$I$13+'Setting key Duty'!$I$9))+(BA28*('Setting key Duty'!$I$13+'Setting key Duty'!$I$12+'Setting key Duty'!$I$11))+(BE28*('Setting key Duty'!$I$8+'Setting key Duty'!$I$9+'Setting key Duty'!$I$12))</f>
        <v>#VALUE!</v>
      </c>
      <c r="AZ28" s="313">
        <f t="shared" si="31"/>
        <v>0</v>
      </c>
      <c r="BA28" s="313">
        <f t="shared" si="22"/>
        <v>1</v>
      </c>
      <c r="BB28" s="313" t="e">
        <f>BA28*('Setting key Duty'!$I$13+'Setting key Duty'!$I$12+'Setting key Duty'!$I$11)</f>
        <v>#VALUE!</v>
      </c>
      <c r="BC28" s="313">
        <f t="shared" si="23"/>
        <v>0</v>
      </c>
      <c r="BD28" s="313" t="e">
        <f>BC28*('Setting key Duty'!$I$13+'Setting key Duty'!$I$9)</f>
        <v>#VALUE!</v>
      </c>
      <c r="BE28" s="313">
        <f t="shared" si="24"/>
        <v>0</v>
      </c>
      <c r="BF28" s="313">
        <f>BE28*('Setting key Duty'!$I$8+'Setting key Duty'!$I$9+'Setting key Duty'!$I$12)</f>
        <v>0</v>
      </c>
      <c r="BG28" s="313">
        <f t="shared" si="25"/>
        <v>0</v>
      </c>
      <c r="BH28" s="313">
        <f t="shared" si="26"/>
        <v>0</v>
      </c>
      <c r="BI28" s="313">
        <f>BH28*('Setting key Duty'!$I$9)</f>
        <v>0</v>
      </c>
      <c r="BJ28" s="313">
        <f t="shared" si="27"/>
        <v>2</v>
      </c>
      <c r="BK28" s="313">
        <f>BJ28*('Setting key Duty'!$I$12+'Setting key Duty'!$I$8)</f>
        <v>0.875</v>
      </c>
      <c r="BL28" s="313">
        <f t="shared" si="28"/>
        <v>0</v>
      </c>
      <c r="BM28" s="313">
        <f>BL28*('Setting key Duty'!$J$11+'Setting key Duty'!$I$8)</f>
        <v>0</v>
      </c>
      <c r="BN28" s="313">
        <f t="shared" si="29"/>
        <v>0</v>
      </c>
      <c r="BO28" s="313">
        <f t="shared" si="30"/>
        <v>0</v>
      </c>
      <c r="BP28" s="313"/>
      <c r="BQ28" s="345"/>
    </row>
    <row r="29" ht="19.5" customHeight="1" spans="1:69">
      <c r="A29" s="309"/>
      <c r="B29" s="347" t="s">
        <v>520</v>
      </c>
      <c r="C29" s="317"/>
      <c r="D29" s="197"/>
      <c r="E29" s="331"/>
      <c r="F29" s="197"/>
      <c r="G29" s="197"/>
      <c r="H29" s="197"/>
      <c r="I29" s="197"/>
      <c r="J29" s="197"/>
      <c r="K29" s="197"/>
      <c r="M29" s="197"/>
      <c r="N29" s="197" t="s">
        <v>65</v>
      </c>
      <c r="O29" s="197"/>
      <c r="P29" s="197"/>
      <c r="Q29" s="197"/>
      <c r="R29" s="197"/>
      <c r="S29" s="197" t="s">
        <v>521</v>
      </c>
      <c r="T29" s="196"/>
      <c r="U29" s="196"/>
      <c r="V29" s="197"/>
      <c r="W29" s="197"/>
      <c r="X29" s="197"/>
      <c r="Y29" s="331"/>
      <c r="Z29" s="197"/>
      <c r="AA29" s="197"/>
      <c r="AB29" s="324"/>
      <c r="AC29" s="331"/>
      <c r="AD29" s="106"/>
      <c r="AE29" s="324"/>
      <c r="AF29" s="197"/>
      <c r="AG29" s="317"/>
      <c r="AH29" s="197"/>
      <c r="AI29" s="311"/>
      <c r="AJ29" s="312"/>
      <c r="AK29" s="311"/>
      <c r="AL29" s="344"/>
      <c r="AM29" s="344"/>
      <c r="AN29" s="344"/>
      <c r="AO29" s="344"/>
      <c r="AP29" s="246"/>
      <c r="AQ29" s="313">
        <f t="shared" si="16"/>
        <v>0</v>
      </c>
      <c r="AR29" s="246"/>
      <c r="AS29" s="238">
        <f t="shared" si="17"/>
        <v>0</v>
      </c>
      <c r="AT29" s="246"/>
      <c r="AU29" s="238">
        <f t="shared" si="18"/>
        <v>0</v>
      </c>
      <c r="AV29" s="238">
        <f t="shared" si="19"/>
        <v>0</v>
      </c>
      <c r="AW29" s="238">
        <f t="shared" si="20"/>
        <v>1</v>
      </c>
      <c r="AX29" s="238" t="e">
        <f t="shared" si="21"/>
        <v>#VALUE!</v>
      </c>
      <c r="AY29" s="313" t="e">
        <f>(BJ29*('Setting key Duty'!$I$8+'Setting key Duty'!$I$12))+(BH29*'Setting key Duty'!$I$9)+(BC29*('Setting key Duty'!$I$13+'Setting key Duty'!$I$9))+(BA29*('Setting key Duty'!$I$13+'Setting key Duty'!$I$12+'Setting key Duty'!$I$11))+(BE29*('Setting key Duty'!$I$8+'Setting key Duty'!$I$9+'Setting key Duty'!$I$12))</f>
        <v>#VALUE!</v>
      </c>
      <c r="AZ29" s="313">
        <f t="shared" si="31"/>
        <v>0</v>
      </c>
      <c r="BA29" s="313">
        <f t="shared" si="22"/>
        <v>0</v>
      </c>
      <c r="BB29" s="313" t="e">
        <f>BA29*('Setting key Duty'!$I$13+'Setting key Duty'!$I$12+'Setting key Duty'!$I$11)</f>
        <v>#VALUE!</v>
      </c>
      <c r="BC29" s="313">
        <f t="shared" si="23"/>
        <v>0</v>
      </c>
      <c r="BD29" s="313" t="e">
        <f>BC29*('Setting key Duty'!$I$13+'Setting key Duty'!$I$9)</f>
        <v>#VALUE!</v>
      </c>
      <c r="BE29" s="313">
        <f t="shared" si="24"/>
        <v>0</v>
      </c>
      <c r="BF29" s="313">
        <f>BE29*('Setting key Duty'!$I$8+'Setting key Duty'!$I$9+'Setting key Duty'!$I$12)</f>
        <v>0</v>
      </c>
      <c r="BG29" s="313">
        <f t="shared" si="25"/>
        <v>0</v>
      </c>
      <c r="BH29" s="313">
        <f t="shared" si="26"/>
        <v>1</v>
      </c>
      <c r="BI29" s="313">
        <f>BH29*('Setting key Duty'!$I$9)</f>
        <v>0.125</v>
      </c>
      <c r="BJ29" s="313">
        <f t="shared" si="27"/>
        <v>0</v>
      </c>
      <c r="BK29" s="313">
        <f>BJ29*('Setting key Duty'!$I$12+'Setting key Duty'!$I$8)</f>
        <v>0</v>
      </c>
      <c r="BL29" s="313">
        <f t="shared" si="28"/>
        <v>0</v>
      </c>
      <c r="BM29" s="313">
        <f>BL29*('Setting key Duty'!$J$11+'Setting key Duty'!$I$8)</f>
        <v>0</v>
      </c>
      <c r="BN29" s="313">
        <f t="shared" si="29"/>
        <v>0</v>
      </c>
      <c r="BO29" s="313">
        <f t="shared" si="30"/>
        <v>0</v>
      </c>
      <c r="BP29" s="313"/>
      <c r="BQ29" s="345"/>
    </row>
    <row r="30" ht="19.5" customHeight="1" spans="1:69">
      <c r="A30" s="309"/>
      <c r="B30" s="348" t="s">
        <v>522</v>
      </c>
      <c r="C30" s="340" t="s">
        <v>477</v>
      </c>
      <c r="D30" s="340" t="s">
        <v>477</v>
      </c>
      <c r="E30" s="340" t="s">
        <v>477</v>
      </c>
      <c r="F30" s="318" t="s">
        <v>477</v>
      </c>
      <c r="G30" s="318" t="s">
        <v>477</v>
      </c>
      <c r="H30" s="318" t="s">
        <v>477</v>
      </c>
      <c r="I30" s="340" t="s">
        <v>477</v>
      </c>
      <c r="J30" s="340" t="s">
        <v>477</v>
      </c>
      <c r="K30" s="340" t="s">
        <v>477</v>
      </c>
      <c r="L30" s="340" t="s">
        <v>477</v>
      </c>
      <c r="M30" s="318" t="s">
        <v>477</v>
      </c>
      <c r="N30" s="324"/>
      <c r="O30" s="324"/>
      <c r="P30" s="324"/>
      <c r="Q30" s="331" t="s">
        <v>244</v>
      </c>
      <c r="S30" s="197"/>
      <c r="T30" s="197" t="s">
        <v>517</v>
      </c>
      <c r="U30" s="197"/>
      <c r="X30" s="197"/>
      <c r="Y30" s="197"/>
      <c r="Z30" s="197"/>
      <c r="AA30" s="197" t="s">
        <v>402</v>
      </c>
      <c r="AB30" s="197"/>
      <c r="AC30" s="106"/>
      <c r="AD30" s="317"/>
      <c r="AE30" s="197" t="s">
        <v>523</v>
      </c>
      <c r="AF30" s="197"/>
      <c r="AG30" s="197" t="s">
        <v>297</v>
      </c>
      <c r="AH30" s="197"/>
      <c r="AI30" s="311"/>
      <c r="AJ30" s="312"/>
      <c r="AK30" s="311"/>
      <c r="AL30" s="344"/>
      <c r="AM30" s="344"/>
      <c r="AN30" s="344"/>
      <c r="AO30" s="344"/>
      <c r="AP30" s="246"/>
      <c r="AQ30" s="313">
        <f t="shared" si="16"/>
        <v>0</v>
      </c>
      <c r="AR30" s="246"/>
      <c r="AS30" s="238">
        <f t="shared" si="17"/>
        <v>0</v>
      </c>
      <c r="AT30" s="246"/>
      <c r="AU30" s="238">
        <f t="shared" si="18"/>
        <v>0</v>
      </c>
      <c r="AV30" s="238">
        <f t="shared" si="19"/>
        <v>0</v>
      </c>
      <c r="AW30" s="238">
        <f t="shared" si="20"/>
        <v>5</v>
      </c>
      <c r="AX30" s="238" t="e">
        <f t="shared" si="21"/>
        <v>#VALUE!</v>
      </c>
      <c r="AY30" s="313" t="e">
        <f>(BJ30*('Setting key Duty'!$I$8+'Setting key Duty'!$I$12))+(BH30*'Setting key Duty'!$I$9)+(BC30*('Setting key Duty'!$I$13+'Setting key Duty'!$I$9))+(BA30*('Setting key Duty'!$I$13+'Setting key Duty'!$I$12+'Setting key Duty'!$I$11))+(BE30*('Setting key Duty'!$I$8+'Setting key Duty'!$I$9+'Setting key Duty'!$I$12))</f>
        <v>#VALUE!</v>
      </c>
      <c r="AZ30" s="313">
        <f t="shared" si="31"/>
        <v>0</v>
      </c>
      <c r="BA30" s="313">
        <f t="shared" si="22"/>
        <v>2</v>
      </c>
      <c r="BB30" s="313" t="e">
        <f>BA30*('Setting key Duty'!$I$13+'Setting key Duty'!$I$12+'Setting key Duty'!$I$11)</f>
        <v>#VALUE!</v>
      </c>
      <c r="BC30" s="313">
        <f t="shared" si="23"/>
        <v>0</v>
      </c>
      <c r="BD30" s="313" t="e">
        <f>BC30*('Setting key Duty'!$I$13+'Setting key Duty'!$I$9)</f>
        <v>#VALUE!</v>
      </c>
      <c r="BE30" s="313">
        <f t="shared" si="24"/>
        <v>1</v>
      </c>
      <c r="BF30" s="313">
        <f>BE30*('Setting key Duty'!$I$8+'Setting key Duty'!$I$9+'Setting key Duty'!$I$12)</f>
        <v>0.5625</v>
      </c>
      <c r="BG30" s="313">
        <f t="shared" si="25"/>
        <v>0</v>
      </c>
      <c r="BH30" s="313">
        <f t="shared" si="26"/>
        <v>1</v>
      </c>
      <c r="BI30" s="313">
        <f>BH30*('Setting key Duty'!$I$9)</f>
        <v>0.125</v>
      </c>
      <c r="BJ30" s="313">
        <f t="shared" si="27"/>
        <v>1</v>
      </c>
      <c r="BK30" s="313">
        <f>BJ30*('Setting key Duty'!$I$12+'Setting key Duty'!$I$8)</f>
        <v>0.4375</v>
      </c>
      <c r="BL30" s="313">
        <f t="shared" si="28"/>
        <v>0</v>
      </c>
      <c r="BM30" s="313">
        <f>BL30*('Setting key Duty'!$J$11+'Setting key Duty'!$I$8)</f>
        <v>0</v>
      </c>
      <c r="BN30" s="313">
        <f t="shared" si="29"/>
        <v>0</v>
      </c>
      <c r="BO30" s="313">
        <f t="shared" si="30"/>
        <v>0</v>
      </c>
      <c r="BP30" s="313"/>
      <c r="BQ30" s="345"/>
    </row>
    <row r="31" ht="19.5" customHeight="1" spans="1:69">
      <c r="A31" s="309"/>
      <c r="B31" s="348" t="s">
        <v>524</v>
      </c>
      <c r="C31" s="317"/>
      <c r="D31" s="317"/>
      <c r="E31" s="197"/>
      <c r="G31" s="197"/>
      <c r="H31" s="197"/>
      <c r="I31" s="197" t="s">
        <v>512</v>
      </c>
      <c r="J31" s="197"/>
      <c r="K31" s="197"/>
      <c r="M31" s="321" t="s">
        <v>245</v>
      </c>
      <c r="N31" s="331"/>
      <c r="O31" s="197"/>
      <c r="Q31" s="324"/>
      <c r="R31" s="197" t="s">
        <v>237</v>
      </c>
      <c r="S31" s="197"/>
      <c r="T31" s="196"/>
      <c r="U31" s="196"/>
      <c r="V31" s="200"/>
      <c r="W31" s="197"/>
      <c r="Y31" s="317"/>
      <c r="Z31" s="197"/>
      <c r="AA31" s="197" t="s">
        <v>525</v>
      </c>
      <c r="AC31" s="197"/>
      <c r="AE31" s="197" t="s">
        <v>124</v>
      </c>
      <c r="AF31" s="197"/>
      <c r="AG31" s="317"/>
      <c r="AH31" s="317"/>
      <c r="AI31" s="311"/>
      <c r="AJ31" s="312"/>
      <c r="AK31" s="311"/>
      <c r="AL31" s="344"/>
      <c r="AM31" s="344"/>
      <c r="AN31" s="344"/>
      <c r="AO31" s="344"/>
      <c r="AP31" s="246"/>
      <c r="AQ31" s="313">
        <f t="shared" si="16"/>
        <v>0</v>
      </c>
      <c r="AR31" s="246"/>
      <c r="AS31" s="238">
        <f t="shared" si="17"/>
        <v>0</v>
      </c>
      <c r="AT31" s="246"/>
      <c r="AU31" s="238">
        <f t="shared" si="18"/>
        <v>0</v>
      </c>
      <c r="AV31" s="238">
        <f t="shared" si="19"/>
        <v>0</v>
      </c>
      <c r="AW31" s="238">
        <f t="shared" si="20"/>
        <v>5</v>
      </c>
      <c r="AX31" s="238" t="e">
        <f t="shared" si="21"/>
        <v>#VALUE!</v>
      </c>
      <c r="AY31" s="313" t="e">
        <f>(BJ31*('Setting key Duty'!$I$8+'Setting key Duty'!$I$12))+(BH31*'Setting key Duty'!$I$9)+(BC31*('Setting key Duty'!$I$13+'Setting key Duty'!$I$9))+(BA31*('Setting key Duty'!$I$13+'Setting key Duty'!$I$12+'Setting key Duty'!$I$11))+(BE31*('Setting key Duty'!$I$8+'Setting key Duty'!$I$9+'Setting key Duty'!$I$12))</f>
        <v>#VALUE!</v>
      </c>
      <c r="AZ31" s="313">
        <f t="shared" si="31"/>
        <v>0</v>
      </c>
      <c r="BA31" s="313">
        <f t="shared" si="22"/>
        <v>1</v>
      </c>
      <c r="BB31" s="313" t="e">
        <f>BA31*('Setting key Duty'!$I$13+'Setting key Duty'!$I$12+'Setting key Duty'!$I$11)</f>
        <v>#VALUE!</v>
      </c>
      <c r="BC31" s="313">
        <f t="shared" si="23"/>
        <v>0</v>
      </c>
      <c r="BD31" s="313" t="e">
        <f>BC31*('Setting key Duty'!$I$13+'Setting key Duty'!$I$9)</f>
        <v>#VALUE!</v>
      </c>
      <c r="BE31" s="313">
        <f t="shared" si="24"/>
        <v>1</v>
      </c>
      <c r="BF31" s="313">
        <f>BE31*('Setting key Duty'!$I$8+'Setting key Duty'!$I$9+'Setting key Duty'!$I$12)</f>
        <v>0.5625</v>
      </c>
      <c r="BG31" s="313">
        <f t="shared" si="25"/>
        <v>0</v>
      </c>
      <c r="BH31" s="313">
        <f t="shared" si="26"/>
        <v>1</v>
      </c>
      <c r="BI31" s="313">
        <f>BH31*('Setting key Duty'!$I$9)</f>
        <v>0.125</v>
      </c>
      <c r="BJ31" s="313">
        <f t="shared" si="27"/>
        <v>2</v>
      </c>
      <c r="BK31" s="313">
        <f>BJ31*('Setting key Duty'!$I$12+'Setting key Duty'!$I$8)</f>
        <v>0.875</v>
      </c>
      <c r="BL31" s="313">
        <f t="shared" si="28"/>
        <v>0</v>
      </c>
      <c r="BM31" s="313">
        <f>BL31*('Setting key Duty'!$J$11+'Setting key Duty'!$I$8)</f>
        <v>0</v>
      </c>
      <c r="BN31" s="313">
        <f t="shared" si="29"/>
        <v>0</v>
      </c>
      <c r="BO31" s="313">
        <f t="shared" si="30"/>
        <v>0</v>
      </c>
      <c r="BP31" s="313"/>
      <c r="BQ31" s="345"/>
    </row>
    <row r="32" ht="19.5" customHeight="1" spans="1:69">
      <c r="A32" s="309"/>
      <c r="B32" s="348" t="s">
        <v>526</v>
      </c>
      <c r="C32" s="317"/>
      <c r="D32" s="197"/>
      <c r="E32" s="197"/>
      <c r="F32" s="331"/>
      <c r="G32" s="197"/>
      <c r="H32" s="197"/>
      <c r="I32" s="197"/>
      <c r="J32" s="197"/>
      <c r="K32" s="331" t="s">
        <v>144</v>
      </c>
      <c r="L32" s="197"/>
      <c r="M32" s="331"/>
      <c r="O32" s="331"/>
      <c r="P32" s="197"/>
      <c r="Q32" s="197" t="s">
        <v>237</v>
      </c>
      <c r="R32" s="197"/>
      <c r="S32" s="197"/>
      <c r="T32" s="197" t="s">
        <v>246</v>
      </c>
      <c r="U32" s="197"/>
      <c r="V32" s="200"/>
      <c r="W32" s="197"/>
      <c r="X32" s="197"/>
      <c r="Z32" s="197" t="s">
        <v>245</v>
      </c>
      <c r="AA32" s="197"/>
      <c r="AB32" s="197"/>
      <c r="AC32" s="324" t="s">
        <v>242</v>
      </c>
      <c r="AD32" s="324" t="s">
        <v>242</v>
      </c>
      <c r="AE32" s="324" t="s">
        <v>242</v>
      </c>
      <c r="AF32" s="324" t="s">
        <v>242</v>
      </c>
      <c r="AG32" s="324" t="s">
        <v>242</v>
      </c>
      <c r="AI32" s="311"/>
      <c r="AJ32" s="312"/>
      <c r="AK32" s="311"/>
      <c r="AL32" s="344"/>
      <c r="AM32" s="344"/>
      <c r="AN32" s="344"/>
      <c r="AO32" s="344"/>
      <c r="AP32" s="246"/>
      <c r="AQ32" s="313">
        <f t="shared" si="16"/>
        <v>0</v>
      </c>
      <c r="AR32" s="246"/>
      <c r="AS32" s="238">
        <f t="shared" si="17"/>
        <v>0</v>
      </c>
      <c r="AT32" s="246"/>
      <c r="AU32" s="238">
        <f t="shared" si="18"/>
        <v>0</v>
      </c>
      <c r="AV32" s="238">
        <f t="shared" si="19"/>
        <v>0</v>
      </c>
      <c r="AW32" s="238">
        <f t="shared" si="20"/>
        <v>9</v>
      </c>
      <c r="AX32" s="238" t="e">
        <f t="shared" si="21"/>
        <v>#VALUE!</v>
      </c>
      <c r="AY32" s="313" t="e">
        <f>(BJ32*('Setting key Duty'!$I$8+'Setting key Duty'!$I$12))+(BH32*'Setting key Duty'!$I$9)+(BC32*('Setting key Duty'!$I$13+'Setting key Duty'!$I$9))+(BA32*('Setting key Duty'!$I$13+'Setting key Duty'!$I$12+'Setting key Duty'!$I$11))+(BE32*('Setting key Duty'!$I$8+'Setting key Duty'!$I$9+'Setting key Duty'!$I$12))</f>
        <v>#VALUE!</v>
      </c>
      <c r="AZ32" s="313">
        <f t="shared" si="31"/>
        <v>0</v>
      </c>
      <c r="BA32" s="313">
        <f t="shared" si="22"/>
        <v>1</v>
      </c>
      <c r="BB32" s="313" t="e">
        <f>BA32*('Setting key Duty'!$I$13+'Setting key Duty'!$I$12+'Setting key Duty'!$I$11)</f>
        <v>#VALUE!</v>
      </c>
      <c r="BC32" s="313">
        <f t="shared" si="23"/>
        <v>0</v>
      </c>
      <c r="BD32" s="313" t="e">
        <f>BC32*('Setting key Duty'!$I$13+'Setting key Duty'!$I$9)</f>
        <v>#VALUE!</v>
      </c>
      <c r="BE32" s="313">
        <f t="shared" si="24"/>
        <v>0</v>
      </c>
      <c r="BF32" s="313">
        <f>BE32*('Setting key Duty'!$I$8+'Setting key Duty'!$I$9+'Setting key Duty'!$I$12)</f>
        <v>0</v>
      </c>
      <c r="BG32" s="313">
        <f t="shared" si="25"/>
        <v>0</v>
      </c>
      <c r="BH32" s="313">
        <f t="shared" si="26"/>
        <v>0</v>
      </c>
      <c r="BI32" s="313">
        <f>BH32*('Setting key Duty'!$I$9)</f>
        <v>0</v>
      </c>
      <c r="BJ32" s="313">
        <f t="shared" si="27"/>
        <v>3</v>
      </c>
      <c r="BK32" s="313">
        <f>BJ32*('Setting key Duty'!$I$12+'Setting key Duty'!$I$8)</f>
        <v>1.3125</v>
      </c>
      <c r="BL32" s="313">
        <f t="shared" si="28"/>
        <v>5</v>
      </c>
      <c r="BM32" s="313">
        <f>BL32*('Setting key Duty'!$J$11+'Setting key Duty'!$I$8)</f>
        <v>0.625</v>
      </c>
      <c r="BN32" s="313">
        <f t="shared" si="29"/>
        <v>0</v>
      </c>
      <c r="BO32" s="313">
        <f t="shared" si="30"/>
        <v>0</v>
      </c>
      <c r="BP32" s="313"/>
      <c r="BQ32" s="345"/>
    </row>
    <row r="33" ht="19.5" customHeight="1" spans="1:69">
      <c r="A33" s="309"/>
      <c r="B33" s="347" t="s">
        <v>527</v>
      </c>
      <c r="C33" s="317"/>
      <c r="D33" s="317"/>
      <c r="E33" s="197"/>
      <c r="F33" s="197" t="s">
        <v>528</v>
      </c>
      <c r="G33" s="197" t="s">
        <v>54</v>
      </c>
      <c r="H33" s="197" t="s">
        <v>54</v>
      </c>
      <c r="I33" s="349"/>
      <c r="J33" s="197" t="s">
        <v>509</v>
      </c>
      <c r="K33" s="197"/>
      <c r="L33" s="197"/>
      <c r="M33" s="197" t="s">
        <v>54</v>
      </c>
      <c r="N33" s="197" t="s">
        <v>54</v>
      </c>
      <c r="O33" s="197" t="s">
        <v>54</v>
      </c>
      <c r="P33" s="197" t="s">
        <v>54</v>
      </c>
      <c r="Q33" s="197" t="s">
        <v>54</v>
      </c>
      <c r="R33" s="197" t="s">
        <v>54</v>
      </c>
      <c r="S33" s="331"/>
      <c r="T33" s="197"/>
      <c r="U33" s="197"/>
      <c r="V33" s="200"/>
      <c r="W33" s="197"/>
      <c r="X33" s="197"/>
      <c r="Z33" s="331"/>
      <c r="AA33" s="106"/>
      <c r="AB33" s="331"/>
      <c r="AC33" s="324"/>
      <c r="AE33" s="197"/>
      <c r="AF33" s="317"/>
      <c r="AG33" s="317"/>
      <c r="AH33" s="317"/>
      <c r="AI33" s="311"/>
      <c r="AJ33" s="312"/>
      <c r="AK33" s="311"/>
      <c r="AL33" s="344"/>
      <c r="AM33" s="344"/>
      <c r="AN33" s="344"/>
      <c r="AO33" s="344"/>
      <c r="AP33" s="246"/>
      <c r="AQ33" s="313">
        <f t="shared" si="16"/>
        <v>0</v>
      </c>
      <c r="AR33" s="246"/>
      <c r="AS33" s="238">
        <f t="shared" si="17"/>
        <v>0</v>
      </c>
      <c r="AT33" s="246"/>
      <c r="AU33" s="238">
        <f t="shared" si="18"/>
        <v>0</v>
      </c>
      <c r="AV33" s="238">
        <f t="shared" si="19"/>
        <v>0</v>
      </c>
      <c r="AW33" s="238">
        <f t="shared" si="20"/>
        <v>1</v>
      </c>
      <c r="AX33" s="238" t="e">
        <f t="shared" si="21"/>
        <v>#VALUE!</v>
      </c>
      <c r="AY33" s="313" t="e">
        <f>(BJ33*('Setting key Duty'!$I$8+'Setting key Duty'!$I$12))+(BH33*'Setting key Duty'!$I$9)+(BC33*('Setting key Duty'!$I$13+'Setting key Duty'!$I$9))+(BA33*('Setting key Duty'!$I$13+'Setting key Duty'!$I$12+'Setting key Duty'!$I$11))+(BE33*('Setting key Duty'!$I$8+'Setting key Duty'!$I$9+'Setting key Duty'!$I$12))</f>
        <v>#VALUE!</v>
      </c>
      <c r="AZ33" s="313">
        <f t="shared" si="31"/>
        <v>0</v>
      </c>
      <c r="BA33" s="313">
        <f t="shared" si="22"/>
        <v>0</v>
      </c>
      <c r="BB33" s="313" t="e">
        <f>BA33*('Setting key Duty'!$I$13+'Setting key Duty'!$I$12+'Setting key Duty'!$I$11)</f>
        <v>#VALUE!</v>
      </c>
      <c r="BC33" s="313">
        <f t="shared" si="23"/>
        <v>0</v>
      </c>
      <c r="BD33" s="313" t="e">
        <f>BC33*('Setting key Duty'!$I$13+'Setting key Duty'!$I$9)</f>
        <v>#VALUE!</v>
      </c>
      <c r="BE33" s="313">
        <f t="shared" si="24"/>
        <v>0</v>
      </c>
      <c r="BF33" s="313">
        <f>BE33*('Setting key Duty'!$I$8+'Setting key Duty'!$I$9+'Setting key Duty'!$I$12)</f>
        <v>0</v>
      </c>
      <c r="BG33" s="313">
        <f t="shared" si="25"/>
        <v>0</v>
      </c>
      <c r="BH33" s="313">
        <f t="shared" si="26"/>
        <v>0</v>
      </c>
      <c r="BI33" s="313">
        <f>BH33*('Setting key Duty'!$I$9)</f>
        <v>0</v>
      </c>
      <c r="BJ33" s="313">
        <f t="shared" si="27"/>
        <v>1</v>
      </c>
      <c r="BK33" s="313">
        <f>BJ33*('Setting key Duty'!$I$12+'Setting key Duty'!$I$8)</f>
        <v>0.4375</v>
      </c>
      <c r="BL33" s="313">
        <f t="shared" si="28"/>
        <v>0</v>
      </c>
      <c r="BM33" s="313">
        <f>BL33*('Setting key Duty'!$J$11+'Setting key Duty'!$I$8)</f>
        <v>0</v>
      </c>
      <c r="BN33" s="313">
        <f t="shared" si="29"/>
        <v>0</v>
      </c>
      <c r="BO33" s="313">
        <f t="shared" si="30"/>
        <v>0</v>
      </c>
      <c r="BP33" s="313"/>
      <c r="BQ33" s="345"/>
    </row>
    <row r="34" ht="19.5" customHeight="1" spans="1:69">
      <c r="A34" s="309"/>
      <c r="B34" s="348" t="s">
        <v>529</v>
      </c>
      <c r="C34" s="317"/>
      <c r="D34" s="350"/>
      <c r="E34" s="350"/>
      <c r="F34" s="317"/>
      <c r="G34" s="350"/>
      <c r="H34" s="331"/>
      <c r="I34" s="350"/>
      <c r="J34" s="197" t="s">
        <v>333</v>
      </c>
      <c r="K34" s="350"/>
      <c r="L34" s="350"/>
      <c r="M34" s="350"/>
      <c r="O34" s="350"/>
      <c r="P34" s="350"/>
      <c r="Q34" s="350"/>
      <c r="R34" s="350"/>
      <c r="S34" s="350"/>
      <c r="T34" s="350"/>
      <c r="U34" s="350"/>
      <c r="V34" s="351"/>
      <c r="W34" s="350"/>
      <c r="X34" s="350"/>
      <c r="Y34" s="317"/>
      <c r="AA34" s="331"/>
      <c r="AB34" s="350"/>
      <c r="AC34" s="350"/>
      <c r="AD34" s="350"/>
      <c r="AE34" s="350"/>
      <c r="AF34" s="350"/>
      <c r="AG34" s="350"/>
      <c r="AH34" s="350"/>
      <c r="AI34" s="311"/>
      <c r="AJ34" s="312"/>
      <c r="AK34" s="311"/>
      <c r="AL34" s="344"/>
      <c r="AM34" s="344"/>
      <c r="AN34" s="344"/>
      <c r="AO34" s="344"/>
      <c r="AP34" s="246"/>
      <c r="AQ34" s="313">
        <f t="shared" si="16"/>
        <v>0</v>
      </c>
      <c r="AR34" s="246"/>
      <c r="AS34" s="238">
        <f t="shared" si="17"/>
        <v>0</v>
      </c>
      <c r="AT34" s="246"/>
      <c r="AU34" s="238">
        <f t="shared" si="18"/>
        <v>0</v>
      </c>
      <c r="AV34" s="238">
        <f t="shared" si="19"/>
        <v>0</v>
      </c>
      <c r="AW34" s="238">
        <f t="shared" si="20"/>
        <v>1</v>
      </c>
      <c r="AX34" s="238" t="e">
        <f t="shared" si="21"/>
        <v>#VALUE!</v>
      </c>
      <c r="AY34" s="313" t="e">
        <f>(BJ34*('Setting key Duty'!$I$8+'Setting key Duty'!$I$12))+(BH34*'Setting key Duty'!$I$9)+(BC34*('Setting key Duty'!$I$13+'Setting key Duty'!$I$9))+(BA34*('Setting key Duty'!$I$13+'Setting key Duty'!$I$12+'Setting key Duty'!$I$11))+(BE34*('Setting key Duty'!$I$8+'Setting key Duty'!$I$9+'Setting key Duty'!$I$12))</f>
        <v>#VALUE!</v>
      </c>
      <c r="AZ34" s="313">
        <f t="shared" si="31"/>
        <v>0</v>
      </c>
      <c r="BA34" s="313">
        <f t="shared" si="22"/>
        <v>0</v>
      </c>
      <c r="BB34" s="313" t="e">
        <f>BA34*('Setting key Duty'!$I$13+'Setting key Duty'!$I$12+'Setting key Duty'!$I$11)</f>
        <v>#VALUE!</v>
      </c>
      <c r="BC34" s="313">
        <f t="shared" si="23"/>
        <v>0</v>
      </c>
      <c r="BD34" s="313" t="e">
        <f>BC34*('Setting key Duty'!$I$13+'Setting key Duty'!$I$9)</f>
        <v>#VALUE!</v>
      </c>
      <c r="BE34" s="313">
        <f t="shared" si="24"/>
        <v>0</v>
      </c>
      <c r="BF34" s="313">
        <f>BE34*('Setting key Duty'!$I$8+'Setting key Duty'!$I$9+'Setting key Duty'!$I$12)</f>
        <v>0</v>
      </c>
      <c r="BG34" s="313">
        <f t="shared" si="25"/>
        <v>0</v>
      </c>
      <c r="BH34" s="313">
        <f t="shared" si="26"/>
        <v>1</v>
      </c>
      <c r="BI34" s="313">
        <f>BH34*('Setting key Duty'!$I$9)</f>
        <v>0.125</v>
      </c>
      <c r="BJ34" s="313">
        <f t="shared" si="27"/>
        <v>0</v>
      </c>
      <c r="BK34" s="313">
        <f>BJ34*('Setting key Duty'!$I$12+'Setting key Duty'!$I$8)</f>
        <v>0</v>
      </c>
      <c r="BL34" s="313">
        <f t="shared" si="28"/>
        <v>0</v>
      </c>
      <c r="BM34" s="313">
        <f>BL34*('Setting key Duty'!$J$11+'Setting key Duty'!$I$8)</f>
        <v>0</v>
      </c>
      <c r="BN34" s="313">
        <f t="shared" si="29"/>
        <v>0</v>
      </c>
      <c r="BO34" s="313">
        <f t="shared" si="30"/>
        <v>0</v>
      </c>
      <c r="BP34" s="313"/>
      <c r="BQ34" s="345"/>
    </row>
    <row r="35" ht="19.5" customHeight="1" spans="1:69">
      <c r="A35" s="309"/>
      <c r="B35" s="352" t="s">
        <v>530</v>
      </c>
      <c r="C35" s="196"/>
      <c r="D35" s="324"/>
      <c r="F35" s="197"/>
      <c r="G35" s="331"/>
      <c r="H35" s="4"/>
      <c r="I35" s="197"/>
      <c r="J35" s="197"/>
      <c r="K35" s="331" t="s">
        <v>188</v>
      </c>
      <c r="L35" s="197"/>
      <c r="M35" s="317"/>
      <c r="N35" s="197"/>
      <c r="Q35" s="324"/>
      <c r="R35" s="197" t="s">
        <v>259</v>
      </c>
      <c r="T35" s="197"/>
      <c r="U35" s="331"/>
      <c r="V35" s="351"/>
      <c r="X35" s="324"/>
      <c r="Y35" s="197"/>
      <c r="AA35" s="331"/>
      <c r="AC35" s="324" t="s">
        <v>256</v>
      </c>
      <c r="AD35" s="324" t="s">
        <v>256</v>
      </c>
      <c r="AE35" s="324" t="s">
        <v>256</v>
      </c>
      <c r="AF35" s="324" t="s">
        <v>256</v>
      </c>
      <c r="AG35" s="324" t="s">
        <v>256</v>
      </c>
      <c r="AH35" s="197"/>
      <c r="AI35" s="311"/>
      <c r="AJ35" s="312"/>
      <c r="AK35" s="311"/>
      <c r="AL35" s="344"/>
      <c r="AM35" s="344"/>
      <c r="AN35" s="344"/>
      <c r="AO35" s="344"/>
      <c r="AP35" s="246"/>
      <c r="AQ35" s="313">
        <f t="shared" si="16"/>
        <v>0</v>
      </c>
      <c r="AR35" s="246"/>
      <c r="AS35" s="238">
        <f t="shared" si="17"/>
        <v>0</v>
      </c>
      <c r="AT35" s="246"/>
      <c r="AU35" s="238">
        <f t="shared" si="18"/>
        <v>0</v>
      </c>
      <c r="AV35" s="238">
        <f t="shared" si="19"/>
        <v>0</v>
      </c>
      <c r="AW35" s="238">
        <f t="shared" si="20"/>
        <v>7</v>
      </c>
      <c r="AX35" s="238" t="e">
        <f t="shared" si="21"/>
        <v>#VALUE!</v>
      </c>
      <c r="AY35" s="313" t="e">
        <f>(BJ35*('Setting key Duty'!$I$8+'Setting key Duty'!$I$12))+(BH35*'Setting key Duty'!$I$9)+(BC35*('Setting key Duty'!$I$13+'Setting key Duty'!$I$9))+(BA35*('Setting key Duty'!$I$13+'Setting key Duty'!$I$12+'Setting key Duty'!$I$11))+(BE35*('Setting key Duty'!$I$8+'Setting key Duty'!$I$9+'Setting key Duty'!$I$12))</f>
        <v>#VALUE!</v>
      </c>
      <c r="AZ35" s="313">
        <f t="shared" si="31"/>
        <v>0</v>
      </c>
      <c r="BA35" s="313">
        <f t="shared" si="22"/>
        <v>0</v>
      </c>
      <c r="BB35" s="313" t="e">
        <f>BA35*('Setting key Duty'!$I$13+'Setting key Duty'!$I$12+'Setting key Duty'!$I$11)</f>
        <v>#VALUE!</v>
      </c>
      <c r="BC35" s="313">
        <f t="shared" si="23"/>
        <v>0</v>
      </c>
      <c r="BD35" s="313" t="e">
        <f>BC35*('Setting key Duty'!$I$13+'Setting key Duty'!$I$9)</f>
        <v>#VALUE!</v>
      </c>
      <c r="BE35" s="313">
        <f t="shared" si="24"/>
        <v>1</v>
      </c>
      <c r="BF35" s="313">
        <f>BE35*('Setting key Duty'!$I$8+'Setting key Duty'!$I$9+'Setting key Duty'!$I$12)</f>
        <v>0.5625</v>
      </c>
      <c r="BG35" s="313">
        <f t="shared" si="25"/>
        <v>0</v>
      </c>
      <c r="BH35" s="313">
        <f t="shared" si="26"/>
        <v>0</v>
      </c>
      <c r="BI35" s="313">
        <f>BH35*('Setting key Duty'!$I$9)</f>
        <v>0</v>
      </c>
      <c r="BJ35" s="313">
        <f t="shared" si="27"/>
        <v>1</v>
      </c>
      <c r="BK35" s="313">
        <f>BJ35*('Setting key Duty'!$I$12+'Setting key Duty'!$I$8)</f>
        <v>0.4375</v>
      </c>
      <c r="BL35" s="313">
        <f t="shared" si="28"/>
        <v>5</v>
      </c>
      <c r="BM35" s="313">
        <f>BL35*('Setting key Duty'!$J$11+'Setting key Duty'!$I$8)</f>
        <v>0.625</v>
      </c>
      <c r="BN35" s="313">
        <f t="shared" si="29"/>
        <v>0</v>
      </c>
      <c r="BO35" s="313">
        <f t="shared" si="30"/>
        <v>0</v>
      </c>
      <c r="BP35" s="313"/>
      <c r="BQ35" s="345"/>
    </row>
    <row r="36" ht="19.5" customHeight="1" spans="1:69">
      <c r="A36" s="309"/>
      <c r="B36" s="343" t="s">
        <v>531</v>
      </c>
      <c r="C36" s="350" t="s">
        <v>532</v>
      </c>
      <c r="D36" s="317"/>
      <c r="F36" s="106"/>
      <c r="G36" s="106"/>
      <c r="H36" s="106"/>
      <c r="I36" s="106"/>
      <c r="J36" s="317"/>
      <c r="K36" s="324"/>
      <c r="L36" s="324"/>
      <c r="M36" s="147"/>
      <c r="N36" s="317"/>
      <c r="O36" s="331" t="s">
        <v>392</v>
      </c>
      <c r="P36" s="320"/>
      <c r="Q36" s="106"/>
      <c r="R36" s="106"/>
      <c r="T36" s="196" t="s">
        <v>235</v>
      </c>
      <c r="U36" s="106"/>
      <c r="V36" s="351"/>
      <c r="X36" s="317"/>
      <c r="Y36" s="197" t="s">
        <v>258</v>
      </c>
      <c r="AA36" s="197" t="s">
        <v>533</v>
      </c>
      <c r="AC36" s="106"/>
      <c r="AD36" s="317"/>
      <c r="AE36" s="320" t="s">
        <v>534</v>
      </c>
      <c r="AF36" s="320" t="s">
        <v>534</v>
      </c>
      <c r="AG36" s="320" t="s">
        <v>534</v>
      </c>
      <c r="AH36" s="320" t="s">
        <v>534</v>
      </c>
      <c r="AI36" s="311"/>
      <c r="AJ36" s="312"/>
      <c r="AK36" s="311"/>
      <c r="AL36" s="344"/>
      <c r="AM36" s="344"/>
      <c r="AN36" s="344"/>
      <c r="AO36" s="344"/>
      <c r="AP36" s="246"/>
      <c r="AQ36" s="313">
        <f t="shared" si="16"/>
        <v>0</v>
      </c>
      <c r="AR36" s="246"/>
      <c r="AS36" s="238">
        <f t="shared" si="17"/>
        <v>0</v>
      </c>
      <c r="AT36" s="246"/>
      <c r="AU36" s="238">
        <f t="shared" si="18"/>
        <v>0</v>
      </c>
      <c r="AV36" s="238">
        <f t="shared" si="19"/>
        <v>0</v>
      </c>
      <c r="AW36" s="238">
        <f t="shared" si="20"/>
        <v>1</v>
      </c>
      <c r="AX36" s="238" t="e">
        <f t="shared" si="21"/>
        <v>#VALUE!</v>
      </c>
      <c r="AY36" s="313" t="e">
        <f>(BJ36*('Setting key Duty'!$I$8+'Setting key Duty'!$I$12))+(BH36*'Setting key Duty'!$I$9)+(BC36*('Setting key Duty'!$I$13+'Setting key Duty'!$I$9))+(BA36*('Setting key Duty'!$I$13+'Setting key Duty'!$I$12+'Setting key Duty'!$I$11))+(BE36*('Setting key Duty'!$I$8+'Setting key Duty'!$I$9+'Setting key Duty'!$I$12))</f>
        <v>#VALUE!</v>
      </c>
      <c r="AZ36" s="313">
        <f t="shared" si="31"/>
        <v>0</v>
      </c>
      <c r="BA36" s="313">
        <f t="shared" si="22"/>
        <v>0</v>
      </c>
      <c r="BB36" s="313" t="e">
        <f>BA36*('Setting key Duty'!$I$13+'Setting key Duty'!$I$12+'Setting key Duty'!$I$11)</f>
        <v>#VALUE!</v>
      </c>
      <c r="BC36" s="313">
        <f t="shared" si="23"/>
        <v>0</v>
      </c>
      <c r="BD36" s="313" t="e">
        <f>BC36*('Setting key Duty'!$I$13+'Setting key Duty'!$I$9)</f>
        <v>#VALUE!</v>
      </c>
      <c r="BE36" s="313">
        <f t="shared" si="24"/>
        <v>1</v>
      </c>
      <c r="BF36" s="313">
        <f>BE36*('Setting key Duty'!$I$8+'Setting key Duty'!$I$9+'Setting key Duty'!$I$12)</f>
        <v>0.5625</v>
      </c>
      <c r="BG36" s="313">
        <f t="shared" si="25"/>
        <v>0</v>
      </c>
      <c r="BH36" s="313">
        <f t="shared" si="26"/>
        <v>0</v>
      </c>
      <c r="BI36" s="313"/>
      <c r="BJ36" s="313"/>
      <c r="BK36" s="313"/>
      <c r="BL36" s="313"/>
      <c r="BM36" s="313"/>
      <c r="BN36" s="313"/>
      <c r="BO36" s="313"/>
      <c r="BP36" s="313"/>
      <c r="BQ36" s="345"/>
    </row>
    <row r="37" ht="19.5" customHeight="1" spans="1:69">
      <c r="A37" s="309"/>
      <c r="B37" s="347" t="s">
        <v>535</v>
      </c>
      <c r="C37" s="350"/>
      <c r="D37" s="317"/>
      <c r="F37" s="106"/>
      <c r="G37" s="106"/>
      <c r="H37" s="106"/>
      <c r="I37" s="197" t="s">
        <v>536</v>
      </c>
      <c r="J37" s="317"/>
      <c r="K37" s="324"/>
      <c r="L37" s="324"/>
      <c r="M37" s="331" t="s">
        <v>323</v>
      </c>
      <c r="N37" s="317"/>
      <c r="O37" s="353"/>
      <c r="P37" s="283" t="s">
        <v>537</v>
      </c>
      <c r="Q37" s="106"/>
      <c r="R37" s="106"/>
      <c r="S37" s="197" t="s">
        <v>538</v>
      </c>
      <c r="T37" s="350"/>
      <c r="U37" s="106"/>
      <c r="V37" s="351"/>
      <c r="X37" s="317"/>
      <c r="Y37" s="106"/>
      <c r="AA37" s="106"/>
      <c r="AC37" s="106"/>
      <c r="AD37" s="317" t="s">
        <v>329</v>
      </c>
      <c r="AE37" s="317" t="s">
        <v>329</v>
      </c>
      <c r="AF37" s="317" t="s">
        <v>329</v>
      </c>
      <c r="AG37" s="317" t="s">
        <v>329</v>
      </c>
      <c r="AH37" s="317" t="s">
        <v>329</v>
      </c>
      <c r="AI37" s="311"/>
      <c r="AJ37" s="312"/>
      <c r="AK37" s="311"/>
      <c r="AL37" s="344"/>
      <c r="AM37" s="344"/>
      <c r="AN37" s="344"/>
      <c r="AO37" s="344"/>
      <c r="AP37" s="246"/>
      <c r="AQ37" s="313">
        <f t="shared" si="16"/>
        <v>0</v>
      </c>
      <c r="AR37" s="246"/>
      <c r="AS37" s="238">
        <f t="shared" si="17"/>
        <v>0</v>
      </c>
      <c r="AT37" s="246"/>
      <c r="AU37" s="238">
        <f t="shared" si="18"/>
        <v>0</v>
      </c>
      <c r="AV37" s="238">
        <f t="shared" si="19"/>
        <v>0</v>
      </c>
      <c r="AW37" s="238">
        <f t="shared" si="20"/>
        <v>4</v>
      </c>
      <c r="AX37" s="238" t="e">
        <f t="shared" si="21"/>
        <v>#VALUE!</v>
      </c>
      <c r="AY37" s="313" t="e">
        <f>(BJ37*('Setting key Duty'!$I$8+'Setting key Duty'!$I$12))+(BH37*'Setting key Duty'!$I$9)+(BC37*('Setting key Duty'!$I$13+'Setting key Duty'!$I$9))+(BA37*('Setting key Duty'!$I$13+'Setting key Duty'!$I$12+'Setting key Duty'!$I$11))+(BE37*('Setting key Duty'!$I$8+'Setting key Duty'!$I$9+'Setting key Duty'!$I$12))</f>
        <v>#VALUE!</v>
      </c>
      <c r="AZ37" s="313">
        <f t="shared" si="31"/>
        <v>0</v>
      </c>
      <c r="BA37" s="313">
        <f t="shared" si="22"/>
        <v>1</v>
      </c>
      <c r="BB37" s="313" t="e">
        <f>BA37*('Setting key Duty'!$I$13+'Setting key Duty'!$I$12+'Setting key Duty'!$I$11)</f>
        <v>#VALUE!</v>
      </c>
      <c r="BC37" s="313">
        <f t="shared" si="23"/>
        <v>0</v>
      </c>
      <c r="BD37" s="313" t="e">
        <f>BC37*('Setting key Duty'!$I$13+'Setting key Duty'!$I$9)</f>
        <v>#VALUE!</v>
      </c>
      <c r="BE37" s="313">
        <f t="shared" si="24"/>
        <v>1</v>
      </c>
      <c r="BF37" s="313">
        <f>BE37*('Setting key Duty'!$I$8+'Setting key Duty'!$I$9+'Setting key Duty'!$I$12)</f>
        <v>0.5625</v>
      </c>
      <c r="BG37" s="313">
        <f t="shared" si="25"/>
        <v>0</v>
      </c>
      <c r="BH37" s="313">
        <f t="shared" si="26"/>
        <v>2</v>
      </c>
      <c r="BI37" s="313"/>
      <c r="BJ37" s="313"/>
      <c r="BK37" s="313"/>
      <c r="BL37" s="313"/>
      <c r="BM37" s="313"/>
      <c r="BN37" s="313"/>
      <c r="BO37" s="313"/>
      <c r="BP37" s="313"/>
      <c r="BQ37" s="345"/>
    </row>
    <row r="38" ht="19.5" customHeight="1" spans="1:69">
      <c r="A38" s="309"/>
      <c r="B38" s="347" t="s">
        <v>539</v>
      </c>
      <c r="C38" s="350"/>
      <c r="D38" s="317"/>
      <c r="F38" s="106"/>
      <c r="G38" s="106"/>
      <c r="H38" s="106"/>
      <c r="I38" s="106"/>
      <c r="J38" s="197" t="s">
        <v>536</v>
      </c>
      <c r="K38" s="324"/>
      <c r="L38" s="198" t="s">
        <v>540</v>
      </c>
      <c r="M38" s="147"/>
      <c r="N38" s="317"/>
      <c r="O38" s="331" t="s">
        <v>541</v>
      </c>
      <c r="P38" s="320"/>
      <c r="Q38" s="106"/>
      <c r="R38" s="106"/>
      <c r="T38" s="350"/>
      <c r="U38" s="106"/>
      <c r="V38" s="351"/>
      <c r="W38" s="197" t="s">
        <v>240</v>
      </c>
      <c r="X38" s="317"/>
      <c r="Y38" s="106"/>
      <c r="AA38" s="197" t="s">
        <v>542</v>
      </c>
      <c r="AC38" s="106"/>
      <c r="AD38" s="317"/>
      <c r="AE38" s="197" t="s">
        <v>543</v>
      </c>
      <c r="AF38" s="317"/>
      <c r="AG38" s="198" t="s">
        <v>144</v>
      </c>
      <c r="AH38" s="317"/>
      <c r="AI38" s="311"/>
      <c r="AJ38" s="312"/>
      <c r="AK38" s="311"/>
      <c r="AL38" s="344"/>
      <c r="AM38" s="344"/>
      <c r="AN38" s="344"/>
      <c r="AO38" s="344"/>
      <c r="AP38" s="246"/>
      <c r="AQ38" s="313">
        <f t="shared" si="16"/>
        <v>0</v>
      </c>
      <c r="AR38" s="246"/>
      <c r="AS38" s="238">
        <f t="shared" si="17"/>
        <v>0</v>
      </c>
      <c r="AT38" s="246"/>
      <c r="AU38" s="238">
        <f t="shared" si="18"/>
        <v>0</v>
      </c>
      <c r="AV38" s="238">
        <f t="shared" si="19"/>
        <v>0</v>
      </c>
      <c r="AW38" s="238">
        <f t="shared" si="20"/>
        <v>5</v>
      </c>
      <c r="AX38" s="238" t="e">
        <f t="shared" si="21"/>
        <v>#VALUE!</v>
      </c>
      <c r="AY38" s="313" t="e">
        <f>(BJ38*('Setting key Duty'!$I$8+'Setting key Duty'!$I$12))+(BH38*'Setting key Duty'!$I$9)+(BC38*('Setting key Duty'!$I$13+'Setting key Duty'!$I$9))+(BA38*('Setting key Duty'!$I$13+'Setting key Duty'!$I$12+'Setting key Duty'!$I$11))+(BE38*('Setting key Duty'!$I$8+'Setting key Duty'!$I$9+'Setting key Duty'!$I$12))</f>
        <v>#VALUE!</v>
      </c>
      <c r="AZ38" s="313">
        <f t="shared" si="31"/>
        <v>0</v>
      </c>
      <c r="BA38" s="313">
        <f t="shared" si="22"/>
        <v>3</v>
      </c>
      <c r="BB38" s="313" t="e">
        <f>BA38*('Setting key Duty'!$I$13+'Setting key Duty'!$I$12+'Setting key Duty'!$I$11)</f>
        <v>#VALUE!</v>
      </c>
      <c r="BC38" s="313">
        <f t="shared" si="23"/>
        <v>0</v>
      </c>
      <c r="BD38" s="313" t="e">
        <f>BC38*('Setting key Duty'!$I$13+'Setting key Duty'!$I$9)</f>
        <v>#VALUE!</v>
      </c>
      <c r="BE38" s="313">
        <f t="shared" si="24"/>
        <v>2</v>
      </c>
      <c r="BF38" s="313">
        <f>BE38*('Setting key Duty'!$I$8+'Setting key Duty'!$I$9+'Setting key Duty'!$I$12)</f>
        <v>1.125</v>
      </c>
      <c r="BG38" s="313">
        <f t="shared" si="25"/>
        <v>0</v>
      </c>
      <c r="BH38" s="313">
        <f t="shared" si="26"/>
        <v>0</v>
      </c>
      <c r="BI38" s="313"/>
      <c r="BJ38" s="313"/>
      <c r="BK38" s="313"/>
      <c r="BL38" s="313"/>
      <c r="BM38" s="313"/>
      <c r="BN38" s="313"/>
      <c r="BO38" s="313"/>
      <c r="BP38" s="313"/>
      <c r="BQ38" s="345"/>
    </row>
    <row r="39" ht="19.5" customHeight="1" spans="1:69">
      <c r="A39" s="309"/>
      <c r="B39" s="347" t="s">
        <v>544</v>
      </c>
      <c r="C39" s="350"/>
      <c r="D39" s="317"/>
      <c r="F39" s="106"/>
      <c r="G39" s="106"/>
      <c r="H39" s="106"/>
      <c r="I39" s="197" t="s">
        <v>281</v>
      </c>
      <c r="J39" s="317"/>
      <c r="K39" s="324"/>
      <c r="L39" s="324"/>
      <c r="M39" s="331" t="s">
        <v>133</v>
      </c>
      <c r="N39" s="317"/>
      <c r="O39" s="353"/>
      <c r="P39" s="283" t="s">
        <v>545</v>
      </c>
      <c r="Q39" s="106"/>
      <c r="R39" s="106"/>
      <c r="T39" s="350"/>
      <c r="U39" s="106"/>
      <c r="V39" s="351"/>
      <c r="X39" s="197" t="s">
        <v>304</v>
      </c>
      <c r="Y39" s="106"/>
      <c r="Z39" s="197" t="s">
        <v>542</v>
      </c>
      <c r="AA39" s="106"/>
      <c r="AC39" s="106"/>
      <c r="AD39" s="317"/>
      <c r="AE39" s="320"/>
      <c r="AF39" s="197" t="s">
        <v>546</v>
      </c>
      <c r="AG39" s="350"/>
      <c r="AH39" s="317"/>
      <c r="AI39" s="311"/>
      <c r="AJ39" s="312"/>
      <c r="AK39" s="311"/>
      <c r="AL39" s="344"/>
      <c r="AM39" s="344"/>
      <c r="AN39" s="344"/>
      <c r="AO39" s="344"/>
      <c r="AP39" s="246"/>
      <c r="AQ39" s="313">
        <f t="shared" si="16"/>
        <v>0</v>
      </c>
      <c r="AR39" s="246"/>
      <c r="AS39" s="238">
        <f t="shared" si="17"/>
        <v>0</v>
      </c>
      <c r="AT39" s="246"/>
      <c r="AU39" s="238">
        <f t="shared" si="18"/>
        <v>0</v>
      </c>
      <c r="AV39" s="238">
        <f t="shared" si="19"/>
        <v>0</v>
      </c>
      <c r="AW39" s="238">
        <f t="shared" si="20"/>
        <v>5</v>
      </c>
      <c r="AX39" s="238" t="e">
        <f t="shared" si="21"/>
        <v>#VALUE!</v>
      </c>
      <c r="AY39" s="313" t="e">
        <f>(BJ39*('Setting key Duty'!$I$8+'Setting key Duty'!$I$12))+(BH39*'Setting key Duty'!$I$9)+(BC39*('Setting key Duty'!$I$13+'Setting key Duty'!$I$9))+(BA39*('Setting key Duty'!$I$13+'Setting key Duty'!$I$12+'Setting key Duty'!$I$11))+(BE39*('Setting key Duty'!$I$8+'Setting key Duty'!$I$9+'Setting key Duty'!$I$12))</f>
        <v>#VALUE!</v>
      </c>
      <c r="AZ39" s="313">
        <f t="shared" si="31"/>
        <v>0</v>
      </c>
      <c r="BA39" s="313">
        <f t="shared" si="22"/>
        <v>2</v>
      </c>
      <c r="BB39" s="313" t="e">
        <f>BA39*('Setting key Duty'!$I$13+'Setting key Duty'!$I$12+'Setting key Duty'!$I$11)</f>
        <v>#VALUE!</v>
      </c>
      <c r="BC39" s="313">
        <f t="shared" si="23"/>
        <v>0</v>
      </c>
      <c r="BD39" s="313" t="e">
        <f>BC39*('Setting key Duty'!$I$13+'Setting key Duty'!$I$9)</f>
        <v>#VALUE!</v>
      </c>
      <c r="BE39" s="313">
        <f t="shared" si="24"/>
        <v>3</v>
      </c>
      <c r="BF39" s="313">
        <f>BE39*('Setting key Duty'!$I$8+'Setting key Duty'!$I$9+'Setting key Duty'!$I$12)</f>
        <v>1.6875</v>
      </c>
      <c r="BG39" s="313">
        <f t="shared" si="25"/>
        <v>0</v>
      </c>
      <c r="BH39" s="313">
        <f t="shared" si="26"/>
        <v>0</v>
      </c>
      <c r="BI39" s="313"/>
      <c r="BJ39" s="313"/>
      <c r="BK39" s="313"/>
      <c r="BL39" s="313"/>
      <c r="BM39" s="313"/>
      <c r="BN39" s="313"/>
      <c r="BO39" s="313"/>
      <c r="BP39" s="313"/>
      <c r="BQ39" s="345"/>
    </row>
    <row r="40" ht="19.5" customHeight="1" spans="1:69">
      <c r="A40" s="309"/>
      <c r="B40" s="347" t="s">
        <v>547</v>
      </c>
      <c r="C40" s="350"/>
      <c r="D40" s="317"/>
      <c r="F40" s="106"/>
      <c r="G40" s="106"/>
      <c r="H40" s="106"/>
      <c r="I40" s="106"/>
      <c r="J40" s="197" t="s">
        <v>281</v>
      </c>
      <c r="K40" s="324"/>
      <c r="L40" s="324"/>
      <c r="M40" s="147"/>
      <c r="N40" s="317"/>
      <c r="O40" s="353"/>
      <c r="P40" s="283" t="s">
        <v>548</v>
      </c>
      <c r="Q40" s="106"/>
      <c r="R40" s="106"/>
      <c r="T40" s="350"/>
      <c r="U40" s="106"/>
      <c r="V40" s="351"/>
      <c r="W40" s="197" t="s">
        <v>399</v>
      </c>
      <c r="X40" s="317"/>
      <c r="Y40" s="106"/>
      <c r="Z40" s="197" t="s">
        <v>549</v>
      </c>
      <c r="AA40" s="106"/>
      <c r="AC40" s="106"/>
      <c r="AD40" s="197" t="s">
        <v>543</v>
      </c>
      <c r="AE40" s="320"/>
      <c r="AF40" s="317"/>
      <c r="AG40" s="196" t="s">
        <v>516</v>
      </c>
      <c r="AH40" s="317"/>
      <c r="AI40" s="311"/>
      <c r="AJ40" s="312"/>
      <c r="AK40" s="311"/>
      <c r="AL40" s="344"/>
      <c r="AM40" s="344"/>
      <c r="AN40" s="344"/>
      <c r="AO40" s="344"/>
      <c r="AP40" s="246"/>
      <c r="AQ40" s="313">
        <f t="shared" si="16"/>
        <v>0</v>
      </c>
      <c r="AR40" s="246"/>
      <c r="AS40" s="238">
        <f t="shared" si="17"/>
        <v>0</v>
      </c>
      <c r="AT40" s="246"/>
      <c r="AU40" s="238">
        <f t="shared" si="18"/>
        <v>0</v>
      </c>
      <c r="AV40" s="238">
        <f t="shared" si="19"/>
        <v>0</v>
      </c>
      <c r="AW40" s="238">
        <f t="shared" si="20"/>
        <v>4</v>
      </c>
      <c r="AX40" s="238" t="e">
        <f t="shared" si="21"/>
        <v>#VALUE!</v>
      </c>
      <c r="AY40" s="313" t="e">
        <f>(BJ40*('Setting key Duty'!$I$8+'Setting key Duty'!$I$12))+(BH40*'Setting key Duty'!$I$9)+(BC40*('Setting key Duty'!$I$13+'Setting key Duty'!$I$9))+(BA40*('Setting key Duty'!$I$13+'Setting key Duty'!$I$12+'Setting key Duty'!$I$11))+(BE40*('Setting key Duty'!$I$8+'Setting key Duty'!$I$9+'Setting key Duty'!$I$12))</f>
        <v>#VALUE!</v>
      </c>
      <c r="AZ40" s="313">
        <f t="shared" si="31"/>
        <v>0</v>
      </c>
      <c r="BA40" s="313">
        <f t="shared" si="22"/>
        <v>2</v>
      </c>
      <c r="BB40" s="313" t="e">
        <f>BA40*('Setting key Duty'!$I$13+'Setting key Duty'!$I$12+'Setting key Duty'!$I$11)</f>
        <v>#VALUE!</v>
      </c>
      <c r="BC40" s="313">
        <f t="shared" si="23"/>
        <v>0</v>
      </c>
      <c r="BD40" s="313" t="e">
        <f>BC40*('Setting key Duty'!$I$13+'Setting key Duty'!$I$9)</f>
        <v>#VALUE!</v>
      </c>
      <c r="BE40" s="313">
        <f t="shared" si="24"/>
        <v>0</v>
      </c>
      <c r="BF40" s="313">
        <f>BE40*('Setting key Duty'!$I$8+'Setting key Duty'!$I$9+'Setting key Duty'!$I$12)</f>
        <v>0</v>
      </c>
      <c r="BG40" s="313">
        <f t="shared" si="25"/>
        <v>0</v>
      </c>
      <c r="BH40" s="313">
        <f t="shared" si="26"/>
        <v>2</v>
      </c>
      <c r="BI40" s="313"/>
      <c r="BJ40" s="313"/>
      <c r="BK40" s="313"/>
      <c r="BL40" s="313"/>
      <c r="BM40" s="313"/>
      <c r="BN40" s="313"/>
      <c r="BO40" s="313"/>
      <c r="BP40" s="313"/>
      <c r="BQ40" s="345"/>
    </row>
    <row r="41" ht="19.5" customHeight="1" spans="1:69">
      <c r="A41" s="309"/>
      <c r="B41" s="354"/>
      <c r="C41" s="350"/>
      <c r="D41" s="317"/>
      <c r="E41" s="106"/>
      <c r="F41" s="106"/>
      <c r="G41" s="106"/>
      <c r="H41" s="106"/>
      <c r="I41" s="106"/>
      <c r="J41" s="317"/>
      <c r="K41" s="324"/>
      <c r="L41" s="324"/>
      <c r="M41" s="155"/>
      <c r="N41" s="317"/>
      <c r="O41" s="324"/>
      <c r="P41" s="317"/>
      <c r="Q41" s="106"/>
      <c r="R41" s="106"/>
      <c r="S41" s="106"/>
      <c r="T41" s="350"/>
      <c r="U41" s="106"/>
      <c r="V41" s="351"/>
      <c r="W41" s="106"/>
      <c r="X41" s="317"/>
      <c r="Y41" s="106"/>
      <c r="Z41" s="106"/>
      <c r="AA41" s="106"/>
      <c r="AB41" s="106"/>
      <c r="AC41" s="106"/>
      <c r="AD41" s="317"/>
      <c r="AE41" s="317"/>
      <c r="AF41" s="317"/>
      <c r="AG41" s="350"/>
      <c r="AH41" s="317"/>
      <c r="AI41" s="311"/>
      <c r="AJ41" s="312"/>
      <c r="AK41" s="311"/>
      <c r="AL41" s="344"/>
      <c r="AM41" s="344"/>
      <c r="AN41" s="344"/>
      <c r="AO41" s="344"/>
      <c r="AP41" s="246"/>
      <c r="AQ41" s="313">
        <f t="shared" si="16"/>
        <v>0</v>
      </c>
      <c r="AR41" s="246"/>
      <c r="AS41" s="238">
        <f t="shared" si="17"/>
        <v>0</v>
      </c>
      <c r="AT41" s="246"/>
      <c r="AU41" s="238">
        <f t="shared" si="18"/>
        <v>0</v>
      </c>
      <c r="AV41" s="238">
        <f t="shared" si="19"/>
        <v>0</v>
      </c>
      <c r="AW41" s="238">
        <f t="shared" si="20"/>
        <v>0</v>
      </c>
      <c r="AX41" s="238" t="e">
        <f t="shared" si="21"/>
        <v>#VALUE!</v>
      </c>
      <c r="AY41" s="313" t="e">
        <f>(BJ41*('Setting key Duty'!$I$8+'Setting key Duty'!$I$12))+(BH41*'Setting key Duty'!$I$9)+(BC41*('Setting key Duty'!$I$13+'Setting key Duty'!$I$9))+(BA41*('Setting key Duty'!$I$13+'Setting key Duty'!$I$12+'Setting key Duty'!$I$11))+(BE41*('Setting key Duty'!$I$8+'Setting key Duty'!$I$9+'Setting key Duty'!$I$12))</f>
        <v>#VALUE!</v>
      </c>
      <c r="AZ41" s="313">
        <f t="shared" si="31"/>
        <v>0</v>
      </c>
      <c r="BA41" s="313">
        <f t="shared" si="22"/>
        <v>0</v>
      </c>
      <c r="BB41" s="313" t="e">
        <f>BA41*('Setting key Duty'!$I$13+'Setting key Duty'!$I$12+'Setting key Duty'!$I$11)</f>
        <v>#VALUE!</v>
      </c>
      <c r="BC41" s="313">
        <f t="shared" si="23"/>
        <v>0</v>
      </c>
      <c r="BD41" s="313" t="e">
        <f>BC41*('Setting key Duty'!$I$13+'Setting key Duty'!$I$9)</f>
        <v>#VALUE!</v>
      </c>
      <c r="BE41" s="313">
        <f t="shared" si="24"/>
        <v>0</v>
      </c>
      <c r="BF41" s="313">
        <f>BE41*('Setting key Duty'!$I$8+'Setting key Duty'!$I$9+'Setting key Duty'!$I$12)</f>
        <v>0</v>
      </c>
      <c r="BG41" s="313">
        <f t="shared" si="25"/>
        <v>0</v>
      </c>
      <c r="BH41" s="313">
        <f t="shared" si="26"/>
        <v>0</v>
      </c>
      <c r="BI41" s="313">
        <f>BH41*('Setting key Duty'!$I$9)</f>
        <v>0</v>
      </c>
      <c r="BJ41" s="313">
        <f>COUNTIF(D41:AI41,"*$AM*")</f>
        <v>0</v>
      </c>
      <c r="BK41" s="313">
        <f>BJ41*('Setting key Duty'!$I$12+'Setting key Duty'!$I$8)</f>
        <v>0</v>
      </c>
      <c r="BL41" s="313">
        <f>COUNTIF(C41:AI41,"*$FC*")</f>
        <v>0</v>
      </c>
      <c r="BM41" s="313">
        <f>BL41*('Setting key Duty'!$J$11+'Setting key Duty'!$I$8)</f>
        <v>0</v>
      </c>
      <c r="BN41" s="313">
        <f>COUNTIF($C41:$AG41,BN$4)</f>
        <v>0</v>
      </c>
      <c r="BO41" s="313">
        <f>COUNTIF($C41:$AG41,BO$4)</f>
        <v>0</v>
      </c>
      <c r="BP41" s="313"/>
      <c r="BQ41" s="345"/>
    </row>
    <row r="42" ht="19.5" customHeight="1" spans="1:69">
      <c r="A42" s="309"/>
      <c r="B42" s="354" t="s">
        <v>148</v>
      </c>
      <c r="C42" s="355"/>
      <c r="D42" s="317"/>
      <c r="E42" s="317"/>
      <c r="F42" s="317"/>
      <c r="G42" s="317"/>
      <c r="H42" s="317"/>
      <c r="I42" s="317"/>
      <c r="J42" s="317"/>
      <c r="K42" s="317"/>
      <c r="L42" s="317"/>
      <c r="N42" s="317"/>
      <c r="O42" s="317"/>
      <c r="P42" s="317"/>
      <c r="Q42" s="106"/>
      <c r="R42" s="106"/>
      <c r="S42" s="317"/>
      <c r="T42" s="350"/>
      <c r="U42" s="198"/>
      <c r="V42" s="351"/>
      <c r="W42" s="317"/>
      <c r="X42" s="317"/>
      <c r="Y42" s="356"/>
      <c r="Z42" s="356"/>
      <c r="AA42" s="356"/>
      <c r="AB42" s="356"/>
      <c r="AC42" s="356"/>
      <c r="AD42" s="356"/>
      <c r="AE42" s="317"/>
      <c r="AF42" s="317"/>
      <c r="AG42" s="350"/>
      <c r="AH42" s="317"/>
      <c r="AI42" s="311">
        <f t="shared" ref="AI42:AO42" si="32">COUNTIF($C42:$AG42,AI$4)</f>
        <v>0</v>
      </c>
      <c r="AJ42" s="312">
        <f t="shared" si="32"/>
        <v>0</v>
      </c>
      <c r="AK42" s="311">
        <f t="shared" si="32"/>
        <v>0</v>
      </c>
      <c r="AL42" s="344">
        <f t="shared" si="32"/>
        <v>0</v>
      </c>
      <c r="AM42" s="344">
        <f t="shared" si="32"/>
        <v>0</v>
      </c>
      <c r="AN42" s="344">
        <f t="shared" si="32"/>
        <v>0</v>
      </c>
      <c r="AO42" s="344">
        <f t="shared" si="32"/>
        <v>0</v>
      </c>
      <c r="AP42" s="246"/>
      <c r="AQ42" s="313"/>
      <c r="AR42" s="246"/>
      <c r="AS42" s="238"/>
      <c r="AT42" s="246"/>
      <c r="AU42" s="246"/>
      <c r="AV42" s="238"/>
      <c r="AW42" s="238"/>
      <c r="AX42" s="238"/>
      <c r="AY42" s="313"/>
      <c r="AZ42" s="313"/>
      <c r="BA42" s="313"/>
      <c r="BB42" s="313"/>
      <c r="BC42" s="313"/>
      <c r="BD42" s="313"/>
      <c r="BE42" s="313"/>
      <c r="BF42" s="313"/>
      <c r="BG42" s="313"/>
      <c r="BH42" s="313"/>
      <c r="BI42" s="313"/>
      <c r="BJ42" s="313"/>
      <c r="BK42" s="313"/>
      <c r="BL42" s="313"/>
      <c r="BM42" s="313"/>
      <c r="BN42" s="344"/>
      <c r="BO42" s="344"/>
      <c r="BP42" s="344"/>
      <c r="BQ42" s="345"/>
    </row>
    <row r="43" ht="19.5" customHeight="1" spans="1:69">
      <c r="A43" s="309"/>
      <c r="B43" s="357"/>
      <c r="C43" s="358"/>
      <c r="D43" s="359"/>
      <c r="E43" s="359"/>
      <c r="F43" s="359"/>
      <c r="G43" s="359"/>
      <c r="H43" s="358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  <c r="AA43" s="358"/>
      <c r="AB43" s="358"/>
      <c r="AC43" s="358"/>
      <c r="AD43" s="358"/>
      <c r="AE43" s="358"/>
      <c r="AF43" s="358"/>
      <c r="AG43" s="358"/>
      <c r="AH43" s="360"/>
      <c r="AI43" s="361"/>
      <c r="AJ43" s="362"/>
      <c r="AK43" s="361"/>
      <c r="AL43" s="363"/>
      <c r="AM43" s="363"/>
      <c r="AN43" s="363"/>
      <c r="AO43" s="363"/>
      <c r="AP43" s="253"/>
      <c r="AQ43" s="253"/>
      <c r="AR43" s="253"/>
      <c r="AS43" s="253">
        <f>SUMPRODUCT(--WEEKDAY(C$3:AG$3,2)&gt;5,--((C43:AG43="DM"))+(C43:AG43="CS1")+((C43:AG43="CS2"))+(C43:AG43="SB1")+(C43:AG43="AE")+(C43:AG43="EM"))</f>
        <v>0</v>
      </c>
      <c r="AT43" s="253"/>
      <c r="AU43" s="253">
        <f>(AQ43-AR43)/2+(AS43-AT43)</f>
        <v>0</v>
      </c>
      <c r="AV43" s="253"/>
      <c r="AW43" s="253"/>
      <c r="AX43" s="253"/>
      <c r="AY43" s="363"/>
      <c r="AZ43" s="363"/>
      <c r="BA43" s="363"/>
      <c r="BB43" s="363"/>
      <c r="BC43" s="363"/>
      <c r="BD43" s="363"/>
      <c r="BE43" s="363"/>
      <c r="BF43" s="363"/>
      <c r="BG43" s="363"/>
      <c r="BH43" s="363"/>
      <c r="BI43" s="363"/>
      <c r="BJ43" s="363"/>
      <c r="BK43" s="363"/>
      <c r="BL43" s="363"/>
      <c r="BM43" s="363"/>
      <c r="BN43" s="363"/>
      <c r="BO43" s="363"/>
      <c r="BP43" s="363"/>
      <c r="BQ43" s="364"/>
    </row>
    <row r="44" ht="19.5" customHeight="1" spans="1:69">
      <c r="A44" s="309"/>
      <c r="B44" s="365" t="s">
        <v>57</v>
      </c>
      <c r="C44" s="366" t="e">
        <f>VLOOKUP("DM",C4:C42,1,FALSE)</f>
        <v>#N/A</v>
      </c>
      <c r="D44" s="366" t="str">
        <f>VLOOKUP("DM",D4:D42,1,FALSE)</f>
        <v>DM</v>
      </c>
      <c r="E44" s="366" t="e">
        <f>VLOOKUP("DM",E1:E42,1,FALSE)</f>
        <v>#N/A</v>
      </c>
      <c r="F44" s="366" t="e">
        <f t="shared" ref="F44:L44" si="33">VLOOKUP("DM",F4:F42,1,FALSE)</f>
        <v>#N/A</v>
      </c>
      <c r="G44" s="366" t="str">
        <f t="shared" si="33"/>
        <v>DM</v>
      </c>
      <c r="H44" s="366" t="e">
        <f t="shared" si="33"/>
        <v>#N/A</v>
      </c>
      <c r="I44" s="366" t="e">
        <f t="shared" si="33"/>
        <v>#N/A</v>
      </c>
      <c r="J44" s="366" t="e">
        <f t="shared" si="33"/>
        <v>#N/A</v>
      </c>
      <c r="K44" s="366" t="e">
        <f t="shared" si="33"/>
        <v>#N/A</v>
      </c>
      <c r="L44" s="366" t="e">
        <f t="shared" si="33"/>
        <v>#N/A</v>
      </c>
      <c r="M44" s="366" t="e">
        <f>VLOOKUP("DM",M4:M26,1,FALSE)</f>
        <v>#N/A</v>
      </c>
      <c r="N44" s="366" t="str">
        <f>VLOOKUP("DM",N4:N42,1,FALSE)</f>
        <v>DM</v>
      </c>
      <c r="O44" s="366" t="e">
        <f>VLOOKUP("DM",O4:O42,1,FALSE)</f>
        <v>#N/A</v>
      </c>
      <c r="P44" s="366" t="e">
        <f>VLOOKUP("DM",P4:P42,1,FALSE)</f>
        <v>#N/A</v>
      </c>
      <c r="Q44" s="366" t="e">
        <f>VLOOKUP("DM",Q4:Q27,1,FALSE)</f>
        <v>#N/A</v>
      </c>
      <c r="R44" s="366" t="e">
        <f>VLOOKUP("DM",R4:R25,1,FALSE)</f>
        <v>#N/A</v>
      </c>
      <c r="S44" s="366" t="e">
        <f>VLOOKUP("DM",S4:S42,1,FALSE)</f>
        <v>#N/A</v>
      </c>
      <c r="T44" s="366" t="e">
        <f>VLOOKUP("DM",T4:T42,1,FALSE)</f>
        <v>#N/A</v>
      </c>
      <c r="U44" s="366" t="e">
        <f>VLOOKUP("DM",U4:U42,1,FALSE)</f>
        <v>#N/A</v>
      </c>
      <c r="V44" s="367" t="e">
        <f>VLOOKUP("DM",V4:V25,1,FALSE)</f>
        <v>#N/A</v>
      </c>
      <c r="W44" s="366" t="e">
        <f>VLOOKUP("DM",W4:W25,1,FALSE)</f>
        <v>#N/A</v>
      </c>
      <c r="X44" s="366" t="e">
        <f>VLOOKUP("DM",X4:X42,1,FALSE)</f>
        <v>#N/A</v>
      </c>
      <c r="Y44" s="366" t="e">
        <f>VLOOKUP("DM",Y4:Y42,1,FALSE)</f>
        <v>#N/A</v>
      </c>
      <c r="Z44" s="366" t="e">
        <f>VLOOKUP("DM",Z4:Z42,1,FALSE)</f>
        <v>#N/A</v>
      </c>
      <c r="AA44" s="366" t="e">
        <f>VLOOKUP("DM",AA1:AA42,1,FALSE)</f>
        <v>#N/A</v>
      </c>
      <c r="AB44" s="366" t="e">
        <f t="shared" ref="AB44:AH44" si="34">VLOOKUP("DM",AB4:AB42,1,FALSE)</f>
        <v>#N/A</v>
      </c>
      <c r="AC44" s="366" t="e">
        <f t="shared" si="34"/>
        <v>#N/A</v>
      </c>
      <c r="AD44" s="366" t="e">
        <f t="shared" si="34"/>
        <v>#N/A</v>
      </c>
      <c r="AE44" s="366" t="e">
        <f t="shared" si="34"/>
        <v>#N/A</v>
      </c>
      <c r="AF44" s="366" t="e">
        <f t="shared" si="34"/>
        <v>#N/A</v>
      </c>
      <c r="AG44" s="366" t="e">
        <f t="shared" si="34"/>
        <v>#N/A</v>
      </c>
      <c r="AH44" s="366" t="e">
        <f t="shared" si="34"/>
        <v>#N/A</v>
      </c>
      <c r="AI44" s="311"/>
      <c r="AJ44" s="312"/>
      <c r="AK44" s="311"/>
      <c r="AL44" s="313"/>
      <c r="AM44" s="313"/>
      <c r="AN44" s="313"/>
      <c r="AO44" s="313"/>
      <c r="AP44" s="313"/>
      <c r="AQ44" s="313"/>
      <c r="AR44" s="313"/>
      <c r="AS44" s="313"/>
      <c r="AT44" s="313"/>
      <c r="AU44" s="313"/>
      <c r="AV44" s="313"/>
      <c r="AW44" s="313"/>
      <c r="AX44" s="313"/>
      <c r="AY44" s="313"/>
      <c r="AZ44" s="313"/>
      <c r="BA44" s="313"/>
      <c r="BB44" s="313"/>
      <c r="BC44" s="313"/>
      <c r="BD44" s="313"/>
      <c r="BE44" s="313"/>
      <c r="BF44" s="313"/>
      <c r="BG44" s="313"/>
      <c r="BH44" s="313"/>
      <c r="BI44" s="313"/>
      <c r="BJ44" s="313"/>
      <c r="BK44" s="313"/>
      <c r="BL44" s="313"/>
      <c r="BM44" s="313"/>
      <c r="BN44" s="313"/>
      <c r="BO44" s="313"/>
      <c r="BP44" s="313"/>
      <c r="BQ44" s="314"/>
    </row>
    <row r="45" ht="19.5" customHeight="1" spans="1:69">
      <c r="A45" s="309" t="e">
        <f>LTE()</f>
        <v>#NAME?</v>
      </c>
      <c r="B45" s="368" t="s">
        <v>56</v>
      </c>
      <c r="C45" s="366" t="e">
        <f>VLOOKUP("CS1",C5:C42,1,FALSE)</f>
        <v>#N/A</v>
      </c>
      <c r="D45" s="366" t="e">
        <f>VLOOKUP("CS1",D1:D42,1,FALSE)</f>
        <v>#N/A</v>
      </c>
      <c r="E45" s="366" t="e">
        <f>VLOOKUP("CS1",E1:E42,1,FALSE)</f>
        <v>#N/A</v>
      </c>
      <c r="F45" s="366" t="e">
        <f>VLOOKUP("CS1",F9:F42,1,FALSE)</f>
        <v>#N/A</v>
      </c>
      <c r="G45" s="366" t="e">
        <f>VLOOKUP("CS1",G1:G42,1,FALSE)</f>
        <v>#N/A</v>
      </c>
      <c r="H45" s="366" t="e">
        <f>VLOOKUP("CS1",H6:H42,1,FALSE)</f>
        <v>#N/A</v>
      </c>
      <c r="I45" s="366" t="e">
        <f>VLOOKUP("CS1",I8:I42,1,FALSE)</f>
        <v>#N/A</v>
      </c>
      <c r="J45" s="366" t="e">
        <f>VLOOKUP("CS1",J4:J42,1,FALSE)</f>
        <v>#N/A</v>
      </c>
      <c r="K45" s="366" t="e">
        <f>VLOOKUP("CS1",K1:K42,1,FALSE)</f>
        <v>#N/A</v>
      </c>
      <c r="L45" s="366" t="e">
        <f>VLOOKUP("CS1",L1:L42,1,FALSE)</f>
        <v>#N/A</v>
      </c>
      <c r="M45" s="366" t="e">
        <f>VLOOKUP("CS1",M8:M26,1,FALSE)</f>
        <v>#N/A</v>
      </c>
      <c r="N45" s="366" t="str">
        <f>VLOOKUP("CS1",N6:N42,1,FALSE)</f>
        <v>CS1</v>
      </c>
      <c r="O45" s="366" t="e">
        <f>VLOOKUP("CS1",O1:O42,1,FALSE)</f>
        <v>#N/A</v>
      </c>
      <c r="P45" s="366" t="e">
        <f>VLOOKUP("CS1",P5:P42,1,FALSE)</f>
        <v>#N/A</v>
      </c>
      <c r="Q45" s="366" t="e">
        <f>VLOOKUP("CS1",Q6:Q27,1,FALSE)</f>
        <v>#N/A</v>
      </c>
      <c r="R45" s="366" t="e">
        <f>VLOOKUP("CS1",R6:R25,1,FALSE)</f>
        <v>#N/A</v>
      </c>
      <c r="S45" s="366" t="e">
        <f>VLOOKUP("CS1",S1:S42,1,FALSE)</f>
        <v>#N/A</v>
      </c>
      <c r="T45" s="366" t="e">
        <f>VLOOKUP("CS1",T1:T42,1,FALSE)</f>
        <v>#N/A</v>
      </c>
      <c r="U45" s="366" t="e">
        <f>VLOOKUP("CS1",U6:U42,1,FALSE)</f>
        <v>#N/A</v>
      </c>
      <c r="V45" s="367" t="e">
        <f>VLOOKUP("CS1",V1:V35,1,FALSE)</f>
        <v>#N/A</v>
      </c>
      <c r="W45" s="366" t="e">
        <f>VLOOKUP("CS1",W1:W25,1,FALSE)</f>
        <v>#N/A</v>
      </c>
      <c r="X45" s="366" t="e">
        <f>VLOOKUP("CS1",X1:X42,1,FALSE)</f>
        <v>#N/A</v>
      </c>
      <c r="Y45" s="366" t="e">
        <f>VLOOKUP("CS1",Y9:Y42,1,FALSE)</f>
        <v>#N/A</v>
      </c>
      <c r="Z45" s="366" t="e">
        <f>VLOOKUP("CS1",Z1:Z42,1,FALSE)</f>
        <v>#N/A</v>
      </c>
      <c r="AA45" s="366" t="e">
        <f>VLOOKUP("CS1",AA1:AA42,1,FALSE)</f>
        <v>#N/A</v>
      </c>
      <c r="AB45" s="366" t="e">
        <f>VLOOKUP("CS1",AB5:AB42,1,FALSE)</f>
        <v>#N/A</v>
      </c>
      <c r="AC45" s="366" t="e">
        <f>VLOOKUP("CS1",AC1:AC42,1,FALSE)</f>
        <v>#N/A</v>
      </c>
      <c r="AD45" s="366" t="e">
        <f>VLOOKUP("CS1",AD1:AD42,1,FALSE)</f>
        <v>#N/A</v>
      </c>
      <c r="AE45" s="366" t="e">
        <f>VLOOKUP("CS1",AE1:AE42,1,FALSE)</f>
        <v>#N/A</v>
      </c>
      <c r="AF45" s="366" t="e">
        <f>VLOOKUP("CS1",AF8:AF42,1,FALSE)</f>
        <v>#N/A</v>
      </c>
      <c r="AG45" s="366" t="e">
        <f>VLOOKUP("CS1",AG1:AG42,1,FALSE)</f>
        <v>#N/A</v>
      </c>
      <c r="AH45" s="366" t="e">
        <f>VLOOKUP("CS1",AH1:AH42,1,FALSE)</f>
        <v>#N/A</v>
      </c>
      <c r="AI45" s="311"/>
      <c r="AJ45" s="312"/>
      <c r="AK45" s="311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  <c r="BN45" s="313"/>
      <c r="BO45" s="313"/>
      <c r="BP45" s="313"/>
      <c r="BQ45" s="314"/>
    </row>
    <row r="46" ht="19.5" customHeight="1" spans="1:69">
      <c r="A46" s="309"/>
      <c r="B46" s="369" t="s">
        <v>59</v>
      </c>
      <c r="C46" s="366" t="e">
        <f>VLOOKUP("CS2",C6:C42,1,FALSE)</f>
        <v>#N/A</v>
      </c>
      <c r="D46" s="366" t="e">
        <f>VLOOKUP("CS2",D10:D42,1,FALSE)</f>
        <v>#N/A</v>
      </c>
      <c r="E46" s="366" t="e">
        <f>VLOOKUP("CS2",E9:E42,1,FALSE)</f>
        <v>#N/A</v>
      </c>
      <c r="F46" s="366" t="e">
        <f>VLOOKUP("CS2",F9:F42,1,FALSE)</f>
        <v>#N/A</v>
      </c>
      <c r="G46" s="366" t="e">
        <f>VLOOKUP("CS2",G1:G42,1,FALSE)</f>
        <v>#N/A</v>
      </c>
      <c r="H46" s="366" t="e">
        <f>VLOOKUP("CS2",H1:H42,1,FALSE)</f>
        <v>#N/A</v>
      </c>
      <c r="I46" s="366" t="e">
        <f>VLOOKUP("CS2",I8:I42,1,FALSE)</f>
        <v>#N/A</v>
      </c>
      <c r="J46" s="366" t="e">
        <f>VLOOKUP("CS2",J4:J42,1,FALSE)</f>
        <v>#N/A</v>
      </c>
      <c r="K46" s="366" t="e">
        <f>VLOOKUP("CS2",K5:K42,1,FALSE)</f>
        <v>#N/A</v>
      </c>
      <c r="L46" s="366" t="e">
        <f>VLOOKUP("CS2",L4:L42,1,FALSE)</f>
        <v>#N/A</v>
      </c>
      <c r="M46" s="366" t="e">
        <f>VLOOKUP("CS2",M1:M26,1,FALSE)</f>
        <v>#N/A</v>
      </c>
      <c r="N46" s="366" t="str">
        <f>VLOOKUP("CS2",N1:N42,1,FALSE)</f>
        <v>CS2</v>
      </c>
      <c r="O46" s="366" t="e">
        <f>VLOOKUP("CS2",O1:O42,1,FALSE)</f>
        <v>#N/A</v>
      </c>
      <c r="P46" s="366" t="e">
        <f>VLOOKUP("CS2",P1:P42,1,FALSE)</f>
        <v>#N/A</v>
      </c>
      <c r="Q46" s="366" t="e">
        <f>VLOOKUP("CS2",Q6:Q27,1,FALSE)</f>
        <v>#N/A</v>
      </c>
      <c r="R46" s="366" t="e">
        <f>VLOOKUP("CS2",R6:R25,1,FALSE)</f>
        <v>#N/A</v>
      </c>
      <c r="S46" s="366" t="e">
        <f>VLOOKUP("CS2",S1:S42,1,FALSE)</f>
        <v>#N/A</v>
      </c>
      <c r="T46" s="366" t="e">
        <f>VLOOKUP("CS2",T1:T42,1,FALSE)</f>
        <v>#N/A</v>
      </c>
      <c r="U46" s="366" t="e">
        <f>VLOOKUP("CS2",U1:U42,1,FALSE)</f>
        <v>#N/A</v>
      </c>
      <c r="V46" s="367" t="e">
        <f>VLOOKUP("CS2",V1:V35,1,FALSE)</f>
        <v>#N/A</v>
      </c>
      <c r="W46" s="366" t="e">
        <f>VLOOKUP("CS2",W1:W35,1,FALSE)</f>
        <v>#N/A</v>
      </c>
      <c r="X46" s="366" t="e">
        <f>VLOOKUP("CS2",X9:X42,1,FALSE)</f>
        <v>#N/A</v>
      </c>
      <c r="Y46" s="366" t="e">
        <f>VLOOKUP("CS2",Y1:Y42,1,FALSE)</f>
        <v>#N/A</v>
      </c>
      <c r="Z46" s="366" t="e">
        <f>VLOOKUP("CS2",Z1:Z42,1,FALSE)</f>
        <v>#N/A</v>
      </c>
      <c r="AA46" s="366" t="e">
        <f>VLOOKUP("CS2",AA1:AA42,1,FALSE)</f>
        <v>#N/A</v>
      </c>
      <c r="AB46" s="366" t="e">
        <f>VLOOKUP("CS2",AB1:AB42,1,FALSE)</f>
        <v>#N/A</v>
      </c>
      <c r="AC46" s="366" t="e">
        <f>VLOOKUP("CS2",AC9:AC42,1,FALSE)</f>
        <v>#N/A</v>
      </c>
      <c r="AD46" s="366" t="e">
        <f>VLOOKUP("CS2",AD1:AD42,1,FALSE)</f>
        <v>#N/A</v>
      </c>
      <c r="AE46" s="366" t="e">
        <f>VLOOKUP("CS2",AE1:AE42,1,FALSE)</f>
        <v>#N/A</v>
      </c>
      <c r="AF46" s="366" t="e">
        <f>VLOOKUP("CS2",AF1:AF42,1,FALSE)</f>
        <v>#N/A</v>
      </c>
      <c r="AG46" s="366" t="e">
        <f>VLOOKUP("CS2",AG8:AG42,1,FALSE)</f>
        <v>#N/A</v>
      </c>
      <c r="AH46" s="366" t="e">
        <f>VLOOKUP("CS2",AH8:AH42,1,FALSE)</f>
        <v>#N/A</v>
      </c>
      <c r="AI46" s="311"/>
      <c r="AJ46" s="312"/>
      <c r="AK46" s="311"/>
      <c r="AL46" s="313"/>
      <c r="AM46" s="313"/>
      <c r="AN46" s="313"/>
      <c r="AO46" s="313"/>
      <c r="AP46" s="313"/>
      <c r="AQ46" s="313"/>
      <c r="AR46" s="313"/>
      <c r="AS46" s="313"/>
      <c r="AT46" s="313"/>
      <c r="AU46" s="313"/>
      <c r="AV46" s="313"/>
      <c r="AW46" s="313"/>
      <c r="AX46" s="313"/>
      <c r="AY46" s="313"/>
      <c r="AZ46" s="313"/>
      <c r="BA46" s="313"/>
      <c r="BB46" s="313"/>
      <c r="BC46" s="313"/>
      <c r="BD46" s="313"/>
      <c r="BE46" s="313"/>
      <c r="BF46" s="313"/>
      <c r="BG46" s="313"/>
      <c r="BH46" s="313"/>
      <c r="BI46" s="313"/>
      <c r="BJ46" s="313"/>
      <c r="BK46" s="313"/>
      <c r="BL46" s="313"/>
      <c r="BM46" s="313"/>
      <c r="BN46" s="313"/>
      <c r="BO46" s="313"/>
      <c r="BP46" s="313"/>
      <c r="BQ46" s="314"/>
    </row>
    <row r="47" ht="19.5" customHeight="1" spans="1:69">
      <c r="A47" s="309"/>
      <c r="B47" s="370" t="s">
        <v>58</v>
      </c>
      <c r="C47" s="366" t="e">
        <f>VLOOKUP("SB1",C6:C42,1,FALSE)</f>
        <v>#N/A</v>
      </c>
      <c r="D47" s="366" t="e">
        <f>VLOOKUP("SB1",D3:D42,1,FALSE)</f>
        <v>#N/A</v>
      </c>
      <c r="E47" s="366" t="e">
        <f>VLOOKUP("SB1",E1:E42,1,FALSE)</f>
        <v>#N/A</v>
      </c>
      <c r="F47" s="366" t="e">
        <f>VLOOKUP("SB1",F9:F42,1,FALSE)</f>
        <v>#N/A</v>
      </c>
      <c r="G47" s="366" t="e">
        <f>VLOOKUP("SB1",G6:G42,1,FALSE)</f>
        <v>#N/A</v>
      </c>
      <c r="H47" s="366" t="e">
        <f>VLOOKUP("SB1",H6:H42,1,FALSE)</f>
        <v>#N/A</v>
      </c>
      <c r="I47" s="366" t="e">
        <f>VLOOKUP("SB1",I1:I42,1,FALSE)</f>
        <v>#N/A</v>
      </c>
      <c r="J47" s="366" t="e">
        <f>VLOOKUP("SB1",J4:J42,1,FALSE)</f>
        <v>#N/A</v>
      </c>
      <c r="K47" s="366" t="e">
        <f>VLOOKUP("SB1",K6:K42,1,FALSE)</f>
        <v>#N/A</v>
      </c>
      <c r="L47" s="366" t="e">
        <f>VLOOKUP("SB1",L1:L42,1,FALSE)</f>
        <v>#N/A</v>
      </c>
      <c r="M47" s="366" t="e">
        <f>VLOOKUP("SB1",M1:M26,1,FALSE)</f>
        <v>#N/A</v>
      </c>
      <c r="N47" s="366" t="str">
        <f>VLOOKUP("SB1",N6:N42,1,FALSE)</f>
        <v>SB1</v>
      </c>
      <c r="O47" s="366" t="e">
        <f>VLOOKUP("SB1",O1:O42,1,FALSE)</f>
        <v>#N/A</v>
      </c>
      <c r="P47" s="366" t="e">
        <f>VLOOKUP("SB1",P1:P42,1,FALSE)</f>
        <v>#N/A</v>
      </c>
      <c r="Q47" s="366" t="e">
        <f>VLOOKUP("SB1",Q1:Q27,1,FALSE)</f>
        <v>#N/A</v>
      </c>
      <c r="R47" s="366" t="e">
        <f>VLOOKUP("SB1",R6:R30,1,FALSE)</f>
        <v>#N/A</v>
      </c>
      <c r="S47" s="366" t="e">
        <f>VLOOKUP("SB1",S1:S42,1,FALSE)</f>
        <v>#N/A</v>
      </c>
      <c r="T47" s="366" t="e">
        <f>VLOOKUP("SB1",T9:T42,1,FALSE)</f>
        <v>#N/A</v>
      </c>
      <c r="U47" s="366" t="e">
        <f>VLOOKUP("SB1",U1:U42,1,FALSE)</f>
        <v>#N/A</v>
      </c>
      <c r="V47" s="367" t="e">
        <f>VLOOKUP("SB1",V11:V31,1,FALSE)</f>
        <v>#N/A</v>
      </c>
      <c r="W47" s="366" t="e">
        <f>VLOOKUP("SB1",W5:W25,1,FALSE)</f>
        <v>#N/A</v>
      </c>
      <c r="X47" s="366" t="e">
        <f>VLOOKUP("SB1",X6:X42,1,FALSE)</f>
        <v>#N/A</v>
      </c>
      <c r="Y47" s="366" t="e">
        <f>VLOOKUP("SB1",Y1:Y42,1,FALSE)</f>
        <v>#N/A</v>
      </c>
      <c r="Z47" s="366" t="e">
        <f>VLOOKUP("SB1",Z6:Z42,1,FALSE)</f>
        <v>#N/A</v>
      </c>
      <c r="AA47" s="366" t="e">
        <f>VLOOKUP("SB1",AA1:AA42,1,FALSE)</f>
        <v>#N/A</v>
      </c>
      <c r="AB47" s="366" t="e">
        <f>VLOOKUP("SB1",AB1:AB42,1,FALSE)</f>
        <v>#N/A</v>
      </c>
      <c r="AC47" s="366" t="e">
        <f>VLOOKUP("SB1",AC1:AC42,1,FALSE)</f>
        <v>#N/A</v>
      </c>
      <c r="AD47" s="366" t="e">
        <f>VLOOKUP("SB1",AD9:AD42,1,FALSE)</f>
        <v>#N/A</v>
      </c>
      <c r="AE47" s="366" t="e">
        <f>VLOOKUP("SB1",AE9:AE42,1,FALSE)</f>
        <v>#N/A</v>
      </c>
      <c r="AF47" s="366" t="e">
        <f>VLOOKUP("SB1",AF8:AF42,1,FALSE)</f>
        <v>#N/A</v>
      </c>
      <c r="AG47" s="366" t="e">
        <f>VLOOKUP("SB1",AG8:AG42,1,FALSE)</f>
        <v>#N/A</v>
      </c>
      <c r="AH47" s="366" t="e">
        <f>VLOOKUP("SB1",AH8:AH42,1,FALSE)</f>
        <v>#N/A</v>
      </c>
      <c r="AI47" s="311"/>
      <c r="AJ47" s="312"/>
      <c r="AK47" s="311"/>
      <c r="AL47" s="313"/>
      <c r="AM47" s="313"/>
      <c r="AN47" s="313"/>
      <c r="AO47" s="313"/>
      <c r="AP47" s="313"/>
      <c r="AQ47" s="313"/>
      <c r="AR47" s="313"/>
      <c r="AS47" s="313"/>
      <c r="AT47" s="313"/>
      <c r="AU47" s="313"/>
      <c r="AV47" s="313"/>
      <c r="AW47" s="313"/>
      <c r="AX47" s="313"/>
      <c r="AY47" s="313"/>
      <c r="AZ47" s="313"/>
      <c r="BA47" s="313"/>
      <c r="BB47" s="313"/>
      <c r="BC47" s="313"/>
      <c r="BD47" s="313"/>
      <c r="BE47" s="313"/>
      <c r="BF47" s="313"/>
      <c r="BG47" s="313"/>
      <c r="BH47" s="313"/>
      <c r="BI47" s="313"/>
      <c r="BJ47" s="313"/>
      <c r="BK47" s="313"/>
      <c r="BL47" s="313"/>
      <c r="BM47" s="313"/>
      <c r="BN47" s="313"/>
      <c r="BO47" s="313"/>
      <c r="BP47" s="313"/>
      <c r="BQ47" s="314"/>
    </row>
    <row r="48" ht="19.5" customHeight="1" spans="1:69">
      <c r="A48" s="309"/>
      <c r="B48" s="371" t="s">
        <v>93</v>
      </c>
      <c r="C48" s="366" t="e">
        <f>VLOOKUP("SB2",C6:C42,1,FALSE)</f>
        <v>#N/A</v>
      </c>
      <c r="D48" s="366" t="e">
        <f>VLOOKUP("SB2",D10:D42,1,FALSE)</f>
        <v>#N/A</v>
      </c>
      <c r="E48" s="366" t="e">
        <f>VLOOKUP("SB2",E9:E42,1,FALSE)</f>
        <v>#N/A</v>
      </c>
      <c r="F48" s="366" t="e">
        <f>VLOOKUP("SB2",F1:F42,1,FALSE)</f>
        <v>#N/A</v>
      </c>
      <c r="G48" s="366" t="e">
        <f>VLOOKUP("SB2",G9:G42,1,FALSE)</f>
        <v>#N/A</v>
      </c>
      <c r="H48" s="366" t="e">
        <f>VLOOKUP("SB2",H6:H42,1,FALSE)</f>
        <v>#N/A</v>
      </c>
      <c r="I48" s="366" t="e">
        <f>VLOOKUP("SB2",I8:I42,1,FALSE)</f>
        <v>#N/A</v>
      </c>
      <c r="J48" s="366" t="e">
        <f>VLOOKUP("SB2",J4:J42,1,FALSE)</f>
        <v>#N/A</v>
      </c>
      <c r="K48" s="366" t="e">
        <f>VLOOKUP("SB2",K6:K42,1,FALSE)</f>
        <v>#N/A</v>
      </c>
      <c r="L48" s="366" t="e">
        <f>VLOOKUP("SB2",L12:L42,1,FALSE)</f>
        <v>#N/A</v>
      </c>
      <c r="M48" s="366" t="e">
        <f>VLOOKUP("SB2",M9:M46,1,FALSE)</f>
        <v>#N/A</v>
      </c>
      <c r="N48" s="366" t="e">
        <f>VLOOKUP("SB2",N6:N42,1,FALSE)</f>
        <v>#N/A</v>
      </c>
      <c r="O48" s="366" t="e">
        <f>VLOOKUP("SB2",O9:O42,1,FALSE)</f>
        <v>#N/A</v>
      </c>
      <c r="P48" s="366" t="e">
        <f>VLOOKUP("SB2",P8:P42,1,FALSE)</f>
        <v>#N/A</v>
      </c>
      <c r="Q48" s="366" t="e">
        <f>VLOOKUP("SB2",Q12:Q41,1,FALSE)</f>
        <v>#N/A</v>
      </c>
      <c r="R48" s="366" t="e">
        <f>VLOOKUP("SB2",R6:R41,1,FALSE)</f>
        <v>#N/A</v>
      </c>
      <c r="S48" s="366" t="e">
        <f>VLOOKUP("SB2",S10:S42,1,FALSE)</f>
        <v>#N/A</v>
      </c>
      <c r="T48" s="366" t="e">
        <f>VLOOKUP("SB2",T9:T42,1,FALSE)</f>
        <v>#N/A</v>
      </c>
      <c r="U48" s="366" t="e">
        <f>VLOOKUP("SB2",U11:U42,1,FALSE)</f>
        <v>#N/A</v>
      </c>
      <c r="V48" s="367" t="e">
        <f>VLOOKUP("SB2",V5:V42,1,FALSE)</f>
        <v>#N/A</v>
      </c>
      <c r="W48" s="366" t="e">
        <f>VLOOKUP("SB2",W13:W41,1,FALSE)</f>
        <v>#N/A</v>
      </c>
      <c r="X48" s="366" t="e">
        <f>VLOOKUP("SB2",X9:X42,1,FALSE)</f>
        <v>#N/A</v>
      </c>
      <c r="Y48" s="366" t="e">
        <f>VLOOKUP("SB2",Y9:Y42,1,FALSE)</f>
        <v>#N/A</v>
      </c>
      <c r="Z48" s="366" t="e">
        <f>VLOOKUP("SB2",Z6:Z42,1,FALSE)</f>
        <v>#N/A</v>
      </c>
      <c r="AA48" s="366" t="e">
        <f>VLOOKUP("SB2",AA12:AA42,1,FALSE)</f>
        <v>#N/A</v>
      </c>
      <c r="AB48" s="366" t="e">
        <f>VLOOKUP("SB2",AB10:AB42,1,FALSE)</f>
        <v>#N/A</v>
      </c>
      <c r="AC48" s="366" t="e">
        <f>VLOOKUP("SB2",AC12:AC42,1,FALSE)</f>
        <v>#N/A</v>
      </c>
      <c r="AD48" s="366" t="e">
        <f>VLOOKUP("SB2",AD9:AD42,1,FALSE)</f>
        <v>#N/A</v>
      </c>
      <c r="AE48" s="366" t="e">
        <f>VLOOKUP("SB2",AE9:AE42,1,FALSE)</f>
        <v>#N/A</v>
      </c>
      <c r="AF48" s="366" t="e">
        <f>VLOOKUP("SB2",AF8:AF42,1,FALSE)</f>
        <v>#N/A</v>
      </c>
      <c r="AG48" s="366" t="e">
        <f>VLOOKUP("SB2",AG8:AG42,1,FALSE)</f>
        <v>#N/A</v>
      </c>
      <c r="AH48" s="366" t="e">
        <f>VLOOKUP("SB2",AH8:AH42,1,FALSE)</f>
        <v>#N/A</v>
      </c>
      <c r="AI48" s="311"/>
      <c r="AJ48" s="312"/>
      <c r="AK48" s="311"/>
      <c r="AL48" s="313"/>
      <c r="AM48" s="313"/>
      <c r="AN48" s="313"/>
      <c r="AO48" s="313"/>
      <c r="AP48" s="313"/>
      <c r="AQ48" s="313"/>
      <c r="AR48" s="313"/>
      <c r="AS48" s="313"/>
      <c r="AT48" s="313"/>
      <c r="AU48" s="313"/>
      <c r="AV48" s="313"/>
      <c r="AW48" s="313"/>
      <c r="AX48" s="313"/>
      <c r="AY48" s="313"/>
      <c r="AZ48" s="313"/>
      <c r="BA48" s="313"/>
      <c r="BB48" s="313"/>
      <c r="BC48" s="313"/>
      <c r="BD48" s="313"/>
      <c r="BE48" s="313"/>
      <c r="BF48" s="313"/>
      <c r="BG48" s="313"/>
      <c r="BH48" s="313"/>
      <c r="BI48" s="313"/>
      <c r="BJ48" s="313"/>
      <c r="BK48" s="313"/>
      <c r="BL48" s="313"/>
      <c r="BM48" s="313"/>
      <c r="BN48" s="313"/>
      <c r="BO48" s="313"/>
      <c r="BP48" s="313"/>
      <c r="BQ48" s="314"/>
    </row>
    <row r="49" ht="19.5" customHeight="1" spans="1:69">
      <c r="A49" s="309"/>
      <c r="B49" s="372" t="s">
        <v>65</v>
      </c>
      <c r="C49" s="366" t="e">
        <f>VLOOKUP("AE",C6:C42,1,FALSE)</f>
        <v>#N/A</v>
      </c>
      <c r="D49" s="366" t="e">
        <f>VLOOKUP("AE",D10:D42,1,FALSE)</f>
        <v>#N/A</v>
      </c>
      <c r="E49" s="366" t="e">
        <f>VLOOKUP("AE",E9:E42,1,FALSE)</f>
        <v>#N/A</v>
      </c>
      <c r="F49" s="366" t="e">
        <f>VLOOKUP("AE",F1:F42,1,FALSE)</f>
        <v>#N/A</v>
      </c>
      <c r="G49" s="366" t="e">
        <f>VLOOKUP("AE",G1:G42,1,FALSE)</f>
        <v>#N/A</v>
      </c>
      <c r="H49" s="366" t="e">
        <f>VLOOKUP("AE",H9:H42,1,FALSE)</f>
        <v>#N/A</v>
      </c>
      <c r="I49" s="366" t="e">
        <f>VLOOKUP("AE",I8:I42,1,FALSE)</f>
        <v>#N/A</v>
      </c>
      <c r="J49" s="366" t="e">
        <f>VLOOKUP("AE",J4:J42,1,FALSE)</f>
        <v>#N/A</v>
      </c>
      <c r="K49" s="366" t="e">
        <f>VLOOKUP("AE",K6:K42,1,FALSE)</f>
        <v>#N/A</v>
      </c>
      <c r="L49" s="366" t="e">
        <f>VLOOKUP("AE",L12:L42,1,FALSE)</f>
        <v>#N/A</v>
      </c>
      <c r="M49" s="366" t="e">
        <f>VLOOKUP("AE",M9:M46,1,FALSE)</f>
        <v>#N/A</v>
      </c>
      <c r="N49" s="366" t="str">
        <f>VLOOKUP("AE",N6:N42,1,FALSE)</f>
        <v>AE</v>
      </c>
      <c r="O49" s="366" t="e">
        <f>VLOOKUP("AE",O9:O42,1,FALSE)</f>
        <v>#N/A</v>
      </c>
      <c r="P49" s="366" t="e">
        <f>VLOOKUP("AE",P8:P42,1,FALSE)</f>
        <v>#N/A</v>
      </c>
      <c r="Q49" s="366" t="str">
        <f ca="1">VLOOKUP("AE",Q12:Q49,1,FALSE)</f>
        <v>#REF!</v>
      </c>
      <c r="R49" s="366" t="e">
        <f>VLOOKUP("AE",R6:R35,1,FALSE)</f>
        <v>#N/A</v>
      </c>
      <c r="S49" s="366" t="e">
        <f>VLOOKUP("AE",S10:S42,1,FALSE)</f>
        <v>#N/A</v>
      </c>
      <c r="T49" s="366" t="e">
        <f>VLOOKUP("AE",T9:T42,1,FALSE)</f>
        <v>#N/A</v>
      </c>
      <c r="U49" s="366" t="e">
        <f>VLOOKUP("AE",U11:U42,1,FALSE)</f>
        <v>#N/A</v>
      </c>
      <c r="V49" s="367" t="e">
        <f>VLOOKUP("AE",V11:V44,1,FALSE)</f>
        <v>#N/A</v>
      </c>
      <c r="W49" s="366" t="e">
        <f>VLOOKUP("AE",W13:W42,1,FALSE)</f>
        <v>#N/A</v>
      </c>
      <c r="X49" s="366" t="e">
        <f>VLOOKUP("AE",X9:X42,1,FALSE)</f>
        <v>#N/A</v>
      </c>
      <c r="Y49" s="366" t="e">
        <f>VLOOKUP("AE",Y9:Y42,1,FALSE)</f>
        <v>#N/A</v>
      </c>
      <c r="Z49" s="366" t="e">
        <f>VLOOKUP("AE",Z6:Z42,1,FALSE)</f>
        <v>#N/A</v>
      </c>
      <c r="AA49" s="366" t="e">
        <f>VLOOKUP("AE",AA12:AA42,1,FALSE)</f>
        <v>#N/A</v>
      </c>
      <c r="AB49" s="366" t="e">
        <f>VLOOKUP("AE",AB10:AB42,1,FALSE)</f>
        <v>#N/A</v>
      </c>
      <c r="AC49" s="366" t="e">
        <f>VLOOKUP("AE",AC12:AC42,1,FALSE)</f>
        <v>#N/A</v>
      </c>
      <c r="AD49" s="366" t="e">
        <f>VLOOKUP("AE",AD9:AD42,1,FALSE)</f>
        <v>#N/A</v>
      </c>
      <c r="AE49" s="366" t="e">
        <f>VLOOKUP("AE",AE9:AE42,1,FALSE)</f>
        <v>#N/A</v>
      </c>
      <c r="AF49" s="366" t="e">
        <f>VLOOKUP("AE",AF8:AF42,1,FALSE)</f>
        <v>#N/A</v>
      </c>
      <c r="AG49" s="366" t="e">
        <f>VLOOKUP("AE",AG8:AG42,1,FALSE)</f>
        <v>#N/A</v>
      </c>
      <c r="AH49" s="366" t="e">
        <f>VLOOKUP("AE",AH8:AH42,1,FALSE)</f>
        <v>#N/A</v>
      </c>
      <c r="AI49" s="311"/>
      <c r="AJ49" s="312"/>
      <c r="AK49" s="311"/>
      <c r="AL49" s="313"/>
      <c r="AM49" s="313"/>
      <c r="AN49" s="313"/>
      <c r="AO49" s="313"/>
      <c r="AP49" s="313"/>
      <c r="AQ49" s="313"/>
      <c r="AR49" s="313"/>
      <c r="AS49" s="313"/>
      <c r="AT49" s="313"/>
      <c r="AU49" s="313"/>
      <c r="AV49" s="313"/>
      <c r="AW49" s="313"/>
      <c r="AX49" s="313"/>
      <c r="AY49" s="313"/>
      <c r="AZ49" s="313"/>
      <c r="BA49" s="313"/>
      <c r="BB49" s="313"/>
      <c r="BC49" s="313"/>
      <c r="BD49" s="313"/>
      <c r="BE49" s="313"/>
      <c r="BF49" s="313"/>
      <c r="BG49" s="313"/>
      <c r="BH49" s="313"/>
      <c r="BI49" s="313"/>
      <c r="BJ49" s="313"/>
      <c r="BK49" s="313"/>
      <c r="BL49" s="313"/>
      <c r="BM49" s="313"/>
      <c r="BN49" s="313"/>
      <c r="BO49" s="313"/>
      <c r="BP49" s="313"/>
      <c r="BQ49" s="314"/>
    </row>
  </sheetData>
  <mergeCells count="1">
    <mergeCell ref="C1:S1"/>
  </mergeCells>
  <conditionalFormatting sqref="O9">
    <cfRule type="expression" dxfId="136" priority="1">
      <formula>WEEKDAY(Q$3,2)&gt;5</formula>
    </cfRule>
  </conditionalFormatting>
  <conditionalFormatting sqref="T18">
    <cfRule type="expression" dxfId="136" priority="7">
      <formula>WEEKDAY(V$3,2)&gt;5</formula>
    </cfRule>
  </conditionalFormatting>
  <conditionalFormatting sqref="D25">
    <cfRule type="expression" dxfId="136" priority="4">
      <formula>WEEKDAY(G$3,2)&gt;5</formula>
    </cfRule>
    <cfRule type="expression" dxfId="136" priority="5">
      <formula>WEEKDAY(F$3,2)&gt;5</formula>
    </cfRule>
  </conditionalFormatting>
  <conditionalFormatting sqref="X25">
    <cfRule type="expression" dxfId="136" priority="8">
      <formula>WEEKDAY(AA$3,2)&gt;5</formula>
    </cfRule>
    <cfRule type="expression" dxfId="136" priority="9">
      <formula>WEEKDAY(Z$3,2)&gt;5</formula>
    </cfRule>
  </conditionalFormatting>
  <conditionalFormatting sqref="R23:R24">
    <cfRule type="expression" dxfId="136" priority="2">
      <formula>WEEKDAY(U$3,2)&gt;5</formula>
    </cfRule>
    <cfRule type="expression" dxfId="136" priority="3">
      <formula>WEEKDAY(V$3,2)&gt;5</formula>
    </cfRule>
  </conditionalFormatting>
  <conditionalFormatting sqref="A1:BQ49">
    <cfRule type="cellIs" dxfId="155" priority="77" operator="equal">
      <formula>"RESERVE"</formula>
    </cfRule>
  </conditionalFormatting>
  <conditionalFormatting sqref="T2:X42 C3:S42 Y3:AH42">
    <cfRule type="expression" dxfId="136" priority="70">
      <formula>WEEKDAY(T$3,2)&gt;5</formula>
    </cfRule>
  </conditionalFormatting>
  <conditionalFormatting sqref="J4:J49 AA4:AA49 C5:I49 K5:Z49 AB5:AH49">
    <cfRule type="cellIs" dxfId="137" priority="55" operator="equal">
      <formula>"B"</formula>
    </cfRule>
    <cfRule type="cellIs" dxfId="137" priority="56" operator="equal">
      <formula>"AL"</formula>
    </cfRule>
    <cfRule type="cellIs" dxfId="138" priority="57" operator="equal">
      <formula>"DM"</formula>
    </cfRule>
    <cfRule type="cellIs" dxfId="139" priority="58" operator="equal">
      <formula>"CS1"</formula>
    </cfRule>
    <cfRule type="cellIs" dxfId="140" priority="59" operator="equal">
      <formula>"CS2"</formula>
    </cfRule>
    <cfRule type="cellIs" dxfId="141" priority="60" operator="equal">
      <formula>"SB1"</formula>
    </cfRule>
    <cfRule type="cellIs" dxfId="142" priority="61" operator="equal">
      <formula>"SB2"</formula>
    </cfRule>
    <cfRule type="cellIs" dxfId="143" priority="62" operator="equal">
      <formula>"AE"</formula>
    </cfRule>
  </conditionalFormatting>
  <conditionalFormatting sqref="J4:J42 AA4:AA42 C5:I42 K5:Z42 AB5:AH42">
    <cfRule type="cellIs" dxfId="137" priority="64" operator="equal">
      <formula>"DB"</formula>
    </cfRule>
    <cfRule type="containsText" dxfId="144" priority="65" operator="between" text="$AM">
      <formula>NOT(ISERROR(SEARCH("$AM",C4)))</formula>
    </cfRule>
    <cfRule type="containsText" dxfId="145" priority="66" operator="between" text="$PM">
      <formula>NOT(ISERROR(SEARCH("$PM",C4)))</formula>
    </cfRule>
    <cfRule type="containsText" dxfId="146" priority="67" operator="between" text="$L">
      <formula>NOT(ISERROR(SEARCH("$L",C4)))</formula>
    </cfRule>
    <cfRule type="containsText" dxfId="147" priority="68" operator="between" text="$BTP">
      <formula>NOT(ISERROR(SEARCH("$BTP",C4)))</formula>
    </cfRule>
    <cfRule type="containsText" dxfId="148" priority="69" operator="between" text="$M">
      <formula>NOT(ISERROR(SEARCH("$M",C4)))</formula>
    </cfRule>
    <cfRule type="containsText" dxfId="149" priority="71" operator="between" text="$N">
      <formula>NOT(ISERROR(SEARCH("$N",C4)))</formula>
    </cfRule>
    <cfRule type="containsText" dxfId="150" priority="72" operator="between" text="$FC">
      <formula>NOT(ISERROR(SEARCH("$FC",C4)))</formula>
    </cfRule>
    <cfRule type="containsText" dxfId="151" priority="73" operator="between" text="OAL">
      <formula>NOT(ISERROR(SEARCH("OAL",C4)))</formula>
    </cfRule>
    <cfRule type="containsText" dxfId="152" priority="74" operator="between" text="S+">
      <formula>NOT(ISERROR(SEARCH("S+",C4)))</formula>
    </cfRule>
    <cfRule type="containsText" dxfId="153" priority="75" operator="between" text="EX-D">
      <formula>NOT(ISERROR(SEARCH("EX-D",C4)))</formula>
    </cfRule>
  </conditionalFormatting>
  <conditionalFormatting sqref="J4:J25 C5:C26 D5:D19 E5:E24 F5:F26 G5:G33 H5:H10 I5:I26 K5:K19 L5:N29 O5:O26 P5:P16 Q5:Q26 R5:R29 S5:T26 U5:U35 V5:V16 W5:X25 Y5:Y26 Z5:AC41 AD5:AD28 AE5:AE33 AF5:AF30 AG5:AG25 AH5:AH27 H12:H26 P18:P25 V18:V26 D21:D26 K21:K26 E26 J27:J29 AG27:AG28 C28 D28:D30 E28:E33 F28 H28:H34 I28:I32 K28:K29 O28:P29 Q28:Q33 S28:S29 T28:T35 V28:V35 W28:W29 X28:X33 Y28:Y41 F30:F33 AD30 AG30:AH30 J31:J34 N31 O31:O33 R31 S31:S35 W31:W35 K32 L32:M33 P32:P33 AD32:AD33 AF32:AG32 C33 N33 R33 F35:G35 K35 Q35:R35 X35 AD35:AH35 O36 I37 M37 S37 J38 O38 W38 AG38 I39 M39 J40 W40 U42">
    <cfRule type="containsText" dxfId="154" priority="76" operator="between" text="VACC">
      <formula>NOT(ISERROR(SEARCH("VACC",C4)))</formula>
    </cfRule>
  </conditionalFormatting>
  <conditionalFormatting sqref="C5:C35 D5:D16 E5:E17 F5:F16 G5:G11 H5:H10 I5:I8 J5:J10 K5 L5:L19 M5:M10 N5:N17 O5:O12 P5:S10 T5:T15 U5 V5:W10 X5:X20 Y5:Y24 Z5 AA5:AA7 AB5 AC5:AD10 AF5 AG5:AG15 AH5:AH7 AE6:AE7 AB7 K8:K19 U8:U11 Z8:Z15 AF8:AF10 AA9:AA10 AB9:AB13 AE9:AE11 AH9:AH11 I10 H12:H16 I12 J12:J13 M12:M15 P12:P16 Q12:Q27 R12:S12 V12:V15 W12:W20 AA12:AA20 AC12 AD12:AD13 AF12 G13:G16 U13:U15 AE13:AE15 I14:I16 O14:O19 R14:S15 AF14:AF15 AB15:AB20 AC15 J16 M17:M19 T17:T18 Z17:Z20 AC17:AC19 AD17:AE20 AF17:AG19 AH17:AH18 F18:F28 G18:G32 H18:H19 I18:I32 J18:J19 R18:R19 U18:V20 D19 E19:E24 P19:P25 S19:S20 N20 D21:D22 H21:H28 J21:J25 K21 L21:L22 R21:R23 T21:T27 AC21:AC26 AF21:AF22 O22:O25 K23:K26 M23:M29 N23:N24 U23:U27 V23:V26 W23:W24 X23:X25 Z23:Z25 AA23:AB24 AG23:AG25 AH23:AH24 AF24 D25 L25:L29 R25:R27 S25 AD25 AE25:AE26 E26:E29 N26:N29 D27:D30 J27:J29 O27:P29 S27 Z27 AB27 AD27 K28:K29 AA28:AA29 AE28 Q29:Q30 S29 V29:W29 X29:X31 Y29:Y30 Z29 AC29 H30:H34 T30 AE30:AE31 E31:F33 N31 O31:O32 AC31 K32 M32 AA32 R33:W33 Z33 AB33 J34 AA34:AA35 F35:G35 K35 R35 U35 Y35 AF35 AH35 O36 M37 O38 M39">
    <cfRule type="cellIs" dxfId="137" priority="11" operator="equal">
      <formula>"B"</formula>
    </cfRule>
    <cfRule type="cellIs" dxfId="137" priority="12" operator="equal">
      <formula>"AL"</formula>
    </cfRule>
    <cfRule type="cellIs" dxfId="138" priority="13" operator="equal">
      <formula>"DM"</formula>
    </cfRule>
    <cfRule type="cellIs" dxfId="139" priority="14" operator="equal">
      <formula>"CS1"</formula>
    </cfRule>
    <cfRule type="cellIs" dxfId="140" priority="15" operator="equal">
      <formula>"CS2"</formula>
    </cfRule>
    <cfRule type="cellIs" dxfId="141" priority="16" operator="equal">
      <formula>"SB1"</formula>
    </cfRule>
    <cfRule type="cellIs" dxfId="142" priority="17" operator="equal">
      <formula>"SB2"</formula>
    </cfRule>
    <cfRule type="cellIs" dxfId="143" priority="18" operator="equal">
      <formula>"AE"</formula>
    </cfRule>
    <cfRule type="cellIs" dxfId="137" priority="19" operator="equal">
      <formula>"DB"</formula>
    </cfRule>
    <cfRule type="containsText" dxfId="144" priority="20" operator="between" text="$AM">
      <formula>NOT(ISERROR(SEARCH("$AM",C5)))</formula>
    </cfRule>
    <cfRule type="containsText" dxfId="145" priority="21" operator="between" text="$PM">
      <formula>NOT(ISERROR(SEARCH("$PM",C5)))</formula>
    </cfRule>
    <cfRule type="containsText" dxfId="146" priority="22" operator="between" text="$L">
      <formula>NOT(ISERROR(SEARCH("$L",C5)))</formula>
    </cfRule>
    <cfRule type="containsText" dxfId="147" priority="23" operator="between" text="$BTP">
      <formula>NOT(ISERROR(SEARCH("$BTP",C5)))</formula>
    </cfRule>
    <cfRule type="containsText" dxfId="148" priority="24" operator="between" text="$M">
      <formula>NOT(ISERROR(SEARCH("$M",C5)))</formula>
    </cfRule>
    <cfRule type="containsText" dxfId="149" priority="25" operator="between" text="$N">
      <formula>NOT(ISERROR(SEARCH("$N",C5)))</formula>
    </cfRule>
    <cfRule type="containsText" dxfId="150" priority="26" operator="between" text="$FC">
      <formula>NOT(ISERROR(SEARCH("$FC",C5)))</formula>
    </cfRule>
    <cfRule type="containsText" dxfId="151" priority="27" operator="between" text="OAL">
      <formula>NOT(ISERROR(SEARCH("OAL",C5)))</formula>
    </cfRule>
    <cfRule type="containsText" dxfId="152" priority="28" operator="between" text="S+">
      <formula>NOT(ISERROR(SEARCH("S+",C5)))</formula>
    </cfRule>
    <cfRule type="containsText" dxfId="153" priority="29" operator="between" text="EX-D">
      <formula>NOT(ISERROR(SEARCH("EX-D",C5)))</formula>
    </cfRule>
  </conditionalFormatting>
  <conditionalFormatting sqref="C5:C28 D5:D16 E5:E17 F5:F16 G5:G11 H5:H10 I5:I8 J5:J10 K5 L5:L19 M5:M10 N5:N17 O5:O12 P5:S10 T5:T15 U5 V5:W10 X5:X19 Y5:Y12 Z5 AA5:AA7 AB5 AC5:AD10 AF5 AG5:AG15 AH5:AH7 AE6:AE7 AB7 K8:K19 U8:U11 Z8:Z15 AF8:AF10 AA9:AA10 AB9:AB13 AE9:AE11 AH9:AH11 I10 H12:H16 I12 J12:J13 M12:M15 P12:P16 Q12:Q27 R12:S12 V12:V15 W12:W20 AA12:AA20 AC12 AD12:AD13 AF12 G13:G16 U13:U15 AE13:AE15 I14:I16 O14:O17 R14:S15 Y14:Y19 AF14:AF15 AB15:AB20 AC15 J16 M17:M19 T17:T18 Z17:Z20 AC17:AC19 AD17:AE20 AF17:AG19 AH17:AH18 F18:F28 G18:G32 H18:H19 I18:I32 J18:J19 R18:R19 U18:U20 V18:V19 D19 E19:E29 O19 P19:P29 S19:S20 N20 D21:D22 H21:H28 J21:J32 K21 L21:L22 R21:R23 T21:T28 Y21:Y24 AC21:AC27 AF21:AF22 O22 K23:K29 U23:U28 V23:V27 W23:W24 X23:X25 Z23:Z25 AA23:AB24 AG23:AG25 AH23:AH24 AF24 D25 L25:M29 R25:R28 AD25 AE25:AE28 N26:N29 W26:W29 D27:D30 O27:O29 S27:S29 X27:Y27 Z27:Z29 AA27:AA30 AB27 AD27 AF27:AF28 AG27:AH27 Q29:Q30 V29 X29:X31 Y29:Y30 AC29 H30:H34 T30 AE30:AE31 E31:F33 N31 O31:O33 AC31 K32 L32:M33 Z32:Z33 AB32:AB33 AD32 C33 N33 P33:W33 J34 AA34:AA36 F35:G35 K35 R35 U35 AF35 AH35 O36 I37 M37 J38 O38 I39 M39 J40">
    <cfRule type="expression" dxfId="136" priority="30">
      <formula>WEEKDAY(#REF!,2)&gt;5</formula>
    </cfRule>
  </conditionalFormatting>
  <conditionalFormatting sqref="F5:H5 W6:X7 AA6:AA7 U8 Z8:Z10 S10 V10:Y10 AA10:AB10 T12 Y12 AD12 C13 V13 Z13:AA15 AB13 T14:U15 Y14:Y15 T20 T26 AE26 Z27 AD27 AE28 AE30:AE31 AH35">
    <cfRule type="expression" dxfId="136" priority="31">
      <formula>WEEKDAY(H$3,2)&gt;5</formula>
    </cfRule>
  </conditionalFormatting>
  <conditionalFormatting sqref="F5:H5 C10 E12 C13 C21:C22">
    <cfRule type="expression" dxfId="136" priority="33">
      <formula>WEEKDAY(H$3,2)&gt;5</formula>
    </cfRule>
  </conditionalFormatting>
  <conditionalFormatting sqref="C5:C26 D5:D19 E5:E24 F5:F26 G5:G33 H5:H10 I5:I26 J5:J25 K5:K19 L5:N29 O5:O26 P5:P16 Q5:Q26 R5:R29 S5:T26 U5:V16 W5:X25 Y5:Y26 Z5:AC41 AD5:AD28 AE5:AE33 AF5:AF30 AG5:AG25 AH5:AH27 H12:H26 P18:P25 U18:U35 V18:V26 D21:D26 K21:K26 E26 J27:J29 AG27:AG28 C28 D28:D30 E28:E33 F28 H28:H34 I28:I32 K28:K29 O28:P29 Q28:Q33 S28:S29 T28:T35 V28:V35 W28:W29 X28:X33 Y28:Y41 F30:F33 AD30 AG30:AH30 J31:J34 N31 O31:O33 R31 S31:S35 W31:W35 K32 L32:M33 P32:P33 AD32:AD33 AF32:AG32 C33 N33 R33 F35:G35 K35 Q35:R35 X35 AD35:AH35 O36 I37 M37 S37 J38 O38 W38 AG38 I39 M39 J40 W40 U42">
    <cfRule type="cellIs" dxfId="137" priority="34" operator="equal">
      <formula>"B"</formula>
    </cfRule>
    <cfRule type="cellIs" dxfId="137" priority="35" operator="equal">
      <formula>"AL"</formula>
    </cfRule>
    <cfRule type="cellIs" dxfId="138" priority="36" operator="equal">
      <formula>"DM"</formula>
    </cfRule>
    <cfRule type="cellIs" dxfId="139" priority="37" operator="equal">
      <formula>"CS1"</formula>
    </cfRule>
    <cfRule type="cellIs" dxfId="140" priority="38" operator="equal">
      <formula>"CS2"</formula>
    </cfRule>
    <cfRule type="cellIs" dxfId="141" priority="39" operator="equal">
      <formula>"SB1"</formula>
    </cfRule>
    <cfRule type="cellIs" dxfId="142" priority="40" operator="equal">
      <formula>"SB2"</formula>
    </cfRule>
    <cfRule type="cellIs" dxfId="143" priority="41" operator="equal">
      <formula>"AE"</formula>
    </cfRule>
    <cfRule type="cellIs" dxfId="137" priority="43" operator="equal">
      <formula>"DB"</formula>
    </cfRule>
    <cfRule type="containsText" dxfId="144" priority="44" operator="between" text="$AM">
      <formula>NOT(ISERROR(SEARCH("$AM",C5)))</formula>
    </cfRule>
    <cfRule type="containsText" dxfId="145" priority="45" operator="between" text="$PM">
      <formula>NOT(ISERROR(SEARCH("$PM",C5)))</formula>
    </cfRule>
    <cfRule type="containsText" dxfId="146" priority="46" operator="between" text="$L">
      <formula>NOT(ISERROR(SEARCH("$L",C5)))</formula>
    </cfRule>
    <cfRule type="containsText" dxfId="147" priority="47" operator="between" text="$BTP">
      <formula>NOT(ISERROR(SEARCH("$BTP",C5)))</formula>
    </cfRule>
    <cfRule type="containsText" dxfId="148" priority="48" operator="between" text="$M">
      <formula>NOT(ISERROR(SEARCH("$M",C5)))</formula>
    </cfRule>
    <cfRule type="containsText" dxfId="149" priority="49" operator="between" text="$N">
      <formula>NOT(ISERROR(SEARCH("$N",C5)))</formula>
    </cfRule>
    <cfRule type="containsText" dxfId="150" priority="50" operator="between" text="$FC">
      <formula>NOT(ISERROR(SEARCH("$FC",C5)))</formula>
    </cfRule>
    <cfRule type="containsText" dxfId="151" priority="51" operator="between" text="OAL">
      <formula>NOT(ISERROR(SEARCH("OAL",C5)))</formula>
    </cfRule>
    <cfRule type="containsText" dxfId="152" priority="52" operator="between" text="S+">
      <formula>NOT(ISERROR(SEARCH("S+",C5)))</formula>
    </cfRule>
    <cfRule type="containsText" dxfId="153" priority="53" operator="between" text="EX-D">
      <formula>NOT(ISERROR(SEARCH("EX-D",C5)))</formula>
    </cfRule>
    <cfRule type="expression" dxfId="136" priority="54">
      <formula>WEEKDAY(#REF!,2)&gt;5</formula>
    </cfRule>
  </conditionalFormatting>
  <conditionalFormatting sqref="C5:C28 D5:D19 E5:E33 F5:F28 G5:G33 H5:H10 I5:I32 J5:J34 K5:K19 L5:O29 P5:P16 Q5:Q33 R5:S29 T5:T35 U5:V16 W5:W29 X5:X25 Y5:AC41 AD5:AD28 AE5:AE33 AF5:AF30 AG5:AG25 AH5:AH27 H12:H34 P18:P29 U18:V35 D21:D30 K21:K29 X27:X33 AG27:AG28 F30:F33 AD30 AG30:AH30 N31 O31:O33 R31 S31:S35 W31:W35 K32 L32:M33 P32:P33 AD32:AD33 AF32:AG32 C33 N33 R33 F35:G35 K35 Q35:R35 X35 AD35:AH35 O36 I37 M37 S37 J38 O38 W38 AG38 I39 M39 J40 W40 U42">
    <cfRule type="containsText" dxfId="154" priority="42" operator="between" text="VACC">
      <formula>NOT(ISERROR(SEARCH("VACC",C5)))</formula>
    </cfRule>
  </conditionalFormatting>
  <conditionalFormatting sqref="BP5:BQ42">
    <cfRule type="cellIs" dxfId="155" priority="63" operator="lessThan">
      <formula>1</formula>
    </cfRule>
  </conditionalFormatting>
  <conditionalFormatting sqref="W6:X7 AA6:AA7 U8 Z8:Z10 S10 V10:Y10 AA10:AB10 T12 Y12 AD12 V13 Z13:AA15 AB13 T14:U15 Y14:Y15 T20 Z20:AB20 G23:G24 AC25 T26 AE26 Z27 AD27 AE28 AE30:AE31 AH35 U42">
    <cfRule type="expression" dxfId="136" priority="32">
      <formula>WEEKDAY(X$3,2)&gt;5</formula>
    </cfRule>
  </conditionalFormatting>
  <conditionalFormatting sqref="T18 G21:H22 C25 G25 H25:H26 G27 N27 U27 AB27 T33">
    <cfRule type="expression" dxfId="136" priority="6">
      <formula>WEEKDAY(U$3,2)&gt;5</formula>
    </cfRule>
  </conditionalFormatting>
  <conditionalFormatting sqref="C19 C23:C24">
    <cfRule type="expression" dxfId="136" priority="10">
      <formula>WEEKDAY(D$3,2)&gt;5</formula>
    </cfRule>
  </conditionalFormatting>
  <dataValidations count="2">
    <dataValidation type="list" allowBlank="1" sqref="C5:AH5 D8:J8 L8:AD8 AF8:AH8 C9:O9 R9:AH9 D10:AH10 C11 E11:O11 R11 T11:AH11 C12:J12 L12:AH12 C13:H13 J13:K13 M13:R13 T13:AH13 C16:Q16 S16:T16 V16:AH16 C17:U17 W17:AH17 C18 E18:N18 P18:AH18 C19:L19 N19:AG19 D20:E20 G20 I20:N20 P20:AH20 C25:D25 F25:M25 O25:X25 Z25 AB25:AH25 C26 E26:Y26 AA26:AF26 AH26 C27:AH27 C28:AA28 AC28:AH28 C29:K29 M29:AC29 AE29:AH29 C30:Q30 S30:U30 X30:AB30 AD30:AH30 C31:E31 G31:K31 M31:O31 Q31:W31 Y31:AA31 AC31 AE31:AH31 C32:M32 O32:X32 Z32:AG32 C33:X33 Z33 AB33:AC33 AE33:AH33 C34:M34 O34:Y34 AA34:AH34 F35:G35 I35:N35 Q35:R35 T35:V35 AC35:AH35 J36:L36 N36:P36 T36 I37:P37 S37:T37 X37 J38:L38 N38:P38 V38:X38 AA38 I39:P39 V39 X39 V40:X40 V41 X41 C42:L42 S42:AH42 R23:R24 T38:T41 V36:V37 Z39:Z40 AA35:AA36 C6:AE7 C14:AD15 C21:R22 C23:O24 C35:D41 J40:L41 N40:P42 T21:V22 AF21:AH22 T23:AC24 X21:Y22 X35:Y36 AA21:AD22 AE23:AH24 AD36:AH41 AF14:AH15 AG6:AH7" showDropDown="1">
      <formula1>'Setting key Duty'!$B$7:$B$56</formula1>
    </dataValidation>
    <dataValidation type="list" allowBlank="1" sqref="C43:AH49" showDropDown="1">
      <formula1>'Setting key Duty'!$B$7:$B$23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BR5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C5" sqref="C5"/>
    </sheetView>
  </sheetViews>
  <sheetFormatPr defaultColWidth="12.6285714285714" defaultRowHeight="15.75" customHeight="1"/>
  <cols>
    <col min="1" max="1" width="2.13333333333333" customWidth="1"/>
    <col min="2" max="2" width="29.752380952381" customWidth="1"/>
    <col min="3" max="11" width="9.24761904761905" customWidth="1"/>
    <col min="12" max="12" width="9.38095238095238" customWidth="1"/>
    <col min="13" max="13" width="10.6285714285714" customWidth="1"/>
    <col min="14" max="14" width="9.24761904761905" customWidth="1"/>
    <col min="15" max="15" width="10" customWidth="1"/>
    <col min="16" max="16" width="10.752380952381" customWidth="1"/>
    <col min="17" max="17" width="10.247619047619" customWidth="1"/>
    <col min="18" max="18" width="9.62857142857143" customWidth="1"/>
    <col min="19" max="19" width="9.13333333333333" customWidth="1"/>
    <col min="20" max="26" width="9.24761904761905" customWidth="1"/>
    <col min="27" max="27" width="10.5047619047619" customWidth="1"/>
    <col min="28" max="30" width="9.24761904761905" customWidth="1"/>
    <col min="31" max="31" width="10.5047619047619" customWidth="1"/>
    <col min="32" max="32" width="9.38095238095238" customWidth="1"/>
    <col min="33" max="34" width="9.24761904761905" customWidth="1"/>
    <col min="35" max="41" width="9.38095238095238" hidden="1" customWidth="1" outlineLevel="1"/>
    <col min="42" max="42" width="12" hidden="1" customWidth="1" outlineLevel="1"/>
    <col min="43" max="43" width="9.38095238095238" hidden="1" customWidth="1" outlineLevel="1"/>
    <col min="44" max="44" width="6.75238095238095" customWidth="1" collapsed="1"/>
    <col min="45" max="46" width="6.75238095238095" customWidth="1"/>
    <col min="47" max="47" width="8.87619047619048" customWidth="1" outlineLevel="1"/>
    <col min="48" max="49" width="7.87619047619048" customWidth="1" outlineLevel="1"/>
    <col min="50" max="50" width="9.13333333333333" customWidth="1" outlineLevel="1"/>
    <col min="51" max="51" width="8.24761904761905" customWidth="1" outlineLevel="1"/>
    <col min="52" max="52" width="5.5047619047619" customWidth="1" outlineLevel="1"/>
    <col min="53" max="55" width="9.38095238095238" customWidth="1"/>
    <col min="56" max="66" width="9.38095238095238" customWidth="1" outlineLevel="1"/>
    <col min="67" max="67" width="9.38095238095238" customWidth="1"/>
    <col min="68" max="68" width="9.5047619047619" customWidth="1"/>
    <col min="69" max="70" width="9.38095238095238" customWidth="1"/>
  </cols>
  <sheetData>
    <row r="1" ht="3" customHeight="1" spans="1:70">
      <c r="A1" s="213"/>
      <c r="B1" s="255" t="s">
        <v>0</v>
      </c>
      <c r="C1" s="164" t="str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>
  Enter DM for DM, CS1 for CS1, CS2 for CS2, and SB1 for SB1. Use the 'Setting key' tab to customise. Change Date on highlighted cell
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5"/>
      <c r="AN1" s="215"/>
      <c r="AO1" s="215"/>
      <c r="AP1" s="215"/>
      <c r="AQ1" s="215"/>
      <c r="AR1" s="215"/>
      <c r="AS1" s="216"/>
      <c r="AT1" s="216"/>
      <c r="AU1" s="215"/>
      <c r="AV1" s="215"/>
      <c r="AW1" s="215"/>
      <c r="AX1" s="215"/>
      <c r="AY1" s="215"/>
      <c r="AZ1" s="215"/>
      <c r="BA1" s="215"/>
      <c r="BB1" s="215"/>
      <c r="BC1" s="256" t="s">
        <v>550</v>
      </c>
      <c r="BD1" s="215"/>
      <c r="BE1" s="215"/>
      <c r="BF1" s="215"/>
      <c r="BG1" s="215"/>
      <c r="BH1" s="215"/>
      <c r="BI1" s="215"/>
      <c r="BJ1" s="215"/>
      <c r="BK1" s="215"/>
      <c r="BL1" s="215"/>
      <c r="BM1" s="215"/>
      <c r="BN1" s="215"/>
      <c r="BO1" s="215"/>
      <c r="BP1" s="215"/>
      <c r="BQ1" s="215"/>
      <c r="BR1" s="216"/>
    </row>
    <row r="2" ht="26.25" customHeight="1" spans="1:70">
      <c r="A2" s="217"/>
      <c r="B2" s="257" t="s">
        <v>1</v>
      </c>
      <c r="C2" s="167"/>
      <c r="D2" s="167"/>
      <c r="E2" s="167"/>
      <c r="F2" s="167" t="s">
        <v>197</v>
      </c>
      <c r="G2" s="167" t="s">
        <v>197</v>
      </c>
      <c r="H2" s="167"/>
      <c r="I2" s="167"/>
      <c r="J2" s="167"/>
      <c r="K2" s="167" t="s">
        <v>551</v>
      </c>
      <c r="L2" s="167" t="s">
        <v>373</v>
      </c>
      <c r="M2" s="167" t="s">
        <v>552</v>
      </c>
      <c r="N2" s="167" t="s">
        <v>553</v>
      </c>
      <c r="O2" s="167" t="s">
        <v>9</v>
      </c>
      <c r="P2" s="167"/>
      <c r="Q2" s="167"/>
      <c r="R2" s="167" t="s">
        <v>208</v>
      </c>
      <c r="S2" s="167" t="s">
        <v>554</v>
      </c>
      <c r="T2" s="168" t="s">
        <v>555</v>
      </c>
      <c r="U2" s="167" t="s">
        <v>556</v>
      </c>
      <c r="V2" s="169" t="s">
        <v>268</v>
      </c>
      <c r="W2" s="167"/>
      <c r="X2" s="167"/>
      <c r="Y2" s="167" t="s">
        <v>2</v>
      </c>
      <c r="Z2" s="167" t="s">
        <v>557</v>
      </c>
      <c r="AA2" s="167" t="s">
        <v>266</v>
      </c>
      <c r="AB2" s="167" t="s">
        <v>372</v>
      </c>
      <c r="AC2" s="167"/>
      <c r="AD2" s="167"/>
      <c r="AE2" s="167"/>
      <c r="AF2" s="167"/>
      <c r="AG2" s="167"/>
      <c r="AH2" s="258"/>
      <c r="AI2" s="218"/>
      <c r="AJ2" s="218"/>
      <c r="AK2" s="218"/>
      <c r="AL2" s="218"/>
      <c r="AM2" s="218"/>
      <c r="AN2" s="218"/>
      <c r="AO2" s="218"/>
      <c r="AP2" s="218"/>
      <c r="AQ2" s="218"/>
      <c r="AR2" s="218"/>
      <c r="AS2" s="170"/>
      <c r="AT2" s="170"/>
      <c r="AU2" s="218"/>
      <c r="AV2" s="218"/>
      <c r="AW2" s="218"/>
      <c r="AX2" s="218"/>
      <c r="AY2" s="218"/>
      <c r="AZ2" s="218"/>
      <c r="BA2" s="218"/>
      <c r="BB2" s="218"/>
      <c r="BC2" s="259" t="s">
        <v>558</v>
      </c>
      <c r="BD2" s="218"/>
      <c r="BE2" s="219"/>
      <c r="BF2" s="219"/>
      <c r="BG2" s="219"/>
      <c r="BH2" s="219"/>
      <c r="BI2" s="219"/>
      <c r="BJ2" s="219"/>
      <c r="BK2" s="219"/>
      <c r="BL2" s="219"/>
      <c r="BM2" s="219"/>
      <c r="BN2" s="219"/>
      <c r="BO2" s="218"/>
      <c r="BP2" s="218"/>
      <c r="BQ2" s="218"/>
      <c r="BR2" s="220"/>
    </row>
    <row r="3" ht="26.25" customHeight="1" spans="1:70">
      <c r="A3" s="217"/>
      <c r="B3" s="257" t="s">
        <v>21</v>
      </c>
      <c r="C3" s="171">
        <v>46054</v>
      </c>
      <c r="D3" s="172">
        <f t="shared" ref="D3:AH3" si="0">C3+1</f>
        <v>46055</v>
      </c>
      <c r="E3" s="172">
        <f t="shared" si="0"/>
        <v>46056</v>
      </c>
      <c r="F3" s="172">
        <f t="shared" si="0"/>
        <v>46057</v>
      </c>
      <c r="G3" s="172">
        <f t="shared" si="0"/>
        <v>46058</v>
      </c>
      <c r="H3" s="172">
        <f t="shared" si="0"/>
        <v>46059</v>
      </c>
      <c r="I3" s="172">
        <f t="shared" si="0"/>
        <v>46060</v>
      </c>
      <c r="J3" s="172">
        <f t="shared" si="0"/>
        <v>46061</v>
      </c>
      <c r="K3" s="172">
        <f t="shared" si="0"/>
        <v>46062</v>
      </c>
      <c r="L3" s="172">
        <f t="shared" si="0"/>
        <v>46063</v>
      </c>
      <c r="M3" s="172">
        <f t="shared" si="0"/>
        <v>46064</v>
      </c>
      <c r="N3" s="172">
        <f t="shared" si="0"/>
        <v>46065</v>
      </c>
      <c r="O3" s="172">
        <f t="shared" si="0"/>
        <v>46066</v>
      </c>
      <c r="P3" s="172">
        <f t="shared" si="0"/>
        <v>46067</v>
      </c>
      <c r="Q3" s="172">
        <f t="shared" si="0"/>
        <v>46068</v>
      </c>
      <c r="R3" s="172">
        <f t="shared" si="0"/>
        <v>46069</v>
      </c>
      <c r="S3" s="172">
        <f t="shared" si="0"/>
        <v>46070</v>
      </c>
      <c r="T3" s="173">
        <f t="shared" si="0"/>
        <v>46071</v>
      </c>
      <c r="U3" s="172">
        <f t="shared" si="0"/>
        <v>46072</v>
      </c>
      <c r="V3" s="174">
        <f t="shared" si="0"/>
        <v>46073</v>
      </c>
      <c r="W3" s="172">
        <f t="shared" si="0"/>
        <v>46074</v>
      </c>
      <c r="X3" s="172">
        <f t="shared" si="0"/>
        <v>46075</v>
      </c>
      <c r="Y3" s="172">
        <f t="shared" si="0"/>
        <v>46076</v>
      </c>
      <c r="Z3" s="172">
        <f t="shared" si="0"/>
        <v>46077</v>
      </c>
      <c r="AA3" s="172">
        <f t="shared" si="0"/>
        <v>46078</v>
      </c>
      <c r="AB3" s="172">
        <f t="shared" si="0"/>
        <v>46079</v>
      </c>
      <c r="AC3" s="172">
        <f t="shared" si="0"/>
        <v>46080</v>
      </c>
      <c r="AD3" s="172">
        <f t="shared" si="0"/>
        <v>46081</v>
      </c>
      <c r="AE3" s="172">
        <f t="shared" si="0"/>
        <v>46082</v>
      </c>
      <c r="AF3" s="172">
        <f t="shared" si="0"/>
        <v>46083</v>
      </c>
      <c r="AG3" s="173">
        <f t="shared" si="0"/>
        <v>46084</v>
      </c>
      <c r="AH3" s="172">
        <f t="shared" si="0"/>
        <v>46085</v>
      </c>
      <c r="AI3" s="221" t="str">
        <f>'Setting key Duty'!$C7</f>
        <v>DM</v>
      </c>
      <c r="AJ3" s="222" t="str">
        <f>'Setting key Duty'!$C8</f>
        <v>CS1</v>
      </c>
      <c r="AK3" s="223" t="str">
        <f>'Setting key Duty'!$C9</f>
        <v>CS2</v>
      </c>
      <c r="AL3" s="223" t="str">
        <f>'Setting key Duty'!$C10</f>
        <v>CS/B</v>
      </c>
      <c r="AM3" s="223" t="str">
        <f>'Setting key Duty'!$C11</f>
        <v>SB1</v>
      </c>
      <c r="AN3" s="223" t="str">
        <f>'Setting key Duty'!$C12</f>
        <v>SB2</v>
      </c>
      <c r="AO3" s="223" t="str">
        <f>'Setting key Duty'!$C13</f>
        <v>AE</v>
      </c>
      <c r="AP3" s="223" t="str">
        <f>'Setting key Duty'!$C16</f>
        <v>Outfield Reserve</v>
      </c>
      <c r="AQ3" s="223" t="str">
        <f>'Setting key Duty'!C14</f>
        <v>EM</v>
      </c>
      <c r="AR3" s="223"/>
      <c r="AS3" s="224" t="s">
        <v>559</v>
      </c>
      <c r="AT3" s="224" t="s">
        <v>560</v>
      </c>
      <c r="AU3" s="223" t="s">
        <v>22</v>
      </c>
      <c r="AV3" s="223" t="s">
        <v>23</v>
      </c>
      <c r="AW3" s="223" t="s">
        <v>561</v>
      </c>
      <c r="AX3" s="223" t="s">
        <v>24</v>
      </c>
      <c r="AY3" s="223" t="s">
        <v>25</v>
      </c>
      <c r="AZ3" s="223" t="s">
        <v>26</v>
      </c>
      <c r="BA3" s="223" t="s">
        <v>27</v>
      </c>
      <c r="BB3" s="223" t="s">
        <v>28</v>
      </c>
      <c r="BC3" s="225" t="s">
        <v>29</v>
      </c>
      <c r="BD3" s="223" t="s">
        <v>30</v>
      </c>
      <c r="BE3" s="223" t="s">
        <v>32</v>
      </c>
      <c r="BF3" s="223" t="s">
        <v>33</v>
      </c>
      <c r="BG3" s="223" t="s">
        <v>36</v>
      </c>
      <c r="BH3" s="223" t="s">
        <v>37</v>
      </c>
      <c r="BI3" s="223" t="s">
        <v>39</v>
      </c>
      <c r="BJ3" s="223" t="s">
        <v>40</v>
      </c>
      <c r="BK3" s="223" t="s">
        <v>41</v>
      </c>
      <c r="BL3" s="223" t="s">
        <v>42</v>
      </c>
      <c r="BM3" s="223" t="str">
        <f>'Setting key Duty'!C52</f>
        <v>Field Camp</v>
      </c>
      <c r="BN3" s="223" t="s">
        <v>43</v>
      </c>
      <c r="BO3" s="223" t="str">
        <f>'Setting key Duty'!$C15</f>
        <v>Block</v>
      </c>
      <c r="BP3" s="223" t="str">
        <f>'Setting key Duty'!C17</f>
        <v>Reserve</v>
      </c>
      <c r="BQ3" s="223" t="str">
        <f>'Setting key Duty'!$C22</f>
        <v>AL</v>
      </c>
      <c r="BR3" s="220"/>
    </row>
    <row r="4" ht="18" customHeight="1" spans="1:70">
      <c r="A4" s="226"/>
      <c r="B4" s="260" t="s">
        <v>156</v>
      </c>
      <c r="C4" s="179" t="str">
        <f t="shared" ref="C4:AH4" si="1">TEXT(C3,"ddd")</f>
        <v>Sun</v>
      </c>
      <c r="D4" s="180" t="str">
        <f t="shared" si="1"/>
        <v>Mon</v>
      </c>
      <c r="E4" s="180" t="str">
        <f t="shared" si="1"/>
        <v>Tue</v>
      </c>
      <c r="F4" s="180" t="str">
        <f t="shared" si="1"/>
        <v>Wed</v>
      </c>
      <c r="G4" s="180" t="str">
        <f t="shared" si="1"/>
        <v>Thu</v>
      </c>
      <c r="H4" s="180" t="str">
        <f t="shared" si="1"/>
        <v>Fri</v>
      </c>
      <c r="I4" s="180" t="str">
        <f t="shared" si="1"/>
        <v>Sat</v>
      </c>
      <c r="J4" s="180" t="str">
        <f t="shared" si="1"/>
        <v>Sun</v>
      </c>
      <c r="K4" s="180" t="str">
        <f t="shared" si="1"/>
        <v>Mon</v>
      </c>
      <c r="L4" s="180" t="str">
        <f t="shared" si="1"/>
        <v>Tue</v>
      </c>
      <c r="M4" s="180" t="str">
        <f t="shared" si="1"/>
        <v>Wed</v>
      </c>
      <c r="N4" s="180" t="str">
        <f t="shared" si="1"/>
        <v>Thu</v>
      </c>
      <c r="O4" s="180" t="str">
        <f t="shared" si="1"/>
        <v>Fri</v>
      </c>
      <c r="P4" s="180" t="str">
        <f t="shared" si="1"/>
        <v>Sat</v>
      </c>
      <c r="Q4" s="180" t="str">
        <f t="shared" si="1"/>
        <v>Sun</v>
      </c>
      <c r="R4" s="180" t="str">
        <f t="shared" si="1"/>
        <v>Mon</v>
      </c>
      <c r="S4" s="180" t="str">
        <f t="shared" si="1"/>
        <v>Tue</v>
      </c>
      <c r="T4" s="179" t="str">
        <f t="shared" si="1"/>
        <v>Wed</v>
      </c>
      <c r="U4" s="180" t="str">
        <f t="shared" si="1"/>
        <v>Thu</v>
      </c>
      <c r="V4" s="181" t="str">
        <f t="shared" si="1"/>
        <v>Fri</v>
      </c>
      <c r="W4" s="180" t="str">
        <f t="shared" si="1"/>
        <v>Sat</v>
      </c>
      <c r="X4" s="180" t="str">
        <f t="shared" si="1"/>
        <v>Sun</v>
      </c>
      <c r="Y4" s="180" t="str">
        <f t="shared" si="1"/>
        <v>Mon</v>
      </c>
      <c r="Z4" s="180" t="str">
        <f t="shared" si="1"/>
        <v>Tue</v>
      </c>
      <c r="AA4" s="180" t="str">
        <f t="shared" si="1"/>
        <v>Wed</v>
      </c>
      <c r="AB4" s="180" t="str">
        <f t="shared" si="1"/>
        <v>Thu</v>
      </c>
      <c r="AC4" s="180" t="str">
        <f t="shared" si="1"/>
        <v>Fri</v>
      </c>
      <c r="AD4" s="180" t="str">
        <f t="shared" si="1"/>
        <v>Sat</v>
      </c>
      <c r="AE4" s="180" t="str">
        <f t="shared" si="1"/>
        <v>Sun</v>
      </c>
      <c r="AF4" s="180" t="str">
        <f t="shared" si="1"/>
        <v>Mon</v>
      </c>
      <c r="AG4" s="179" t="str">
        <f t="shared" si="1"/>
        <v>Tue</v>
      </c>
      <c r="AH4" s="180" t="str">
        <f t="shared" si="1"/>
        <v>Wed</v>
      </c>
      <c r="AI4" s="227" t="str">
        <f>'Setting key Duty'!$B7</f>
        <v>DM</v>
      </c>
      <c r="AJ4" s="228" t="str">
        <f>'Setting key Duty'!$B8</f>
        <v>CS1</v>
      </c>
      <c r="AK4" s="229" t="str">
        <f>'Setting key Duty'!$B9</f>
        <v>CS2</v>
      </c>
      <c r="AL4" s="229" t="str">
        <f>'Setting key Duty'!$B10</f>
        <v>CS/B</v>
      </c>
      <c r="AM4" s="229" t="str">
        <f>'Setting key Duty'!$B11</f>
        <v>SB1</v>
      </c>
      <c r="AN4" s="229" t="str">
        <f>'Setting key Duty'!$B12</f>
        <v>SB2</v>
      </c>
      <c r="AO4" s="229" t="str">
        <f>'Setting key Duty'!$B13</f>
        <v>AE</v>
      </c>
      <c r="AP4" s="229" t="str">
        <f>'Setting key Duty'!$B16</f>
        <v>Outfield Reserve</v>
      </c>
      <c r="AQ4" s="229" t="str">
        <f>'Setting key Duty'!B14</f>
        <v>EM</v>
      </c>
      <c r="AR4" s="229"/>
      <c r="AS4" s="230"/>
      <c r="AT4" s="230"/>
      <c r="AU4" s="229"/>
      <c r="AV4" s="229"/>
      <c r="AW4" s="229"/>
      <c r="AX4" s="229"/>
      <c r="AY4" s="229"/>
      <c r="AZ4" s="229"/>
      <c r="BA4" s="229"/>
      <c r="BB4" s="229"/>
      <c r="BC4" s="231"/>
      <c r="BD4" s="229"/>
      <c r="BE4" s="229" t="s">
        <v>46</v>
      </c>
      <c r="BF4" s="229"/>
      <c r="BG4" s="229" t="s">
        <v>48</v>
      </c>
      <c r="BH4" s="229"/>
      <c r="BI4" s="229" t="s">
        <v>50</v>
      </c>
      <c r="BJ4" s="229"/>
      <c r="BK4" s="229" t="s">
        <v>51</v>
      </c>
      <c r="BL4" s="229"/>
      <c r="BM4" s="229" t="str">
        <f>'Setting key Duty'!B52</f>
        <v>$FC</v>
      </c>
      <c r="BN4" s="229"/>
      <c r="BO4" s="229">
        <f>'Setting key Duty'!$B15</f>
        <v>0</v>
      </c>
      <c r="BP4" s="229" t="str">
        <f>'Setting key Duty'!B17</f>
        <v>RESERVE</v>
      </c>
      <c r="BQ4" s="229" t="str">
        <f>'Setting key Duty'!$B22</f>
        <v>AL</v>
      </c>
      <c r="BR4" s="232"/>
    </row>
    <row r="5" ht="19.5" customHeight="1" spans="1:70">
      <c r="A5" s="233"/>
      <c r="B5" s="261" t="s">
        <v>562</v>
      </c>
      <c r="C5" s="187"/>
      <c r="D5" s="136" t="s">
        <v>56</v>
      </c>
      <c r="E5" s="136"/>
      <c r="F5" s="136" t="s">
        <v>59</v>
      </c>
      <c r="G5" s="234"/>
      <c r="H5" s="136" t="s">
        <v>57</v>
      </c>
      <c r="I5" s="187"/>
      <c r="J5" s="187" t="s">
        <v>56</v>
      </c>
      <c r="K5" s="234"/>
      <c r="L5" s="136"/>
      <c r="M5" s="187" t="s">
        <v>56</v>
      </c>
      <c r="N5" s="136"/>
      <c r="O5" s="234"/>
      <c r="P5" s="234"/>
      <c r="Q5" s="234"/>
      <c r="R5" s="236"/>
      <c r="S5" s="187" t="s">
        <v>57</v>
      </c>
      <c r="T5" s="234"/>
      <c r="U5" s="136" t="s">
        <v>563</v>
      </c>
      <c r="V5" s="234" t="s">
        <v>564</v>
      </c>
      <c r="W5" s="234"/>
      <c r="X5" s="234"/>
      <c r="Y5" s="234"/>
      <c r="Z5" s="137" t="s">
        <v>57</v>
      </c>
      <c r="AA5" s="136"/>
      <c r="AB5" s="187"/>
      <c r="AC5" s="234"/>
      <c r="AD5" s="234"/>
      <c r="AE5" s="234"/>
      <c r="AF5" s="187"/>
      <c r="AG5" s="187"/>
      <c r="AH5" s="197"/>
      <c r="AI5" s="237">
        <f t="shared" ref="AI5:AQ5" si="2">COUNTIF($D5:$AE5,AI$4)</f>
        <v>3</v>
      </c>
      <c r="AJ5" s="248">
        <f t="shared" si="2"/>
        <v>3</v>
      </c>
      <c r="AK5" s="237">
        <f t="shared" si="2"/>
        <v>1</v>
      </c>
      <c r="AL5" s="237">
        <f t="shared" si="2"/>
        <v>0</v>
      </c>
      <c r="AM5" s="238">
        <f t="shared" si="2"/>
        <v>0</v>
      </c>
      <c r="AN5" s="238">
        <f t="shared" si="2"/>
        <v>0</v>
      </c>
      <c r="AO5" s="238">
        <f t="shared" si="2"/>
        <v>0</v>
      </c>
      <c r="AP5" s="238">
        <f t="shared" si="2"/>
        <v>0</v>
      </c>
      <c r="AQ5" s="238">
        <f t="shared" si="2"/>
        <v>0</v>
      </c>
      <c r="AR5" s="238"/>
      <c r="AS5" s="239"/>
      <c r="AT5" s="239">
        <v>0.5</v>
      </c>
      <c r="AU5" s="238">
        <f>SUMPRODUCT(--(WEEKDAY(C$3:AG$3,2)&lt;5),--ISNUMBER(MATCH(C5:AG5,{"DM","CS1","CS2","SB1","AE","CS/B"},0)))</f>
        <v>5</v>
      </c>
      <c r="AV5" s="238"/>
      <c r="AW5" s="238">
        <f>SUMPRODUCT(--(WEEKDAY(C$3:AG$3,2)=5),--ISNUMBER(MATCH(C5:AG5,{"DM","CS1","CS2","SB1","AE","CS/B"},0)))</f>
        <v>1</v>
      </c>
      <c r="AX5" s="238">
        <f>SUMPRODUCT(--(WEEKDAY(C$3:AG$3,2)&gt;5),--ISNUMBER(MATCH(C5:AG5,{"DM","CS1","CS2","SB1","AE","CS/B"},0)))</f>
        <v>1</v>
      </c>
      <c r="AY5" s="238"/>
      <c r="AZ5" s="238">
        <f t="shared" ref="AZ5:AZ42" si="3">(AU5-AV5)+AW5*1.5+(AX5-AY5)*2+AN5*0.5+AP5*0.5+AS5-AT5</f>
        <v>8</v>
      </c>
      <c r="BA5" s="238">
        <f t="shared" ref="BA5:BA42" si="4">AU5+AW5+AX5</f>
        <v>7</v>
      </c>
      <c r="BB5" s="238">
        <f t="shared" ref="BB5:BB42" si="5">BE5+BG5+BI5+BK5+BM5</f>
        <v>0</v>
      </c>
      <c r="BC5" s="239">
        <f t="shared" ref="BC5:BC42" si="6">AZ5+BD5</f>
        <v>8</v>
      </c>
      <c r="BD5" s="238">
        <f t="shared" ref="BD5:BD42" si="7">BF5+BH5+BJ5+BL5+BN5</f>
        <v>0</v>
      </c>
      <c r="BE5" s="238">
        <f t="shared" ref="BE5:BE42" si="8">COUNTIF(A5:AI5,"*$BTP*")</f>
        <v>0</v>
      </c>
      <c r="BF5" s="238">
        <f t="shared" ref="BF5:BF42" si="9">BE5*1.5</f>
        <v>0</v>
      </c>
      <c r="BG5" s="238">
        <f t="shared" ref="BG5:BG42" si="10">COUNTIF(A5:AI5,"*$M*")</f>
        <v>0</v>
      </c>
      <c r="BH5" s="238">
        <f t="shared" ref="BH5:BH42" si="11">BG5*1</f>
        <v>0</v>
      </c>
      <c r="BI5" s="238">
        <f t="shared" ref="BI5:BI42" si="12">COUNTIF(A5:AI5,"*$PM*")</f>
        <v>0</v>
      </c>
      <c r="BJ5" s="238">
        <f t="shared" ref="BJ5:BJ42" si="13">BI5*0.5</f>
        <v>0</v>
      </c>
      <c r="BK5" s="238">
        <f t="shared" ref="BK5:BK42" si="14">COUNTIF(A5:AI5,"*$AM*")</f>
        <v>0</v>
      </c>
      <c r="BL5" s="238">
        <f t="shared" ref="BL5:BL42" si="15">BK5*0.5</f>
        <v>0</v>
      </c>
      <c r="BM5" s="238">
        <f t="shared" ref="BM5:BM42" si="16">COUNTIF(A5:AI5,"*$FC*")</f>
        <v>0</v>
      </c>
      <c r="BN5" s="238">
        <f t="shared" ref="BN5:BN42" si="17">BM5*1</f>
        <v>0</v>
      </c>
      <c r="BO5" s="238">
        <f t="shared" ref="BO5:BO33" si="18">COUNTIF($D5:$AA5,BO$4)</f>
        <v>0</v>
      </c>
      <c r="BP5" s="238">
        <f t="shared" ref="BP5:BP33" si="19">COUNTIF($D5:$AA5,BP$4)</f>
        <v>0</v>
      </c>
      <c r="BQ5" s="238">
        <f t="shared" ref="BQ5:BQ33" si="20">COUNTIF($D5:$AA5,BQ$4)</f>
        <v>0</v>
      </c>
      <c r="BR5" s="240"/>
    </row>
    <row r="6" ht="36" customHeight="1" spans="1:70">
      <c r="A6" s="233"/>
      <c r="B6" s="262" t="s">
        <v>565</v>
      </c>
      <c r="C6" s="241"/>
      <c r="D6" s="75"/>
      <c r="E6" s="136" t="s">
        <v>56</v>
      </c>
      <c r="F6" s="75"/>
      <c r="G6" s="75"/>
      <c r="H6" s="136"/>
      <c r="I6" s="75" t="s">
        <v>57</v>
      </c>
      <c r="J6" s="75"/>
      <c r="K6" s="136" t="s">
        <v>93</v>
      </c>
      <c r="L6" s="75" t="s">
        <v>59</v>
      </c>
      <c r="M6" s="75"/>
      <c r="N6" s="75" t="s">
        <v>566</v>
      </c>
      <c r="O6" s="242" t="s">
        <v>55</v>
      </c>
      <c r="P6" s="242" t="s">
        <v>55</v>
      </c>
      <c r="Q6" s="242" t="s">
        <v>55</v>
      </c>
      <c r="R6" s="242" t="s">
        <v>55</v>
      </c>
      <c r="S6" s="242" t="s">
        <v>55</v>
      </c>
      <c r="T6" s="242" t="s">
        <v>55</v>
      </c>
      <c r="U6" s="242" t="s">
        <v>55</v>
      </c>
      <c r="V6" s="242" t="s">
        <v>55</v>
      </c>
      <c r="W6" s="242" t="s">
        <v>55</v>
      </c>
      <c r="X6" s="242" t="s">
        <v>55</v>
      </c>
      <c r="Y6" s="136"/>
      <c r="Z6" s="75"/>
      <c r="AA6" s="137" t="s">
        <v>59</v>
      </c>
      <c r="AB6" s="75"/>
      <c r="AC6" s="75"/>
      <c r="AD6" s="75" t="s">
        <v>57</v>
      </c>
      <c r="AE6" s="75"/>
      <c r="AF6" s="75"/>
      <c r="AG6" s="75"/>
      <c r="AH6" s="197"/>
      <c r="AI6" s="237">
        <f t="shared" ref="AI6:AQ6" si="21">COUNTIF($D6:$AE6,AI$4)</f>
        <v>2</v>
      </c>
      <c r="AJ6" s="248">
        <f t="shared" si="21"/>
        <v>1</v>
      </c>
      <c r="AK6" s="237">
        <f t="shared" si="21"/>
        <v>2</v>
      </c>
      <c r="AL6" s="237">
        <f t="shared" si="21"/>
        <v>1</v>
      </c>
      <c r="AM6" s="238">
        <f t="shared" si="21"/>
        <v>0</v>
      </c>
      <c r="AN6" s="238">
        <f t="shared" si="21"/>
        <v>1</v>
      </c>
      <c r="AO6" s="238">
        <f t="shared" si="21"/>
        <v>0</v>
      </c>
      <c r="AP6" s="238">
        <f t="shared" si="21"/>
        <v>0</v>
      </c>
      <c r="AQ6" s="238">
        <f t="shared" si="21"/>
        <v>0</v>
      </c>
      <c r="AR6" s="238"/>
      <c r="AS6" s="239"/>
      <c r="AT6" s="239"/>
      <c r="AU6" s="238">
        <f>SUMPRODUCT(--(WEEKDAY(C$3:AG$3,2)&lt;5),--ISNUMBER(MATCH(C6:AG6,{"DM","CS1","CS2","SB1","AE","CS/B"},0)))</f>
        <v>4</v>
      </c>
      <c r="AV6" s="238"/>
      <c r="AW6" s="238">
        <f>SUMPRODUCT(--(WEEKDAY(C$3:AG$3,2)=5),--ISNUMBER(MATCH(C6:AG6,{"DM","CS1","CS2","SB1","AE","CS/B"},0)))</f>
        <v>0</v>
      </c>
      <c r="AX6" s="238">
        <f>SUMPRODUCT(--(WEEKDAY(C$3:AG$3,2)&gt;5),--ISNUMBER(MATCH(C6:AG6,{"DM","CS1","CS2","SB1","AE","CS/B"},0)))</f>
        <v>2</v>
      </c>
      <c r="AY6" s="238"/>
      <c r="AZ6" s="238">
        <f t="shared" si="3"/>
        <v>8.5</v>
      </c>
      <c r="BA6" s="238">
        <f t="shared" si="4"/>
        <v>6</v>
      </c>
      <c r="BB6" s="238">
        <f t="shared" si="5"/>
        <v>0</v>
      </c>
      <c r="BC6" s="239">
        <f t="shared" si="6"/>
        <v>8.5</v>
      </c>
      <c r="BD6" s="238">
        <f t="shared" si="7"/>
        <v>0</v>
      </c>
      <c r="BE6" s="238">
        <f t="shared" si="8"/>
        <v>0</v>
      </c>
      <c r="BF6" s="238">
        <f t="shared" si="9"/>
        <v>0</v>
      </c>
      <c r="BG6" s="238">
        <f t="shared" si="10"/>
        <v>0</v>
      </c>
      <c r="BH6" s="238">
        <f t="shared" si="11"/>
        <v>0</v>
      </c>
      <c r="BI6" s="238">
        <f t="shared" si="12"/>
        <v>0</v>
      </c>
      <c r="BJ6" s="238">
        <f t="shared" si="13"/>
        <v>0</v>
      </c>
      <c r="BK6" s="238">
        <f t="shared" si="14"/>
        <v>0</v>
      </c>
      <c r="BL6" s="238">
        <f t="shared" si="15"/>
        <v>0</v>
      </c>
      <c r="BM6" s="238">
        <f t="shared" si="16"/>
        <v>0</v>
      </c>
      <c r="BN6" s="238">
        <f t="shared" si="17"/>
        <v>0</v>
      </c>
      <c r="BO6" s="238">
        <f t="shared" si="18"/>
        <v>0</v>
      </c>
      <c r="BP6" s="238">
        <f t="shared" si="19"/>
        <v>0</v>
      </c>
      <c r="BQ6" s="238">
        <f t="shared" si="20"/>
        <v>10</v>
      </c>
      <c r="BR6" s="240"/>
    </row>
    <row r="7" ht="36" customHeight="1" spans="1:70">
      <c r="A7" s="233"/>
      <c r="B7" s="263" t="s">
        <v>567</v>
      </c>
      <c r="C7" s="137"/>
      <c r="D7" s="136"/>
      <c r="E7" s="136"/>
      <c r="F7" s="136"/>
      <c r="G7" s="136"/>
      <c r="H7" s="136"/>
      <c r="I7" s="75"/>
      <c r="J7" s="137"/>
      <c r="K7" s="136"/>
      <c r="L7" s="136"/>
      <c r="M7" s="136"/>
      <c r="N7" s="136"/>
      <c r="O7" s="136"/>
      <c r="P7" s="137"/>
      <c r="Q7" s="137"/>
      <c r="R7" s="137"/>
      <c r="S7" s="137"/>
      <c r="T7" s="137"/>
      <c r="U7" s="137"/>
      <c r="V7" s="136"/>
      <c r="W7" s="137"/>
      <c r="X7" s="137"/>
      <c r="Y7" s="137"/>
      <c r="Z7" s="53"/>
      <c r="AA7" s="53"/>
      <c r="AB7" s="137"/>
      <c r="AC7" s="137"/>
      <c r="AD7" s="137"/>
      <c r="AE7" s="137"/>
      <c r="AF7" s="137"/>
      <c r="AG7" s="137"/>
      <c r="AH7" s="197"/>
      <c r="AI7" s="237">
        <f t="shared" ref="AI7:AQ7" si="22">COUNTIF($D7:$AE7,AI$4)</f>
        <v>0</v>
      </c>
      <c r="AJ7" s="248">
        <f t="shared" si="22"/>
        <v>0</v>
      </c>
      <c r="AK7" s="237">
        <f t="shared" si="22"/>
        <v>0</v>
      </c>
      <c r="AL7" s="237">
        <f t="shared" si="22"/>
        <v>0</v>
      </c>
      <c r="AM7" s="238">
        <f t="shared" si="22"/>
        <v>0</v>
      </c>
      <c r="AN7" s="238">
        <f t="shared" si="22"/>
        <v>0</v>
      </c>
      <c r="AO7" s="238">
        <f t="shared" si="22"/>
        <v>0</v>
      </c>
      <c r="AP7" s="238">
        <f t="shared" si="22"/>
        <v>0</v>
      </c>
      <c r="AQ7" s="238">
        <f t="shared" si="22"/>
        <v>0</v>
      </c>
      <c r="AR7" s="238"/>
      <c r="AS7" s="239"/>
      <c r="AT7" s="239"/>
      <c r="AU7" s="238">
        <f>SUMPRODUCT(--(WEEKDAY(C$3:AG$3,2)&lt;5),--ISNUMBER(MATCH(C7:AG7,{"DM","CS1","CS2","SB1","AE","CS/B"},0)))</f>
        <v>0</v>
      </c>
      <c r="AV7" s="238"/>
      <c r="AW7" s="238">
        <f>SUMPRODUCT(--(WEEKDAY(C$3:AG$3,2)=5),--ISNUMBER(MATCH(C7:AG7,{"DM","CS1","CS2","SB1","AE","CS/B"},0)))</f>
        <v>0</v>
      </c>
      <c r="AX7" s="238">
        <f>SUMPRODUCT(--(WEEKDAY(C$3:AG$3,2)&gt;5),--ISNUMBER(MATCH(C7:AG7,{"DM","CS1","CS2","SB1","AE","CS/B"},0)))</f>
        <v>0</v>
      </c>
      <c r="AY7" s="238"/>
      <c r="AZ7" s="238">
        <f t="shared" si="3"/>
        <v>0</v>
      </c>
      <c r="BA7" s="238">
        <f t="shared" si="4"/>
        <v>0</v>
      </c>
      <c r="BB7" s="238">
        <f t="shared" si="5"/>
        <v>0</v>
      </c>
      <c r="BC7" s="239">
        <f t="shared" si="6"/>
        <v>0</v>
      </c>
      <c r="BD7" s="238">
        <f t="shared" si="7"/>
        <v>0</v>
      </c>
      <c r="BE7" s="238">
        <f t="shared" si="8"/>
        <v>0</v>
      </c>
      <c r="BF7" s="238">
        <f t="shared" si="9"/>
        <v>0</v>
      </c>
      <c r="BG7" s="238">
        <f t="shared" si="10"/>
        <v>0</v>
      </c>
      <c r="BH7" s="238">
        <f t="shared" si="11"/>
        <v>0</v>
      </c>
      <c r="BI7" s="238">
        <f t="shared" si="12"/>
        <v>0</v>
      </c>
      <c r="BJ7" s="238">
        <f t="shared" si="13"/>
        <v>0</v>
      </c>
      <c r="BK7" s="238">
        <f t="shared" si="14"/>
        <v>0</v>
      </c>
      <c r="BL7" s="238">
        <f t="shared" si="15"/>
        <v>0</v>
      </c>
      <c r="BM7" s="238">
        <f t="shared" si="16"/>
        <v>0</v>
      </c>
      <c r="BN7" s="238">
        <f t="shared" si="17"/>
        <v>0</v>
      </c>
      <c r="BO7" s="238">
        <f t="shared" si="18"/>
        <v>0</v>
      </c>
      <c r="BP7" s="238">
        <f t="shared" si="19"/>
        <v>0</v>
      </c>
      <c r="BQ7" s="238">
        <f t="shared" si="20"/>
        <v>0</v>
      </c>
      <c r="BR7" s="240"/>
    </row>
    <row r="8" ht="19.5" customHeight="1" spans="1:70">
      <c r="A8" s="233"/>
      <c r="B8" s="264" t="s">
        <v>568</v>
      </c>
      <c r="C8" s="241" t="s">
        <v>569</v>
      </c>
      <c r="D8" s="75"/>
      <c r="E8" s="75"/>
      <c r="F8" s="136"/>
      <c r="G8" s="136"/>
      <c r="H8" s="265"/>
      <c r="I8" s="265"/>
      <c r="J8" s="75"/>
      <c r="K8" s="75"/>
      <c r="L8" s="136"/>
      <c r="M8" s="136"/>
      <c r="N8" s="136"/>
      <c r="O8" s="136"/>
      <c r="P8" s="75"/>
      <c r="Q8" s="75"/>
      <c r="R8" s="266" t="s">
        <v>570</v>
      </c>
      <c r="S8" s="75"/>
      <c r="T8" s="75"/>
      <c r="U8" s="75"/>
      <c r="V8" s="136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197"/>
      <c r="AI8" s="237">
        <f t="shared" ref="AI8:AQ8" si="23">COUNTIF($D8:$AE8,AI$4)</f>
        <v>0</v>
      </c>
      <c r="AJ8" s="248">
        <f t="shared" si="23"/>
        <v>0</v>
      </c>
      <c r="AK8" s="237">
        <f t="shared" si="23"/>
        <v>0</v>
      </c>
      <c r="AL8" s="237">
        <f t="shared" si="23"/>
        <v>0</v>
      </c>
      <c r="AM8" s="238">
        <f t="shared" si="23"/>
        <v>0</v>
      </c>
      <c r="AN8" s="238">
        <f t="shared" si="23"/>
        <v>0</v>
      </c>
      <c r="AO8" s="238">
        <f t="shared" si="23"/>
        <v>0</v>
      </c>
      <c r="AP8" s="238">
        <f t="shared" si="23"/>
        <v>0</v>
      </c>
      <c r="AQ8" s="238">
        <f t="shared" si="23"/>
        <v>0</v>
      </c>
      <c r="AR8" s="238"/>
      <c r="AS8" s="239"/>
      <c r="AT8" s="239"/>
      <c r="AU8" s="238">
        <f>SUMPRODUCT(--(WEEKDAY(C$3:AG$3,2)&lt;5),--ISNUMBER(MATCH(C8:AG8,{"DM","CS1","CS2","SB1","AE","CS/B"},0)))</f>
        <v>0</v>
      </c>
      <c r="AV8" s="238"/>
      <c r="AW8" s="238">
        <f>SUMPRODUCT(--(WEEKDAY(C$3:AG$3,2)=5),--ISNUMBER(MATCH(C8:AG8,{"DM","CS1","CS2","SB1","AE","CS/B"},0)))</f>
        <v>0</v>
      </c>
      <c r="AX8" s="238">
        <f>SUMPRODUCT(--(WEEKDAY(C$3:AG$3,2)&gt;5),--ISNUMBER(MATCH(C8:AG8,{"DM","CS1","CS2","SB1","AE","CS/B"},0)))</f>
        <v>0</v>
      </c>
      <c r="AY8" s="238"/>
      <c r="AZ8" s="238">
        <f t="shared" si="3"/>
        <v>0</v>
      </c>
      <c r="BA8" s="238">
        <f t="shared" si="4"/>
        <v>0</v>
      </c>
      <c r="BB8" s="238">
        <f t="shared" si="5"/>
        <v>0</v>
      </c>
      <c r="BC8" s="239">
        <f t="shared" si="6"/>
        <v>0</v>
      </c>
      <c r="BD8" s="238">
        <f t="shared" si="7"/>
        <v>0</v>
      </c>
      <c r="BE8" s="238">
        <f t="shared" si="8"/>
        <v>0</v>
      </c>
      <c r="BF8" s="238">
        <f t="shared" si="9"/>
        <v>0</v>
      </c>
      <c r="BG8" s="238">
        <f t="shared" si="10"/>
        <v>0</v>
      </c>
      <c r="BH8" s="238">
        <f t="shared" si="11"/>
        <v>0</v>
      </c>
      <c r="BI8" s="238">
        <f t="shared" si="12"/>
        <v>0</v>
      </c>
      <c r="BJ8" s="238">
        <f t="shared" si="13"/>
        <v>0</v>
      </c>
      <c r="BK8" s="238">
        <f t="shared" si="14"/>
        <v>0</v>
      </c>
      <c r="BL8" s="238">
        <f t="shared" si="15"/>
        <v>0</v>
      </c>
      <c r="BM8" s="238">
        <f t="shared" si="16"/>
        <v>0</v>
      </c>
      <c r="BN8" s="238">
        <f t="shared" si="17"/>
        <v>0</v>
      </c>
      <c r="BO8" s="238">
        <f t="shared" si="18"/>
        <v>0</v>
      </c>
      <c r="BP8" s="238">
        <f t="shared" si="19"/>
        <v>0</v>
      </c>
      <c r="BQ8" s="238">
        <f t="shared" si="20"/>
        <v>0</v>
      </c>
      <c r="BR8" s="240"/>
    </row>
    <row r="9" ht="19.5" customHeight="1" spans="1:70">
      <c r="A9" s="233"/>
      <c r="B9" s="267" t="s">
        <v>571</v>
      </c>
      <c r="C9" s="137"/>
      <c r="D9" s="137"/>
      <c r="E9" s="137" t="s">
        <v>57</v>
      </c>
      <c r="F9" s="137"/>
      <c r="G9" s="136"/>
      <c r="H9" s="136" t="s">
        <v>572</v>
      </c>
      <c r="I9" s="136"/>
      <c r="J9" s="137"/>
      <c r="K9" s="136" t="s">
        <v>350</v>
      </c>
      <c r="L9" s="137"/>
      <c r="M9" s="137"/>
      <c r="N9" s="136" t="s">
        <v>56</v>
      </c>
      <c r="O9" s="136"/>
      <c r="P9" s="137" t="s">
        <v>56</v>
      </c>
      <c r="Q9" s="137"/>
      <c r="R9" s="137"/>
      <c r="S9" s="137"/>
      <c r="T9" s="137"/>
      <c r="U9" s="137"/>
      <c r="V9" s="137" t="s">
        <v>57</v>
      </c>
      <c r="W9" s="137"/>
      <c r="X9" s="137"/>
      <c r="Y9" s="137"/>
      <c r="Z9" s="53" t="s">
        <v>56</v>
      </c>
      <c r="AA9" s="53"/>
      <c r="AB9" s="137" t="s">
        <v>57</v>
      </c>
      <c r="AC9" s="137"/>
      <c r="AD9" s="137"/>
      <c r="AE9" s="137"/>
      <c r="AF9" s="137"/>
      <c r="AG9" s="137"/>
      <c r="AH9" s="197"/>
      <c r="AI9" s="237">
        <f t="shared" ref="AI9:AQ9" si="24">COUNTIF($D9:$AE9,AI$4)</f>
        <v>3</v>
      </c>
      <c r="AJ9" s="248">
        <f t="shared" si="24"/>
        <v>3</v>
      </c>
      <c r="AK9" s="237">
        <f t="shared" si="24"/>
        <v>0</v>
      </c>
      <c r="AL9" s="237">
        <f t="shared" si="24"/>
        <v>0</v>
      </c>
      <c r="AM9" s="238">
        <f t="shared" si="24"/>
        <v>0</v>
      </c>
      <c r="AN9" s="238">
        <f t="shared" si="24"/>
        <v>0</v>
      </c>
      <c r="AO9" s="238">
        <f t="shared" si="24"/>
        <v>0</v>
      </c>
      <c r="AP9" s="238">
        <f t="shared" si="24"/>
        <v>0</v>
      </c>
      <c r="AQ9" s="238">
        <f t="shared" si="24"/>
        <v>0</v>
      </c>
      <c r="AR9" s="238"/>
      <c r="AS9" s="239"/>
      <c r="AT9" s="239">
        <v>0.5</v>
      </c>
      <c r="AU9" s="238">
        <f>SUMPRODUCT(--(WEEKDAY(C$3:AG$3,2)&lt;5),--ISNUMBER(MATCH(C9:AG9,{"DM","CS1","CS2","SB1","AE","CS/B"},0)))</f>
        <v>4</v>
      </c>
      <c r="AV9" s="238"/>
      <c r="AW9" s="238">
        <f>SUMPRODUCT(--(WEEKDAY(C$3:AG$3,2)=5),--ISNUMBER(MATCH(C9:AG9,{"DM","CS1","CS2","SB1","AE","CS/B"},0)))</f>
        <v>1</v>
      </c>
      <c r="AX9" s="238">
        <f>SUMPRODUCT(--(WEEKDAY(C$3:AG$3,2)&gt;5),--ISNUMBER(MATCH(C9:AG9,{"DM","CS1","CS2","SB1","AE","CS/B"},0)))</f>
        <v>1</v>
      </c>
      <c r="AY9" s="238"/>
      <c r="AZ9" s="238">
        <f t="shared" si="3"/>
        <v>7</v>
      </c>
      <c r="BA9" s="238">
        <f t="shared" si="4"/>
        <v>6</v>
      </c>
      <c r="BB9" s="238">
        <f t="shared" si="5"/>
        <v>0</v>
      </c>
      <c r="BC9" s="239">
        <f t="shared" si="6"/>
        <v>7</v>
      </c>
      <c r="BD9" s="238">
        <f t="shared" si="7"/>
        <v>0</v>
      </c>
      <c r="BE9" s="238">
        <f t="shared" si="8"/>
        <v>0</v>
      </c>
      <c r="BF9" s="238">
        <f t="shared" si="9"/>
        <v>0</v>
      </c>
      <c r="BG9" s="238">
        <f t="shared" si="10"/>
        <v>0</v>
      </c>
      <c r="BH9" s="238">
        <f t="shared" si="11"/>
        <v>0</v>
      </c>
      <c r="BI9" s="238">
        <f t="shared" si="12"/>
        <v>0</v>
      </c>
      <c r="BJ9" s="238">
        <f t="shared" si="13"/>
        <v>0</v>
      </c>
      <c r="BK9" s="238">
        <f t="shared" si="14"/>
        <v>0</v>
      </c>
      <c r="BL9" s="238">
        <f t="shared" si="15"/>
        <v>0</v>
      </c>
      <c r="BM9" s="238">
        <f t="shared" si="16"/>
        <v>0</v>
      </c>
      <c r="BN9" s="238">
        <f t="shared" si="17"/>
        <v>0</v>
      </c>
      <c r="BO9" s="238">
        <f t="shared" si="18"/>
        <v>0</v>
      </c>
      <c r="BP9" s="238">
        <f t="shared" si="19"/>
        <v>1</v>
      </c>
      <c r="BQ9" s="238">
        <f t="shared" si="20"/>
        <v>0</v>
      </c>
      <c r="BR9" s="240"/>
    </row>
    <row r="10" ht="19.5" customHeight="1" spans="1:70">
      <c r="A10" s="233"/>
      <c r="B10" s="191" t="s">
        <v>526</v>
      </c>
      <c r="C10" s="75"/>
      <c r="D10" s="75"/>
      <c r="E10" s="136" t="s">
        <v>59</v>
      </c>
      <c r="F10" s="75"/>
      <c r="G10" s="136"/>
      <c r="H10" s="75" t="s">
        <v>59</v>
      </c>
      <c r="I10" s="75"/>
      <c r="J10" s="75" t="s">
        <v>566</v>
      </c>
      <c r="K10" s="75"/>
      <c r="L10" s="137"/>
      <c r="M10" s="75" t="s">
        <v>59</v>
      </c>
      <c r="O10" s="136"/>
      <c r="P10" s="75" t="s">
        <v>57</v>
      </c>
      <c r="Q10" s="75"/>
      <c r="R10" s="75"/>
      <c r="S10" s="75"/>
      <c r="T10" s="75"/>
      <c r="U10" s="136" t="s">
        <v>350</v>
      </c>
      <c r="W10" s="75" t="s">
        <v>350</v>
      </c>
      <c r="X10" s="75"/>
      <c r="Y10" s="53" t="s">
        <v>57</v>
      </c>
      <c r="Z10" s="137" t="s">
        <v>71</v>
      </c>
      <c r="AA10" s="53" t="s">
        <v>71</v>
      </c>
      <c r="AB10" s="75" t="s">
        <v>573</v>
      </c>
      <c r="AC10" s="53" t="s">
        <v>93</v>
      </c>
      <c r="AD10" s="75"/>
      <c r="AE10" s="75"/>
      <c r="AF10" s="75"/>
      <c r="AG10" s="75"/>
      <c r="AH10" s="197"/>
      <c r="AI10" s="237">
        <f t="shared" ref="AI10:AQ10" si="25">COUNTIF($D10:$AE10,AI$4)</f>
        <v>2</v>
      </c>
      <c r="AJ10" s="248">
        <f t="shared" si="25"/>
        <v>0</v>
      </c>
      <c r="AK10" s="237">
        <f t="shared" si="25"/>
        <v>3</v>
      </c>
      <c r="AL10" s="237">
        <f t="shared" si="25"/>
        <v>1</v>
      </c>
      <c r="AM10" s="238">
        <f t="shared" si="25"/>
        <v>0</v>
      </c>
      <c r="AN10" s="238">
        <f t="shared" si="25"/>
        <v>1</v>
      </c>
      <c r="AO10" s="238">
        <f t="shared" si="25"/>
        <v>0</v>
      </c>
      <c r="AP10" s="238">
        <f t="shared" si="25"/>
        <v>0</v>
      </c>
      <c r="AQ10" s="238">
        <f t="shared" si="25"/>
        <v>0</v>
      </c>
      <c r="AR10" s="238"/>
      <c r="AS10" s="239"/>
      <c r="AT10" s="239"/>
      <c r="AU10" s="238">
        <f>SUMPRODUCT(--(WEEKDAY(C$3:AG$3,2)&lt;5),--ISNUMBER(MATCH(C10:AG10,{"DM","CS1","CS2","SB1","AE","CS/B"},0)))</f>
        <v>3</v>
      </c>
      <c r="AV10" s="238"/>
      <c r="AW10" s="238">
        <f>SUMPRODUCT(--(WEEKDAY(C$3:AG$3,2)=5),--ISNUMBER(MATCH(C10:AG10,{"DM","CS1","CS2","SB1","AE","CS/B"},0)))</f>
        <v>1</v>
      </c>
      <c r="AX10" s="238">
        <f>SUMPRODUCT(--(WEEKDAY(C$3:AG$3,2)&gt;5),--ISNUMBER(MATCH(C10:AG10,{"DM","CS1","CS2","SB1","AE","CS/B"},0)))</f>
        <v>2</v>
      </c>
      <c r="AY10" s="238"/>
      <c r="AZ10" s="238">
        <f t="shared" si="3"/>
        <v>9</v>
      </c>
      <c r="BA10" s="238">
        <f t="shared" si="4"/>
        <v>6</v>
      </c>
      <c r="BB10" s="238">
        <f t="shared" si="5"/>
        <v>0</v>
      </c>
      <c r="BC10" s="239">
        <f t="shared" si="6"/>
        <v>9</v>
      </c>
      <c r="BD10" s="238">
        <f t="shared" si="7"/>
        <v>0</v>
      </c>
      <c r="BE10" s="238">
        <f t="shared" si="8"/>
        <v>0</v>
      </c>
      <c r="BF10" s="238">
        <f t="shared" si="9"/>
        <v>0</v>
      </c>
      <c r="BG10" s="238">
        <f t="shared" si="10"/>
        <v>0</v>
      </c>
      <c r="BH10" s="238">
        <f t="shared" si="11"/>
        <v>0</v>
      </c>
      <c r="BI10" s="238">
        <f t="shared" si="12"/>
        <v>0</v>
      </c>
      <c r="BJ10" s="238">
        <f t="shared" si="13"/>
        <v>0</v>
      </c>
      <c r="BK10" s="238">
        <f t="shared" si="14"/>
        <v>0</v>
      </c>
      <c r="BL10" s="238">
        <f t="shared" si="15"/>
        <v>0</v>
      </c>
      <c r="BM10" s="238">
        <f t="shared" si="16"/>
        <v>0</v>
      </c>
      <c r="BN10" s="238">
        <f t="shared" si="17"/>
        <v>0</v>
      </c>
      <c r="BO10" s="238">
        <f t="shared" si="18"/>
        <v>0</v>
      </c>
      <c r="BP10" s="238">
        <f t="shared" si="19"/>
        <v>2</v>
      </c>
      <c r="BQ10" s="238">
        <f t="shared" si="20"/>
        <v>0</v>
      </c>
      <c r="BR10" s="240"/>
    </row>
    <row r="11" ht="19.5" customHeight="1" spans="1:70">
      <c r="A11" s="233"/>
      <c r="B11" s="191" t="s">
        <v>574</v>
      </c>
      <c r="C11" s="137"/>
      <c r="D11" s="137"/>
      <c r="E11" s="136"/>
      <c r="F11" s="241" t="s">
        <v>61</v>
      </c>
      <c r="G11" s="136"/>
      <c r="I11" s="137"/>
      <c r="K11" s="137"/>
      <c r="N11" s="136"/>
      <c r="Q11" s="136"/>
      <c r="R11" s="137"/>
      <c r="S11" s="137"/>
      <c r="T11" s="137"/>
      <c r="W11" s="137"/>
      <c r="X11" s="136"/>
      <c r="Y11" s="137"/>
      <c r="Z11" s="136"/>
      <c r="AA11" s="53" t="s">
        <v>61</v>
      </c>
      <c r="AC11" s="137"/>
      <c r="AD11" s="137"/>
      <c r="AE11" s="137"/>
      <c r="AF11" s="137"/>
      <c r="AG11" s="137"/>
      <c r="AH11" s="197"/>
      <c r="AI11" s="237">
        <f t="shared" ref="AI11:AQ11" si="26">COUNTIF($D11:$AE11,AI$4)</f>
        <v>0</v>
      </c>
      <c r="AJ11" s="248">
        <f t="shared" si="26"/>
        <v>0</v>
      </c>
      <c r="AK11" s="237">
        <f t="shared" si="26"/>
        <v>0</v>
      </c>
      <c r="AL11" s="237">
        <f t="shared" si="26"/>
        <v>0</v>
      </c>
      <c r="AM11" s="238">
        <f t="shared" si="26"/>
        <v>0</v>
      </c>
      <c r="AN11" s="238">
        <f t="shared" si="26"/>
        <v>0</v>
      </c>
      <c r="AO11" s="238">
        <f t="shared" si="26"/>
        <v>0</v>
      </c>
      <c r="AP11" s="238">
        <f t="shared" si="26"/>
        <v>0</v>
      </c>
      <c r="AQ11" s="238">
        <f t="shared" si="26"/>
        <v>0</v>
      </c>
      <c r="AR11" s="238"/>
      <c r="AS11" s="239"/>
      <c r="AT11" s="239">
        <v>1</v>
      </c>
      <c r="AU11" s="238">
        <f>SUMPRODUCT(--(WEEKDAY(C$3:AG$3,2)&lt;5),--ISNUMBER(MATCH(C11:AG11,{"DM","CS1","CS2","SB1","AE","CS/B"},0)))</f>
        <v>0</v>
      </c>
      <c r="AV11" s="238"/>
      <c r="AW11" s="238">
        <f>SUMPRODUCT(--(WEEKDAY(C$3:AG$3,2)=5),--ISNUMBER(MATCH(C11:AG11,{"DM","CS1","CS2","SB1","AE","CS/B"},0)))</f>
        <v>0</v>
      </c>
      <c r="AX11" s="238">
        <f>SUMPRODUCT(--(WEEKDAY(C$3:AG$3,2)&gt;5),--ISNUMBER(MATCH(C11:AG11,{"DM","CS1","CS2","SB1","AE","CS/B"},0)))</f>
        <v>0</v>
      </c>
      <c r="AY11" s="238"/>
      <c r="AZ11" s="238">
        <f t="shared" si="3"/>
        <v>-1</v>
      </c>
      <c r="BA11" s="238">
        <f t="shared" si="4"/>
        <v>0</v>
      </c>
      <c r="BB11" s="238">
        <f t="shared" si="5"/>
        <v>0</v>
      </c>
      <c r="BC11" s="239">
        <f t="shared" si="6"/>
        <v>-1</v>
      </c>
      <c r="BD11" s="238">
        <f t="shared" si="7"/>
        <v>0</v>
      </c>
      <c r="BE11" s="238">
        <f t="shared" si="8"/>
        <v>0</v>
      </c>
      <c r="BF11" s="238">
        <f t="shared" si="9"/>
        <v>0</v>
      </c>
      <c r="BG11" s="238">
        <f t="shared" si="10"/>
        <v>0</v>
      </c>
      <c r="BH11" s="238">
        <f t="shared" si="11"/>
        <v>0</v>
      </c>
      <c r="BI11" s="238">
        <f t="shared" si="12"/>
        <v>0</v>
      </c>
      <c r="BJ11" s="238">
        <f t="shared" si="13"/>
        <v>0</v>
      </c>
      <c r="BK11" s="238">
        <f t="shared" si="14"/>
        <v>0</v>
      </c>
      <c r="BL11" s="238">
        <f t="shared" si="15"/>
        <v>0</v>
      </c>
      <c r="BM11" s="238">
        <f t="shared" si="16"/>
        <v>0</v>
      </c>
      <c r="BN11" s="238">
        <f t="shared" si="17"/>
        <v>0</v>
      </c>
      <c r="BO11" s="238">
        <f t="shared" si="18"/>
        <v>0</v>
      </c>
      <c r="BP11" s="238">
        <f t="shared" si="19"/>
        <v>0</v>
      </c>
      <c r="BQ11" s="238">
        <f t="shared" si="20"/>
        <v>0</v>
      </c>
      <c r="BR11" s="240"/>
    </row>
    <row r="12" ht="19.5" customHeight="1" spans="1:70">
      <c r="A12" s="233"/>
      <c r="B12" s="268" t="s">
        <v>575</v>
      </c>
      <c r="C12" s="136"/>
      <c r="D12" s="136"/>
      <c r="E12" s="75" t="s">
        <v>576</v>
      </c>
      <c r="F12" s="136" t="s">
        <v>350</v>
      </c>
      <c r="G12" s="137" t="s">
        <v>577</v>
      </c>
      <c r="H12" s="136" t="s">
        <v>58</v>
      </c>
      <c r="I12" s="75"/>
      <c r="J12" s="137"/>
      <c r="K12" s="241" t="s">
        <v>176</v>
      </c>
      <c r="L12" s="241" t="s">
        <v>176</v>
      </c>
      <c r="M12" s="241" t="s">
        <v>176</v>
      </c>
      <c r="O12" s="1" t="s">
        <v>55</v>
      </c>
      <c r="P12" s="136"/>
      <c r="Q12" s="136"/>
      <c r="R12" s="75"/>
      <c r="S12" s="75"/>
      <c r="T12" s="75"/>
      <c r="U12" s="75" t="s">
        <v>578</v>
      </c>
      <c r="V12" s="75" t="s">
        <v>56</v>
      </c>
      <c r="W12" s="75"/>
      <c r="X12" s="75"/>
      <c r="Y12" s="75"/>
      <c r="Z12" s="75" t="s">
        <v>65</v>
      </c>
      <c r="AA12" s="136" t="s">
        <v>579</v>
      </c>
      <c r="AB12" s="53" t="s">
        <v>580</v>
      </c>
      <c r="AC12" s="75" t="s">
        <v>581</v>
      </c>
      <c r="AD12" s="136"/>
      <c r="AE12" s="75"/>
      <c r="AF12" s="75"/>
      <c r="AG12" s="75"/>
      <c r="AH12" s="197"/>
      <c r="AI12" s="237">
        <f t="shared" ref="AI12:AQ12" si="27">COUNTIF($D12:$AE12,AI$4)</f>
        <v>0</v>
      </c>
      <c r="AJ12" s="248">
        <f t="shared" si="27"/>
        <v>1</v>
      </c>
      <c r="AK12" s="237">
        <f t="shared" si="27"/>
        <v>0</v>
      </c>
      <c r="AL12" s="237">
        <f t="shared" si="27"/>
        <v>0</v>
      </c>
      <c r="AM12" s="238">
        <f t="shared" si="27"/>
        <v>1</v>
      </c>
      <c r="AN12" s="238">
        <f t="shared" si="27"/>
        <v>0</v>
      </c>
      <c r="AO12" s="238">
        <f t="shared" si="27"/>
        <v>1</v>
      </c>
      <c r="AP12" s="238">
        <f t="shared" si="27"/>
        <v>1</v>
      </c>
      <c r="AQ12" s="238">
        <f t="shared" si="27"/>
        <v>0</v>
      </c>
      <c r="AR12" s="238"/>
      <c r="AS12" s="239">
        <v>1.5</v>
      </c>
      <c r="AT12" s="239"/>
      <c r="AU12" s="238">
        <f>SUMPRODUCT(--(WEEKDAY(C$3:AG$3,2)&lt;5),--ISNUMBER(MATCH(C12:AG12,{"DM","CS1","CS2","SB1","AE","CS/B"},0)))</f>
        <v>1</v>
      </c>
      <c r="AV12" s="238"/>
      <c r="AW12" s="238">
        <f>SUMPRODUCT(--(WEEKDAY(C$3:AG$3,2)=5),--ISNUMBER(MATCH(C12:AG12,{"DM","CS1","CS2","SB1","AE","CS/B"},0)))</f>
        <v>2</v>
      </c>
      <c r="AX12" s="238">
        <f>SUMPRODUCT(--(WEEKDAY(C$3:AG$3,2)&gt;5),--ISNUMBER(MATCH(C12:AG12,{"DM","CS1","CS2","SB1","AE","CS/B"},0)))</f>
        <v>0</v>
      </c>
      <c r="AY12" s="238"/>
      <c r="AZ12" s="238">
        <f t="shared" si="3"/>
        <v>6</v>
      </c>
      <c r="BA12" s="238">
        <f t="shared" si="4"/>
        <v>3</v>
      </c>
      <c r="BB12" s="238">
        <f t="shared" si="5"/>
        <v>3</v>
      </c>
      <c r="BC12" s="239">
        <f t="shared" si="6"/>
        <v>7.5</v>
      </c>
      <c r="BD12" s="238">
        <f t="shared" si="7"/>
        <v>1.5</v>
      </c>
      <c r="BE12" s="238">
        <f t="shared" si="8"/>
        <v>0</v>
      </c>
      <c r="BF12" s="238">
        <f t="shared" si="9"/>
        <v>0</v>
      </c>
      <c r="BG12" s="238">
        <f t="shared" si="10"/>
        <v>0</v>
      </c>
      <c r="BH12" s="238">
        <f t="shared" si="11"/>
        <v>0</v>
      </c>
      <c r="BI12" s="238">
        <f t="shared" si="12"/>
        <v>1</v>
      </c>
      <c r="BJ12" s="238">
        <f t="shared" si="13"/>
        <v>0.5</v>
      </c>
      <c r="BK12" s="238">
        <f t="shared" si="14"/>
        <v>2</v>
      </c>
      <c r="BL12" s="238">
        <f t="shared" si="15"/>
        <v>1</v>
      </c>
      <c r="BM12" s="238">
        <f t="shared" si="16"/>
        <v>0</v>
      </c>
      <c r="BN12" s="238">
        <f t="shared" si="17"/>
        <v>0</v>
      </c>
      <c r="BO12" s="238">
        <f t="shared" si="18"/>
        <v>0</v>
      </c>
      <c r="BP12" s="238">
        <f t="shared" si="19"/>
        <v>1</v>
      </c>
      <c r="BQ12" s="238">
        <f t="shared" si="20"/>
        <v>1</v>
      </c>
      <c r="BR12" s="240"/>
    </row>
    <row r="13" ht="19.5" customHeight="1" spans="1:70">
      <c r="A13" s="233"/>
      <c r="B13" s="185" t="s">
        <v>475</v>
      </c>
      <c r="C13" s="137"/>
      <c r="D13" s="136"/>
      <c r="E13" s="136"/>
      <c r="F13" s="136"/>
      <c r="G13" s="136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 t="s">
        <v>55</v>
      </c>
      <c r="V13" s="137" t="s">
        <v>55</v>
      </c>
      <c r="W13" s="137"/>
      <c r="X13" s="137"/>
      <c r="Y13" s="137"/>
      <c r="Z13" s="137"/>
      <c r="AA13" s="137"/>
      <c r="AB13" s="137"/>
      <c r="AC13" s="137" t="s">
        <v>55</v>
      </c>
      <c r="AD13" s="137"/>
      <c r="AE13" s="137"/>
      <c r="AF13" s="137"/>
      <c r="AG13" s="137"/>
      <c r="AH13" s="197"/>
      <c r="AI13" s="237">
        <f t="shared" ref="AI13:AQ13" si="28">COUNTIF($D13:$AE13,AI$4)</f>
        <v>0</v>
      </c>
      <c r="AJ13" s="248">
        <f t="shared" si="28"/>
        <v>0</v>
      </c>
      <c r="AK13" s="237">
        <f t="shared" si="28"/>
        <v>0</v>
      </c>
      <c r="AL13" s="237">
        <f t="shared" si="28"/>
        <v>0</v>
      </c>
      <c r="AM13" s="238">
        <f t="shared" si="28"/>
        <v>0</v>
      </c>
      <c r="AN13" s="238">
        <f t="shared" si="28"/>
        <v>0</v>
      </c>
      <c r="AO13" s="238">
        <f t="shared" si="28"/>
        <v>0</v>
      </c>
      <c r="AP13" s="238">
        <f t="shared" si="28"/>
        <v>0</v>
      </c>
      <c r="AQ13" s="238">
        <f t="shared" si="28"/>
        <v>0</v>
      </c>
      <c r="AR13" s="238"/>
      <c r="AS13" s="239"/>
      <c r="AT13" s="239"/>
      <c r="AU13" s="238">
        <f>SUMPRODUCT(--(WEEKDAY(C$3:AG$3,2)&lt;5),--ISNUMBER(MATCH(C13:AG13,{"DM","CS1","CS2","SB1","AE","CS/B"},0)))</f>
        <v>0</v>
      </c>
      <c r="AV13" s="238"/>
      <c r="AW13" s="238">
        <f>SUMPRODUCT(--(WEEKDAY(C$3:AG$3,2)=5),--ISNUMBER(MATCH(C13:AG13,{"DM","CS1","CS2","SB1","AE","CS/B"},0)))</f>
        <v>0</v>
      </c>
      <c r="AX13" s="238">
        <f>SUMPRODUCT(--(WEEKDAY(C$3:AG$3,2)&gt;5),--ISNUMBER(MATCH(C13:AG13,{"DM","CS1","CS2","SB1","AE","CS/B"},0)))</f>
        <v>0</v>
      </c>
      <c r="AY13" s="238"/>
      <c r="AZ13" s="238">
        <f t="shared" si="3"/>
        <v>0</v>
      </c>
      <c r="BA13" s="238">
        <f t="shared" si="4"/>
        <v>0</v>
      </c>
      <c r="BB13" s="238">
        <f t="shared" si="5"/>
        <v>0</v>
      </c>
      <c r="BC13" s="239">
        <f t="shared" si="6"/>
        <v>0</v>
      </c>
      <c r="BD13" s="238">
        <f t="shared" si="7"/>
        <v>0</v>
      </c>
      <c r="BE13" s="238">
        <f t="shared" si="8"/>
        <v>0</v>
      </c>
      <c r="BF13" s="238">
        <f t="shared" si="9"/>
        <v>0</v>
      </c>
      <c r="BG13" s="238">
        <f t="shared" si="10"/>
        <v>0</v>
      </c>
      <c r="BH13" s="238">
        <f t="shared" si="11"/>
        <v>0</v>
      </c>
      <c r="BI13" s="238">
        <f t="shared" si="12"/>
        <v>0</v>
      </c>
      <c r="BJ13" s="238">
        <f t="shared" si="13"/>
        <v>0</v>
      </c>
      <c r="BK13" s="238">
        <f t="shared" si="14"/>
        <v>0</v>
      </c>
      <c r="BL13" s="238">
        <f t="shared" si="15"/>
        <v>0</v>
      </c>
      <c r="BM13" s="238">
        <f t="shared" si="16"/>
        <v>0</v>
      </c>
      <c r="BN13" s="238">
        <f t="shared" si="17"/>
        <v>0</v>
      </c>
      <c r="BO13" s="238">
        <f t="shared" si="18"/>
        <v>0</v>
      </c>
      <c r="BP13" s="238">
        <f t="shared" si="19"/>
        <v>0</v>
      </c>
      <c r="BQ13" s="238">
        <f t="shared" si="20"/>
        <v>2</v>
      </c>
      <c r="BR13" s="240"/>
    </row>
    <row r="14" ht="19.5" customHeight="1" spans="1:70">
      <c r="A14" s="233"/>
      <c r="B14" s="185" t="s">
        <v>582</v>
      </c>
      <c r="C14" s="75" t="s">
        <v>350</v>
      </c>
      <c r="D14" s="75" t="s">
        <v>93</v>
      </c>
      <c r="E14" s="136"/>
      <c r="F14" s="136"/>
      <c r="G14" s="136" t="s">
        <v>573</v>
      </c>
      <c r="H14" s="136"/>
      <c r="I14" s="136"/>
      <c r="J14" s="137"/>
      <c r="K14" s="136" t="s">
        <v>56</v>
      </c>
      <c r="L14" s="136"/>
      <c r="M14" s="75" t="s">
        <v>133</v>
      </c>
      <c r="O14" s="1" t="s">
        <v>56</v>
      </c>
      <c r="P14" s="241"/>
      <c r="R14" s="75"/>
      <c r="S14" s="75"/>
      <c r="T14" s="75"/>
      <c r="U14" s="137" t="s">
        <v>566</v>
      </c>
      <c r="V14" s="75" t="s">
        <v>573</v>
      </c>
      <c r="W14" s="145"/>
      <c r="X14" s="145" t="s">
        <v>56</v>
      </c>
      <c r="Y14" s="75"/>
      <c r="AA14" s="137" t="s">
        <v>583</v>
      </c>
      <c r="AB14" s="53" t="s">
        <v>580</v>
      </c>
      <c r="AC14" s="241"/>
      <c r="AD14" s="241"/>
      <c r="AE14" s="75"/>
      <c r="AF14" s="75"/>
      <c r="AG14" s="75"/>
      <c r="AH14" s="197"/>
      <c r="AI14" s="237">
        <f t="shared" ref="AI14:AQ14" si="29">COUNTIF($D14:$AE14,AI$4)</f>
        <v>0</v>
      </c>
      <c r="AJ14" s="248">
        <f t="shared" si="29"/>
        <v>3</v>
      </c>
      <c r="AK14" s="237">
        <f t="shared" si="29"/>
        <v>0</v>
      </c>
      <c r="AL14" s="237">
        <f t="shared" si="29"/>
        <v>1</v>
      </c>
      <c r="AM14" s="238">
        <f t="shared" si="29"/>
        <v>0</v>
      </c>
      <c r="AN14" s="238">
        <f t="shared" si="29"/>
        <v>1</v>
      </c>
      <c r="AO14" s="238">
        <f t="shared" si="29"/>
        <v>0</v>
      </c>
      <c r="AP14" s="238">
        <f t="shared" si="29"/>
        <v>0</v>
      </c>
      <c r="AQ14" s="238">
        <f t="shared" si="29"/>
        <v>0</v>
      </c>
      <c r="AR14" s="238"/>
      <c r="AS14" s="239"/>
      <c r="AT14" s="239">
        <v>0.5</v>
      </c>
      <c r="AU14" s="238">
        <f>SUMPRODUCT(--(WEEKDAY(C$3:AG$3,2)&lt;5),--ISNUMBER(MATCH(C14:AG14,{"DM","CS1","CS2","SB1","AE","CS/B"},0)))</f>
        <v>2</v>
      </c>
      <c r="AV14" s="238"/>
      <c r="AW14" s="238">
        <f>SUMPRODUCT(--(WEEKDAY(C$3:AG$3,2)=5),--ISNUMBER(MATCH(C14:AG14,{"DM","CS1","CS2","SB1","AE","CS/B"},0)))</f>
        <v>1</v>
      </c>
      <c r="AX14" s="238">
        <f>SUMPRODUCT(--(WEEKDAY(C$3:AG$3,2)&gt;5),--ISNUMBER(MATCH(C14:AG14,{"DM","CS1","CS2","SB1","AE","CS/B"},0)))</f>
        <v>1</v>
      </c>
      <c r="AY14" s="238"/>
      <c r="AZ14" s="238">
        <f t="shared" si="3"/>
        <v>5.5</v>
      </c>
      <c r="BA14" s="238">
        <f t="shared" si="4"/>
        <v>4</v>
      </c>
      <c r="BB14" s="238">
        <f t="shared" si="5"/>
        <v>2</v>
      </c>
      <c r="BC14" s="239">
        <f t="shared" si="6"/>
        <v>6.5</v>
      </c>
      <c r="BD14" s="238">
        <f t="shared" si="7"/>
        <v>1</v>
      </c>
      <c r="BE14" s="238">
        <f t="shared" si="8"/>
        <v>0</v>
      </c>
      <c r="BF14" s="238">
        <f t="shared" si="9"/>
        <v>0</v>
      </c>
      <c r="BG14" s="238">
        <f t="shared" si="10"/>
        <v>0</v>
      </c>
      <c r="BH14" s="238">
        <f t="shared" si="11"/>
        <v>0</v>
      </c>
      <c r="BI14" s="238">
        <f t="shared" si="12"/>
        <v>0</v>
      </c>
      <c r="BJ14" s="238">
        <f t="shared" si="13"/>
        <v>0</v>
      </c>
      <c r="BK14" s="238">
        <f t="shared" si="14"/>
        <v>2</v>
      </c>
      <c r="BL14" s="238">
        <f t="shared" si="15"/>
        <v>1</v>
      </c>
      <c r="BM14" s="238">
        <f t="shared" si="16"/>
        <v>0</v>
      </c>
      <c r="BN14" s="238">
        <f t="shared" si="17"/>
        <v>0</v>
      </c>
      <c r="BO14" s="238">
        <f t="shared" si="18"/>
        <v>0</v>
      </c>
      <c r="BP14" s="238">
        <f t="shared" si="19"/>
        <v>0</v>
      </c>
      <c r="BQ14" s="238">
        <f t="shared" si="20"/>
        <v>0</v>
      </c>
      <c r="BR14" s="240"/>
    </row>
    <row r="15" ht="24" customHeight="1" spans="1:70">
      <c r="A15" s="233"/>
      <c r="B15" s="191" t="s">
        <v>584</v>
      </c>
      <c r="C15" s="137" t="s">
        <v>56</v>
      </c>
      <c r="D15" s="137"/>
      <c r="E15" s="137" t="s">
        <v>58</v>
      </c>
      <c r="F15" s="137"/>
      <c r="G15" s="136" t="s">
        <v>573</v>
      </c>
      <c r="H15" s="136" t="s">
        <v>572</v>
      </c>
      <c r="I15" s="137" t="s">
        <v>56</v>
      </c>
      <c r="J15" s="136"/>
      <c r="K15" s="136"/>
      <c r="L15" s="136"/>
      <c r="M15" s="136"/>
      <c r="N15" s="75" t="s">
        <v>188</v>
      </c>
      <c r="O15" s="75"/>
      <c r="P15" s="137" t="s">
        <v>54</v>
      </c>
      <c r="Q15" s="137" t="s">
        <v>54</v>
      </c>
      <c r="R15" s="137" t="s">
        <v>54</v>
      </c>
      <c r="S15" s="137" t="s">
        <v>54</v>
      </c>
      <c r="T15" s="137" t="s">
        <v>54</v>
      </c>
      <c r="U15" s="136" t="s">
        <v>56</v>
      </c>
      <c r="V15" s="75"/>
      <c r="W15" s="244" t="s">
        <v>54</v>
      </c>
      <c r="X15" s="244" t="s">
        <v>54</v>
      </c>
      <c r="Y15" s="244" t="s">
        <v>54</v>
      </c>
      <c r="Z15" s="244" t="s">
        <v>54</v>
      </c>
      <c r="AA15" s="244" t="s">
        <v>54</v>
      </c>
      <c r="AB15" s="136" t="s">
        <v>93</v>
      </c>
      <c r="AC15" s="244"/>
      <c r="AD15" s="244"/>
      <c r="AE15" s="137"/>
      <c r="AF15" s="137"/>
      <c r="AG15" s="137"/>
      <c r="AH15" s="197"/>
      <c r="AI15" s="237">
        <f t="shared" ref="AI15:AQ15" si="30">COUNTIF($D15:$AE15,AI$4)</f>
        <v>0</v>
      </c>
      <c r="AJ15" s="248">
        <f t="shared" si="30"/>
        <v>2</v>
      </c>
      <c r="AK15" s="237">
        <f t="shared" si="30"/>
        <v>0</v>
      </c>
      <c r="AL15" s="237">
        <f t="shared" si="30"/>
        <v>0</v>
      </c>
      <c r="AM15" s="238">
        <f t="shared" si="30"/>
        <v>1</v>
      </c>
      <c r="AN15" s="238">
        <f t="shared" si="30"/>
        <v>1</v>
      </c>
      <c r="AO15" s="238">
        <f t="shared" si="30"/>
        <v>0</v>
      </c>
      <c r="AP15" s="238">
        <f t="shared" si="30"/>
        <v>0</v>
      </c>
      <c r="AQ15" s="238">
        <f t="shared" si="30"/>
        <v>0</v>
      </c>
      <c r="AR15" s="238"/>
      <c r="AS15" s="239"/>
      <c r="AT15" s="239">
        <v>0.5</v>
      </c>
      <c r="AU15" s="238">
        <f>SUMPRODUCT(--(WEEKDAY(C$3:AG$3,2)&lt;5),--ISNUMBER(MATCH(C15:AG15,{"DM","CS1","CS2","SB1","AE","CS/B"},0)))</f>
        <v>2</v>
      </c>
      <c r="AV15" s="238"/>
      <c r="AW15" s="238">
        <f>SUMPRODUCT(--(WEEKDAY(C$3:AG$3,2)=5),--ISNUMBER(MATCH(C15:AG15,{"DM","CS1","CS2","SB1","AE","CS/B"},0)))</f>
        <v>0</v>
      </c>
      <c r="AX15" s="238">
        <f>SUMPRODUCT(--(WEEKDAY(C$3:AG$3,2)&gt;5),--ISNUMBER(MATCH(C15:AG15,{"DM","CS1","CS2","SB1","AE","CS/B"},0)))</f>
        <v>2</v>
      </c>
      <c r="AY15" s="238"/>
      <c r="AZ15" s="238">
        <f t="shared" si="3"/>
        <v>6</v>
      </c>
      <c r="BA15" s="238">
        <f t="shared" si="4"/>
        <v>4</v>
      </c>
      <c r="BB15" s="238">
        <f t="shared" si="5"/>
        <v>1</v>
      </c>
      <c r="BC15" s="239">
        <f t="shared" si="6"/>
        <v>6.5</v>
      </c>
      <c r="BD15" s="238">
        <f t="shared" si="7"/>
        <v>0.5</v>
      </c>
      <c r="BE15" s="238">
        <f t="shared" si="8"/>
        <v>0</v>
      </c>
      <c r="BF15" s="238">
        <f t="shared" si="9"/>
        <v>0</v>
      </c>
      <c r="BG15" s="238">
        <f t="shared" si="10"/>
        <v>0</v>
      </c>
      <c r="BH15" s="238">
        <f t="shared" si="11"/>
        <v>0</v>
      </c>
      <c r="BI15" s="238">
        <f t="shared" si="12"/>
        <v>0</v>
      </c>
      <c r="BJ15" s="238">
        <f t="shared" si="13"/>
        <v>0</v>
      </c>
      <c r="BK15" s="238">
        <f t="shared" si="14"/>
        <v>1</v>
      </c>
      <c r="BL15" s="238">
        <f t="shared" si="15"/>
        <v>0.5</v>
      </c>
      <c r="BM15" s="238">
        <f t="shared" si="16"/>
        <v>0</v>
      </c>
      <c r="BN15" s="238">
        <f t="shared" si="17"/>
        <v>0</v>
      </c>
      <c r="BO15" s="238">
        <f t="shared" si="18"/>
        <v>0</v>
      </c>
      <c r="BP15" s="238">
        <f t="shared" si="19"/>
        <v>0</v>
      </c>
      <c r="BQ15" s="238">
        <f t="shared" si="20"/>
        <v>0</v>
      </c>
      <c r="BR15" s="240"/>
    </row>
    <row r="16" ht="19.5" customHeight="1" spans="1:70">
      <c r="A16" s="233"/>
      <c r="B16" s="269" t="s">
        <v>585</v>
      </c>
      <c r="C16" s="75"/>
      <c r="D16" s="241" t="s">
        <v>586</v>
      </c>
      <c r="E16" s="242" t="s">
        <v>587</v>
      </c>
      <c r="F16" s="242" t="s">
        <v>588</v>
      </c>
      <c r="G16" s="242" t="s">
        <v>588</v>
      </c>
      <c r="H16" s="242" t="s">
        <v>588</v>
      </c>
      <c r="I16" s="75"/>
      <c r="J16" s="75"/>
      <c r="K16" s="75" t="s">
        <v>589</v>
      </c>
      <c r="L16" s="136" t="s">
        <v>590</v>
      </c>
      <c r="M16" s="136" t="s">
        <v>573</v>
      </c>
      <c r="N16" s="136" t="s">
        <v>65</v>
      </c>
      <c r="O16" s="136" t="s">
        <v>93</v>
      </c>
      <c r="P16" s="75" t="s">
        <v>59</v>
      </c>
      <c r="Q16" s="75"/>
      <c r="R16" s="75"/>
      <c r="S16" s="75"/>
      <c r="T16" s="75"/>
      <c r="U16" s="75" t="s">
        <v>65</v>
      </c>
      <c r="V16" s="136"/>
      <c r="W16" s="75" t="s">
        <v>56</v>
      </c>
      <c r="X16" s="75"/>
      <c r="Y16" s="75"/>
      <c r="Z16" s="136"/>
      <c r="AA16" s="136" t="s">
        <v>65</v>
      </c>
      <c r="AB16" s="53" t="s">
        <v>580</v>
      </c>
      <c r="AC16" s="75" t="s">
        <v>350</v>
      </c>
      <c r="AD16" s="75"/>
      <c r="AE16" s="75"/>
      <c r="AF16" s="75"/>
      <c r="AG16" s="75"/>
      <c r="AH16" s="197"/>
      <c r="AI16" s="237">
        <f t="shared" ref="AI16:AQ16" si="31">COUNTIF($D16:$AE16,AI$4)</f>
        <v>0</v>
      </c>
      <c r="AJ16" s="248">
        <f t="shared" si="31"/>
        <v>1</v>
      </c>
      <c r="AK16" s="237">
        <f t="shared" si="31"/>
        <v>1</v>
      </c>
      <c r="AL16" s="237">
        <f t="shared" si="31"/>
        <v>0</v>
      </c>
      <c r="AM16" s="238">
        <f t="shared" si="31"/>
        <v>0</v>
      </c>
      <c r="AN16" s="238">
        <f t="shared" si="31"/>
        <v>1</v>
      </c>
      <c r="AO16" s="238">
        <f t="shared" si="31"/>
        <v>3</v>
      </c>
      <c r="AP16" s="238">
        <f t="shared" si="31"/>
        <v>0</v>
      </c>
      <c r="AQ16" s="238">
        <f t="shared" si="31"/>
        <v>0</v>
      </c>
      <c r="AR16" s="238"/>
      <c r="AS16" s="239"/>
      <c r="AT16" s="239">
        <v>1</v>
      </c>
      <c r="AU16" s="238">
        <f>SUMPRODUCT(--(WEEKDAY(C$3:AG$3,2)&lt;5),--ISNUMBER(MATCH(C16:AG16,{"DM","CS1","CS2","SB1","AE","CS/B"},0)))</f>
        <v>3</v>
      </c>
      <c r="AV16" s="238"/>
      <c r="AW16" s="238">
        <f>SUMPRODUCT(--(WEEKDAY(C$3:AG$3,2)=5),--ISNUMBER(MATCH(C16:AG16,{"DM","CS1","CS2","SB1","AE","CS/B"},0)))</f>
        <v>0</v>
      </c>
      <c r="AX16" s="238">
        <f>SUMPRODUCT(--(WEEKDAY(C$3:AG$3,2)&gt;5),--ISNUMBER(MATCH(C16:AG16,{"DM","CS1","CS2","SB1","AE","CS/B"},0)))</f>
        <v>2</v>
      </c>
      <c r="AY16" s="238"/>
      <c r="AZ16" s="238">
        <f t="shared" si="3"/>
        <v>6.5</v>
      </c>
      <c r="BA16" s="238">
        <f t="shared" si="4"/>
        <v>5</v>
      </c>
      <c r="BB16" s="238">
        <f t="shared" si="5"/>
        <v>1</v>
      </c>
      <c r="BC16" s="239">
        <f t="shared" si="6"/>
        <v>7</v>
      </c>
      <c r="BD16" s="238">
        <f t="shared" si="7"/>
        <v>0.5</v>
      </c>
      <c r="BE16" s="238">
        <f t="shared" si="8"/>
        <v>0</v>
      </c>
      <c r="BF16" s="238">
        <f t="shared" si="9"/>
        <v>0</v>
      </c>
      <c r="BG16" s="238">
        <f t="shared" si="10"/>
        <v>0</v>
      </c>
      <c r="BH16" s="238">
        <f t="shared" si="11"/>
        <v>0</v>
      </c>
      <c r="BI16" s="238">
        <f t="shared" si="12"/>
        <v>0</v>
      </c>
      <c r="BJ16" s="238">
        <f t="shared" si="13"/>
        <v>0</v>
      </c>
      <c r="BK16" s="238">
        <f t="shared" si="14"/>
        <v>1</v>
      </c>
      <c r="BL16" s="238">
        <f t="shared" si="15"/>
        <v>0.5</v>
      </c>
      <c r="BM16" s="238">
        <f t="shared" si="16"/>
        <v>0</v>
      </c>
      <c r="BN16" s="238">
        <f t="shared" si="17"/>
        <v>0</v>
      </c>
      <c r="BO16" s="238">
        <f t="shared" si="18"/>
        <v>0</v>
      </c>
      <c r="BP16" s="238">
        <f t="shared" si="19"/>
        <v>0</v>
      </c>
      <c r="BQ16" s="238">
        <f t="shared" si="20"/>
        <v>4</v>
      </c>
      <c r="BR16" s="240"/>
    </row>
    <row r="17" ht="19.5" customHeight="1" spans="1:70">
      <c r="A17" s="233"/>
      <c r="B17" s="268" t="s">
        <v>591</v>
      </c>
      <c r="C17" s="137" t="s">
        <v>409</v>
      </c>
      <c r="D17" s="137" t="s">
        <v>409</v>
      </c>
      <c r="E17" s="137" t="s">
        <v>409</v>
      </c>
      <c r="F17" s="137" t="s">
        <v>409</v>
      </c>
      <c r="G17" s="137" t="s">
        <v>409</v>
      </c>
      <c r="H17" s="137" t="s">
        <v>409</v>
      </c>
      <c r="I17" s="137" t="s">
        <v>409</v>
      </c>
      <c r="J17" s="137" t="s">
        <v>409</v>
      </c>
      <c r="K17" s="137" t="s">
        <v>409</v>
      </c>
      <c r="L17" s="137" t="s">
        <v>409</v>
      </c>
      <c r="M17" s="137" t="s">
        <v>409</v>
      </c>
      <c r="N17" s="137" t="s">
        <v>409</v>
      </c>
      <c r="O17" s="137" t="s">
        <v>409</v>
      </c>
      <c r="P17" s="137" t="s">
        <v>409</v>
      </c>
      <c r="Q17" s="137" t="s">
        <v>409</v>
      </c>
      <c r="R17" s="137" t="s">
        <v>409</v>
      </c>
      <c r="S17" s="137" t="s">
        <v>409</v>
      </c>
      <c r="T17" s="137" t="s">
        <v>409</v>
      </c>
      <c r="U17" s="137" t="s">
        <v>409</v>
      </c>
      <c r="V17" s="137" t="s">
        <v>409</v>
      </c>
      <c r="W17" s="137" t="s">
        <v>409</v>
      </c>
      <c r="X17" s="137" t="s">
        <v>409</v>
      </c>
      <c r="Y17" s="137" t="s">
        <v>409</v>
      </c>
      <c r="Z17" s="137" t="s">
        <v>409</v>
      </c>
      <c r="AA17" s="137" t="s">
        <v>409</v>
      </c>
      <c r="AB17" s="137" t="s">
        <v>409</v>
      </c>
      <c r="AC17" s="137" t="s">
        <v>409</v>
      </c>
      <c r="AD17" s="137" t="s">
        <v>409</v>
      </c>
      <c r="AE17" s="137" t="s">
        <v>409</v>
      </c>
      <c r="AF17" s="137" t="s">
        <v>409</v>
      </c>
      <c r="AG17" s="137" t="s">
        <v>409</v>
      </c>
      <c r="AH17" s="137" t="s">
        <v>409</v>
      </c>
      <c r="AI17" s="237">
        <f t="shared" ref="AI17:AQ17" si="32">COUNTIF($D17:$AE17,AI$4)</f>
        <v>0</v>
      </c>
      <c r="AJ17" s="248">
        <f t="shared" si="32"/>
        <v>0</v>
      </c>
      <c r="AK17" s="237">
        <f t="shared" si="32"/>
        <v>0</v>
      </c>
      <c r="AL17" s="237">
        <f t="shared" si="32"/>
        <v>0</v>
      </c>
      <c r="AM17" s="238">
        <f t="shared" si="32"/>
        <v>0</v>
      </c>
      <c r="AN17" s="238">
        <f t="shared" si="32"/>
        <v>0</v>
      </c>
      <c r="AO17" s="238">
        <f t="shared" si="32"/>
        <v>0</v>
      </c>
      <c r="AP17" s="238">
        <f t="shared" si="32"/>
        <v>0</v>
      </c>
      <c r="AQ17" s="238">
        <f t="shared" si="32"/>
        <v>0</v>
      </c>
      <c r="AR17" s="238"/>
      <c r="AS17" s="239"/>
      <c r="AT17" s="239"/>
      <c r="AU17" s="238">
        <f>SUMPRODUCT(--(WEEKDAY(C$3:AG$3,2)&lt;5),--ISNUMBER(MATCH(C17:AG17,{"DM","CS1","CS2","SB1","AE","CS/B"},0)))</f>
        <v>0</v>
      </c>
      <c r="AV17" s="238"/>
      <c r="AW17" s="238">
        <f>SUMPRODUCT(--(WEEKDAY(C$3:AG$3,2)=5),--ISNUMBER(MATCH(C17:AG17,{"DM","CS1","CS2","SB1","AE","CS/B"},0)))</f>
        <v>0</v>
      </c>
      <c r="AX17" s="238">
        <f>SUMPRODUCT(--(WEEKDAY(C$3:AG$3,2)&gt;5),--ISNUMBER(MATCH(C17:AG17,{"DM","CS1","CS2","SB1","AE","CS/B"},0)))</f>
        <v>0</v>
      </c>
      <c r="AY17" s="238"/>
      <c r="AZ17" s="238">
        <f t="shared" si="3"/>
        <v>0</v>
      </c>
      <c r="BA17" s="238">
        <f t="shared" si="4"/>
        <v>0</v>
      </c>
      <c r="BB17" s="238">
        <f t="shared" si="5"/>
        <v>0</v>
      </c>
      <c r="BC17" s="239">
        <f t="shared" si="6"/>
        <v>0</v>
      </c>
      <c r="BD17" s="238">
        <f t="shared" si="7"/>
        <v>0</v>
      </c>
      <c r="BE17" s="238">
        <f t="shared" si="8"/>
        <v>0</v>
      </c>
      <c r="BF17" s="238">
        <f t="shared" si="9"/>
        <v>0</v>
      </c>
      <c r="BG17" s="238">
        <f t="shared" si="10"/>
        <v>0</v>
      </c>
      <c r="BH17" s="238">
        <f t="shared" si="11"/>
        <v>0</v>
      </c>
      <c r="BI17" s="238">
        <f t="shared" si="12"/>
        <v>0</v>
      </c>
      <c r="BJ17" s="238">
        <f t="shared" si="13"/>
        <v>0</v>
      </c>
      <c r="BK17" s="238">
        <f t="shared" si="14"/>
        <v>0</v>
      </c>
      <c r="BL17" s="238">
        <f t="shared" si="15"/>
        <v>0</v>
      </c>
      <c r="BM17" s="238">
        <f t="shared" si="16"/>
        <v>0</v>
      </c>
      <c r="BN17" s="238">
        <f t="shared" si="17"/>
        <v>0</v>
      </c>
      <c r="BO17" s="238">
        <f t="shared" si="18"/>
        <v>0</v>
      </c>
      <c r="BP17" s="238">
        <f t="shared" si="19"/>
        <v>0</v>
      </c>
      <c r="BQ17" s="238">
        <f t="shared" si="20"/>
        <v>0</v>
      </c>
      <c r="BR17" s="240"/>
    </row>
    <row r="18" ht="19.5" customHeight="1" spans="1:70">
      <c r="A18" s="233"/>
      <c r="B18" s="270" t="s">
        <v>592</v>
      </c>
      <c r="C18" s="75"/>
      <c r="D18" s="75" t="s">
        <v>57</v>
      </c>
      <c r="E18" s="75"/>
      <c r="F18" s="75" t="s">
        <v>56</v>
      </c>
      <c r="G18" s="136"/>
      <c r="H18" s="137" t="s">
        <v>93</v>
      </c>
      <c r="I18" s="136"/>
      <c r="J18" s="136" t="s">
        <v>350</v>
      </c>
      <c r="K18" s="136" t="s">
        <v>566</v>
      </c>
      <c r="L18" s="75"/>
      <c r="N18" s="136"/>
      <c r="O18" s="136" t="s">
        <v>350</v>
      </c>
      <c r="P18" s="75"/>
      <c r="Q18" s="75" t="s">
        <v>566</v>
      </c>
      <c r="R18" s="75"/>
      <c r="S18" s="75"/>
      <c r="T18" s="75"/>
      <c r="U18" s="75" t="s">
        <v>57</v>
      </c>
      <c r="V18" s="136" t="s">
        <v>93</v>
      </c>
      <c r="W18" s="75" t="s">
        <v>59</v>
      </c>
      <c r="X18" s="136"/>
      <c r="Y18" s="75"/>
      <c r="Z18" s="136" t="s">
        <v>58</v>
      </c>
      <c r="AA18" s="136"/>
      <c r="AB18" s="137" t="s">
        <v>56</v>
      </c>
      <c r="AD18" s="75"/>
      <c r="AE18" s="75"/>
      <c r="AF18" s="75"/>
      <c r="AG18" s="75"/>
      <c r="AH18" s="197"/>
      <c r="AI18" s="237">
        <f t="shared" ref="AI18:AQ18" si="33">COUNTIF($D18:$AE18,AI$4)</f>
        <v>2</v>
      </c>
      <c r="AJ18" s="248">
        <f t="shared" si="33"/>
        <v>2</v>
      </c>
      <c r="AK18" s="237">
        <f t="shared" si="33"/>
        <v>1</v>
      </c>
      <c r="AL18" s="237">
        <f t="shared" si="33"/>
        <v>2</v>
      </c>
      <c r="AM18" s="238">
        <f t="shared" si="33"/>
        <v>1</v>
      </c>
      <c r="AN18" s="238">
        <f t="shared" si="33"/>
        <v>2</v>
      </c>
      <c r="AO18" s="238">
        <f t="shared" si="33"/>
        <v>0</v>
      </c>
      <c r="AP18" s="238">
        <f t="shared" si="33"/>
        <v>0</v>
      </c>
      <c r="AQ18" s="238">
        <f t="shared" si="33"/>
        <v>0</v>
      </c>
      <c r="AR18" s="238"/>
      <c r="AS18" s="239"/>
      <c r="AT18" s="239"/>
      <c r="AU18" s="238">
        <f>SUMPRODUCT(--(WEEKDAY(C$3:AG$3,2)&lt;5),--ISNUMBER(MATCH(C18:AG18,{"DM","CS1","CS2","SB1","AE","CS/B"},0)))</f>
        <v>6</v>
      </c>
      <c r="AV18" s="238"/>
      <c r="AW18" s="238">
        <f>SUMPRODUCT(--(WEEKDAY(C$3:AG$3,2)=5),--ISNUMBER(MATCH(C18:AG18,{"DM","CS1","CS2","SB1","AE","CS/B"},0)))</f>
        <v>0</v>
      </c>
      <c r="AX18" s="238">
        <f>SUMPRODUCT(--(WEEKDAY(C$3:AG$3,2)&gt;5),--ISNUMBER(MATCH(C18:AG18,{"DM","CS1","CS2","SB1","AE","CS/B"},0)))</f>
        <v>2</v>
      </c>
      <c r="AY18" s="238"/>
      <c r="AZ18" s="238">
        <f t="shared" si="3"/>
        <v>11</v>
      </c>
      <c r="BA18" s="238">
        <f t="shared" si="4"/>
        <v>8</v>
      </c>
      <c r="BB18" s="238">
        <f t="shared" si="5"/>
        <v>0</v>
      </c>
      <c r="BC18" s="239">
        <f t="shared" si="6"/>
        <v>11</v>
      </c>
      <c r="BD18" s="238">
        <f t="shared" si="7"/>
        <v>0</v>
      </c>
      <c r="BE18" s="238">
        <f t="shared" si="8"/>
        <v>0</v>
      </c>
      <c r="BF18" s="238">
        <f t="shared" si="9"/>
        <v>0</v>
      </c>
      <c r="BG18" s="238">
        <f t="shared" si="10"/>
        <v>0</v>
      </c>
      <c r="BH18" s="238">
        <f t="shared" si="11"/>
        <v>0</v>
      </c>
      <c r="BI18" s="238">
        <f t="shared" si="12"/>
        <v>0</v>
      </c>
      <c r="BJ18" s="238">
        <f t="shared" si="13"/>
        <v>0</v>
      </c>
      <c r="BK18" s="238">
        <f t="shared" si="14"/>
        <v>0</v>
      </c>
      <c r="BL18" s="238">
        <f t="shared" si="15"/>
        <v>0</v>
      </c>
      <c r="BM18" s="238">
        <f t="shared" si="16"/>
        <v>0</v>
      </c>
      <c r="BN18" s="238">
        <f t="shared" si="17"/>
        <v>0</v>
      </c>
      <c r="BO18" s="238">
        <f t="shared" si="18"/>
        <v>0</v>
      </c>
      <c r="BP18" s="238">
        <f t="shared" si="19"/>
        <v>2</v>
      </c>
      <c r="BQ18" s="238">
        <f t="shared" si="20"/>
        <v>0</v>
      </c>
      <c r="BR18" s="240"/>
    </row>
    <row r="19" ht="30.75" customHeight="1" spans="1:70">
      <c r="A19" s="233"/>
      <c r="B19" s="271" t="s">
        <v>467</v>
      </c>
      <c r="C19" s="244" t="s">
        <v>569</v>
      </c>
      <c r="D19" s="137"/>
      <c r="E19" s="137"/>
      <c r="F19" s="137"/>
      <c r="G19" s="137"/>
      <c r="H19" s="137"/>
      <c r="I19" s="137"/>
      <c r="J19" s="137"/>
      <c r="K19" s="137"/>
      <c r="L19" s="137"/>
      <c r="M19" s="244" t="s">
        <v>593</v>
      </c>
      <c r="N19" s="242" t="s">
        <v>54</v>
      </c>
      <c r="O19" s="242" t="s">
        <v>54</v>
      </c>
      <c r="P19" s="242" t="s">
        <v>54</v>
      </c>
      <c r="Q19" s="242" t="s">
        <v>54</v>
      </c>
      <c r="R19" s="244" t="s">
        <v>570</v>
      </c>
      <c r="S19" s="137"/>
      <c r="T19" s="137"/>
      <c r="U19" s="136"/>
      <c r="W19" s="137"/>
      <c r="X19" s="137"/>
      <c r="Y19" s="137"/>
      <c r="Z19" s="137"/>
      <c r="AA19" s="137"/>
      <c r="AB19" s="137"/>
      <c r="AD19" s="137"/>
      <c r="AE19" s="137"/>
      <c r="AF19" s="243"/>
      <c r="AG19" s="137"/>
      <c r="AH19" s="53"/>
      <c r="AI19" s="237">
        <f t="shared" ref="AI19:AQ19" si="34">COUNTIF($D19:$AE19,AI$4)</f>
        <v>0</v>
      </c>
      <c r="AJ19" s="248">
        <f t="shared" si="34"/>
        <v>0</v>
      </c>
      <c r="AK19" s="237">
        <f t="shared" si="34"/>
        <v>0</v>
      </c>
      <c r="AL19" s="237">
        <f t="shared" si="34"/>
        <v>0</v>
      </c>
      <c r="AM19" s="238">
        <f t="shared" si="34"/>
        <v>0</v>
      </c>
      <c r="AN19" s="238">
        <f t="shared" si="34"/>
        <v>0</v>
      </c>
      <c r="AO19" s="238">
        <f t="shared" si="34"/>
        <v>0</v>
      </c>
      <c r="AP19" s="238">
        <f t="shared" si="34"/>
        <v>0</v>
      </c>
      <c r="AQ19" s="238">
        <f t="shared" si="34"/>
        <v>0</v>
      </c>
      <c r="AR19" s="238"/>
      <c r="AS19" s="239"/>
      <c r="AT19" s="239"/>
      <c r="AU19" s="238">
        <f>SUMPRODUCT(--(WEEKDAY(C$3:AG$3,2)&lt;5),--ISNUMBER(MATCH(C19:AG19,{"DM","CS1","CS2","SB1","AE","CS/B"},0)))</f>
        <v>0</v>
      </c>
      <c r="AV19" s="238"/>
      <c r="AW19" s="238">
        <f>SUMPRODUCT(--(WEEKDAY(C$3:AG$3,2)=5),--ISNUMBER(MATCH(C19:AG19,{"DM","CS1","CS2","SB1","AE","CS/B"},0)))</f>
        <v>0</v>
      </c>
      <c r="AX19" s="238">
        <f>SUMPRODUCT(--(WEEKDAY(C$3:AG$3,2)&gt;5),--ISNUMBER(MATCH(C19:AG19,{"DM","CS1","CS2","SB1","AE","CS/B"},0)))</f>
        <v>0</v>
      </c>
      <c r="AY19" s="238"/>
      <c r="AZ19" s="238">
        <f t="shared" si="3"/>
        <v>0</v>
      </c>
      <c r="BA19" s="238">
        <f t="shared" si="4"/>
        <v>0</v>
      </c>
      <c r="BB19" s="238">
        <f t="shared" si="5"/>
        <v>0</v>
      </c>
      <c r="BC19" s="239">
        <f t="shared" si="6"/>
        <v>0</v>
      </c>
      <c r="BD19" s="238">
        <f t="shared" si="7"/>
        <v>0</v>
      </c>
      <c r="BE19" s="238">
        <f t="shared" si="8"/>
        <v>0</v>
      </c>
      <c r="BF19" s="238">
        <f t="shared" si="9"/>
        <v>0</v>
      </c>
      <c r="BG19" s="238">
        <f t="shared" si="10"/>
        <v>0</v>
      </c>
      <c r="BH19" s="238">
        <f t="shared" si="11"/>
        <v>0</v>
      </c>
      <c r="BI19" s="238">
        <f t="shared" si="12"/>
        <v>0</v>
      </c>
      <c r="BJ19" s="238">
        <f t="shared" si="13"/>
        <v>0</v>
      </c>
      <c r="BK19" s="238">
        <f t="shared" si="14"/>
        <v>0</v>
      </c>
      <c r="BL19" s="238">
        <f t="shared" si="15"/>
        <v>0</v>
      </c>
      <c r="BM19" s="238">
        <f t="shared" si="16"/>
        <v>0</v>
      </c>
      <c r="BN19" s="238">
        <f t="shared" si="17"/>
        <v>0</v>
      </c>
      <c r="BO19" s="238">
        <f t="shared" si="18"/>
        <v>0</v>
      </c>
      <c r="BP19" s="238">
        <f t="shared" si="19"/>
        <v>0</v>
      </c>
      <c r="BQ19" s="238">
        <f t="shared" si="20"/>
        <v>0</v>
      </c>
      <c r="BR19" s="240"/>
    </row>
    <row r="20" ht="27.75" customHeight="1" spans="1:70">
      <c r="A20" s="233"/>
      <c r="B20" s="272" t="s">
        <v>594</v>
      </c>
      <c r="C20" s="75" t="s">
        <v>57</v>
      </c>
      <c r="D20" s="75"/>
      <c r="E20" s="75" t="s">
        <v>350</v>
      </c>
      <c r="F20" s="75"/>
      <c r="G20" s="75" t="s">
        <v>56</v>
      </c>
      <c r="H20" s="241"/>
      <c r="I20" s="75" t="s">
        <v>595</v>
      </c>
      <c r="J20" s="136" t="s">
        <v>405</v>
      </c>
      <c r="K20" s="75" t="s">
        <v>595</v>
      </c>
      <c r="L20" s="75"/>
      <c r="M20" s="137" t="s">
        <v>57</v>
      </c>
      <c r="N20" s="136"/>
      <c r="O20" s="136" t="s">
        <v>573</v>
      </c>
      <c r="P20" s="136" t="s">
        <v>350</v>
      </c>
      <c r="Q20" s="75"/>
      <c r="R20" s="75" t="s">
        <v>57</v>
      </c>
      <c r="S20" s="75"/>
      <c r="T20" s="75" t="s">
        <v>56</v>
      </c>
      <c r="U20" s="75"/>
      <c r="V20" s="136" t="s">
        <v>350</v>
      </c>
      <c r="W20" s="241"/>
      <c r="X20" s="75" t="s">
        <v>566</v>
      </c>
      <c r="Y20" s="136"/>
      <c r="Z20" s="75"/>
      <c r="AA20" s="136"/>
      <c r="AC20" s="137" t="s">
        <v>57</v>
      </c>
      <c r="AD20" s="75"/>
      <c r="AE20" s="75"/>
      <c r="AF20" s="75"/>
      <c r="AG20" s="75"/>
      <c r="AH20" s="197"/>
      <c r="AI20" s="237">
        <f t="shared" ref="AI20:AQ20" si="35">COUNTIF($D20:$AE20,AI$4)</f>
        <v>3</v>
      </c>
      <c r="AJ20" s="248">
        <f t="shared" si="35"/>
        <v>2</v>
      </c>
      <c r="AK20" s="237">
        <f t="shared" si="35"/>
        <v>0</v>
      </c>
      <c r="AL20" s="237">
        <f t="shared" si="35"/>
        <v>1</v>
      </c>
      <c r="AM20" s="238">
        <f t="shared" si="35"/>
        <v>0</v>
      </c>
      <c r="AN20" s="238">
        <f t="shared" si="35"/>
        <v>0</v>
      </c>
      <c r="AO20" s="238">
        <f t="shared" si="35"/>
        <v>0</v>
      </c>
      <c r="AP20" s="238">
        <f t="shared" si="35"/>
        <v>0</v>
      </c>
      <c r="AQ20" s="238">
        <f t="shared" si="35"/>
        <v>0</v>
      </c>
      <c r="AR20" s="238"/>
      <c r="AS20" s="239"/>
      <c r="AT20" s="239"/>
      <c r="AU20" s="238">
        <f>SUMPRODUCT(--(WEEKDAY(C$3:AG$3,2)&lt;5),--ISNUMBER(MATCH(C20:AG20,{"DM","CS1","CS2","SB1","AE","CS/B"},0)))</f>
        <v>4</v>
      </c>
      <c r="AV20" s="238"/>
      <c r="AW20" s="238">
        <f>SUMPRODUCT(--(WEEKDAY(C$3:AG$3,2)=5),--ISNUMBER(MATCH(C20:AG20,{"DM","CS1","CS2","SB1","AE","CS/B"},0)))</f>
        <v>1</v>
      </c>
      <c r="AX20" s="238">
        <f>SUMPRODUCT(--(WEEKDAY(C$3:AG$3,2)&gt;5),--ISNUMBER(MATCH(C20:AG20,{"DM","CS1","CS2","SB1","AE","CS/B"},0)))</f>
        <v>2</v>
      </c>
      <c r="AY20" s="238"/>
      <c r="AZ20" s="238">
        <f t="shared" si="3"/>
        <v>9.5</v>
      </c>
      <c r="BA20" s="238">
        <f t="shared" si="4"/>
        <v>7</v>
      </c>
      <c r="BB20" s="238">
        <f t="shared" si="5"/>
        <v>3</v>
      </c>
      <c r="BC20" s="239">
        <f t="shared" si="6"/>
        <v>12.5</v>
      </c>
      <c r="BD20" s="238">
        <f t="shared" si="7"/>
        <v>3</v>
      </c>
      <c r="BE20" s="238">
        <f t="shared" si="8"/>
        <v>0</v>
      </c>
      <c r="BF20" s="238">
        <f t="shared" si="9"/>
        <v>0</v>
      </c>
      <c r="BG20" s="238">
        <f t="shared" si="10"/>
        <v>0</v>
      </c>
      <c r="BH20" s="238">
        <f t="shared" si="11"/>
        <v>0</v>
      </c>
      <c r="BI20" s="238">
        <f t="shared" si="12"/>
        <v>0</v>
      </c>
      <c r="BJ20" s="238">
        <f t="shared" si="13"/>
        <v>0</v>
      </c>
      <c r="BK20" s="238">
        <f t="shared" si="14"/>
        <v>0</v>
      </c>
      <c r="BL20" s="238">
        <f t="shared" si="15"/>
        <v>0</v>
      </c>
      <c r="BM20" s="238">
        <f t="shared" si="16"/>
        <v>3</v>
      </c>
      <c r="BN20" s="238">
        <f t="shared" si="17"/>
        <v>3</v>
      </c>
      <c r="BO20" s="238">
        <f t="shared" si="18"/>
        <v>0</v>
      </c>
      <c r="BP20" s="238">
        <f t="shared" si="19"/>
        <v>3</v>
      </c>
      <c r="BQ20" s="238">
        <f t="shared" si="20"/>
        <v>0</v>
      </c>
      <c r="BR20" s="240"/>
    </row>
    <row r="21" ht="19.5" customHeight="1" spans="1:70">
      <c r="A21" s="233"/>
      <c r="B21" s="273" t="s">
        <v>596</v>
      </c>
      <c r="C21" s="137"/>
      <c r="D21" s="137" t="s">
        <v>350</v>
      </c>
      <c r="E21" s="244" t="s">
        <v>597</v>
      </c>
      <c r="F21" s="137" t="s">
        <v>58</v>
      </c>
      <c r="G21" s="137" t="s">
        <v>93</v>
      </c>
      <c r="H21" s="136" t="s">
        <v>572</v>
      </c>
      <c r="I21" s="137"/>
      <c r="J21" s="137"/>
      <c r="K21" s="137"/>
      <c r="L21" s="137"/>
      <c r="M21" s="137" t="s">
        <v>93</v>
      </c>
      <c r="N21" s="137" t="s">
        <v>57</v>
      </c>
      <c r="O21" s="241"/>
      <c r="P21" s="137" t="s">
        <v>54</v>
      </c>
      <c r="Q21" s="137" t="s">
        <v>54</v>
      </c>
      <c r="R21" s="137" t="s">
        <v>54</v>
      </c>
      <c r="S21" s="137" t="s">
        <v>54</v>
      </c>
      <c r="T21" s="137" t="s">
        <v>54</v>
      </c>
      <c r="U21" s="137" t="s">
        <v>54</v>
      </c>
      <c r="V21" s="137" t="s">
        <v>54</v>
      </c>
      <c r="W21" s="137" t="s">
        <v>54</v>
      </c>
      <c r="X21" s="137" t="s">
        <v>54</v>
      </c>
      <c r="Y21" s="137" t="s">
        <v>93</v>
      </c>
      <c r="Z21" s="137"/>
      <c r="AA21" s="137" t="s">
        <v>56</v>
      </c>
      <c r="AB21" s="137"/>
      <c r="AC21" s="75" t="s">
        <v>59</v>
      </c>
      <c r="AD21" s="137"/>
      <c r="AE21" s="137"/>
      <c r="AF21" s="137"/>
      <c r="AG21" s="137"/>
      <c r="AH21" s="197"/>
      <c r="AI21" s="237">
        <f t="shared" ref="AI21:AQ21" si="36">COUNTIF($D21:$AE21,AI$4)</f>
        <v>1</v>
      </c>
      <c r="AJ21" s="248">
        <f t="shared" si="36"/>
        <v>1</v>
      </c>
      <c r="AK21" s="237">
        <f t="shared" si="36"/>
        <v>1</v>
      </c>
      <c r="AL21" s="237">
        <f t="shared" si="36"/>
        <v>0</v>
      </c>
      <c r="AM21" s="238">
        <f t="shared" si="36"/>
        <v>1</v>
      </c>
      <c r="AN21" s="238">
        <f t="shared" si="36"/>
        <v>3</v>
      </c>
      <c r="AO21" s="238">
        <f t="shared" si="36"/>
        <v>0</v>
      </c>
      <c r="AP21" s="238">
        <f t="shared" si="36"/>
        <v>0</v>
      </c>
      <c r="AQ21" s="238">
        <f t="shared" si="36"/>
        <v>0</v>
      </c>
      <c r="AR21" s="238"/>
      <c r="AS21" s="239">
        <v>1</v>
      </c>
      <c r="AT21" s="239"/>
      <c r="AU21" s="238">
        <f>SUMPRODUCT(--(WEEKDAY(C$3:AG$3,2)&lt;5),--ISNUMBER(MATCH(C21:AG21,{"DM","CS1","CS2","SB1","AE","CS/B"},0)))</f>
        <v>3</v>
      </c>
      <c r="AV21" s="238"/>
      <c r="AW21" s="238">
        <f>SUMPRODUCT(--(WEEKDAY(C$3:AG$3,2)=5),--ISNUMBER(MATCH(C21:AG21,{"DM","CS1","CS2","SB1","AE","CS/B"},0)))</f>
        <v>1</v>
      </c>
      <c r="AX21" s="238">
        <f>SUMPRODUCT(--(WEEKDAY(C$3:AG$3,2)&gt;5),--ISNUMBER(MATCH(C21:AG21,{"DM","CS1","CS2","SB1","AE","CS/B"},0)))</f>
        <v>0</v>
      </c>
      <c r="AY21" s="238"/>
      <c r="AZ21" s="238">
        <f t="shared" si="3"/>
        <v>7</v>
      </c>
      <c r="BA21" s="238">
        <f t="shared" si="4"/>
        <v>4</v>
      </c>
      <c r="BB21" s="238">
        <f t="shared" si="5"/>
        <v>0</v>
      </c>
      <c r="BC21" s="239">
        <f t="shared" si="6"/>
        <v>7</v>
      </c>
      <c r="BD21" s="238">
        <f t="shared" si="7"/>
        <v>0</v>
      </c>
      <c r="BE21" s="238">
        <f t="shared" si="8"/>
        <v>0</v>
      </c>
      <c r="BF21" s="238">
        <f t="shared" si="9"/>
        <v>0</v>
      </c>
      <c r="BG21" s="238">
        <f t="shared" si="10"/>
        <v>0</v>
      </c>
      <c r="BH21" s="238">
        <f t="shared" si="11"/>
        <v>0</v>
      </c>
      <c r="BI21" s="238">
        <f t="shared" si="12"/>
        <v>0</v>
      </c>
      <c r="BJ21" s="238">
        <f t="shared" si="13"/>
        <v>0</v>
      </c>
      <c r="BK21" s="238">
        <f t="shared" si="14"/>
        <v>0</v>
      </c>
      <c r="BL21" s="238">
        <f t="shared" si="15"/>
        <v>0</v>
      </c>
      <c r="BM21" s="238">
        <f t="shared" si="16"/>
        <v>0</v>
      </c>
      <c r="BN21" s="238">
        <f t="shared" si="17"/>
        <v>0</v>
      </c>
      <c r="BO21" s="238">
        <f t="shared" si="18"/>
        <v>0</v>
      </c>
      <c r="BP21" s="238">
        <f t="shared" si="19"/>
        <v>1</v>
      </c>
      <c r="BQ21" s="238">
        <f t="shared" si="20"/>
        <v>0</v>
      </c>
      <c r="BR21" s="240"/>
    </row>
    <row r="22" ht="19.5" customHeight="1" spans="1:70">
      <c r="A22" s="233"/>
      <c r="B22" s="274" t="s">
        <v>598</v>
      </c>
      <c r="C22" s="75" t="s">
        <v>329</v>
      </c>
      <c r="D22" s="75" t="s">
        <v>329</v>
      </c>
      <c r="E22" s="75"/>
      <c r="F22" s="75"/>
      <c r="G22" s="137" t="s">
        <v>57</v>
      </c>
      <c r="H22" s="136" t="s">
        <v>572</v>
      </c>
      <c r="I22" s="136"/>
      <c r="J22" s="75" t="s">
        <v>57</v>
      </c>
      <c r="K22" s="136"/>
      <c r="L22" s="75" t="s">
        <v>350</v>
      </c>
      <c r="M22" s="136" t="s">
        <v>573</v>
      </c>
      <c r="N22" s="137" t="s">
        <v>104</v>
      </c>
      <c r="O22" s="241"/>
      <c r="P22" s="136"/>
      <c r="Q22" s="75" t="s">
        <v>350</v>
      </c>
      <c r="R22" s="75"/>
      <c r="S22" s="75"/>
      <c r="T22" s="75"/>
      <c r="U22" s="75" t="s">
        <v>599</v>
      </c>
      <c r="V22" s="241"/>
      <c r="W22" s="241"/>
      <c r="X22" s="136"/>
      <c r="Y22" s="75" t="s">
        <v>350</v>
      </c>
      <c r="Z22" s="75"/>
      <c r="AA22" s="136"/>
      <c r="AB22" s="137" t="s">
        <v>566</v>
      </c>
      <c r="AC22" s="241"/>
      <c r="AD22" s="75"/>
      <c r="AE22" s="75"/>
      <c r="AF22" s="75"/>
      <c r="AG22" s="75"/>
      <c r="AH22" s="197"/>
      <c r="AI22" s="237">
        <f t="shared" ref="AI22:AQ22" si="37">COUNTIF($D22:$AE22,AI$4)</f>
        <v>2</v>
      </c>
      <c r="AJ22" s="248">
        <f t="shared" si="37"/>
        <v>0</v>
      </c>
      <c r="AK22" s="237">
        <f t="shared" si="37"/>
        <v>0</v>
      </c>
      <c r="AL22" s="237">
        <f t="shared" si="37"/>
        <v>1</v>
      </c>
      <c r="AM22" s="238">
        <f t="shared" si="37"/>
        <v>0</v>
      </c>
      <c r="AN22" s="238">
        <f t="shared" si="37"/>
        <v>0</v>
      </c>
      <c r="AO22" s="238">
        <f t="shared" si="37"/>
        <v>0</v>
      </c>
      <c r="AP22" s="238">
        <f t="shared" si="37"/>
        <v>0</v>
      </c>
      <c r="AQ22" s="238">
        <f t="shared" si="37"/>
        <v>0</v>
      </c>
      <c r="AR22" s="238"/>
      <c r="AS22" s="239">
        <v>2</v>
      </c>
      <c r="AT22" s="239"/>
      <c r="AU22" s="238">
        <f>SUMPRODUCT(--(WEEKDAY(C$3:AG$3,2)&lt;5),--ISNUMBER(MATCH(C22:AG22,{"DM","CS1","CS2","SB1","AE","CS/B"},0)))</f>
        <v>2</v>
      </c>
      <c r="AV22" s="238"/>
      <c r="AW22" s="238">
        <f>SUMPRODUCT(--(WEEKDAY(C$3:AG$3,2)=5),--ISNUMBER(MATCH(C22:AG22,{"DM","CS1","CS2","SB1","AE","CS/B"},0)))</f>
        <v>0</v>
      </c>
      <c r="AX22" s="238">
        <f>SUMPRODUCT(--(WEEKDAY(C$3:AG$3,2)&gt;5),--ISNUMBER(MATCH(C22:AG22,{"DM","CS1","CS2","SB1","AE","CS/B"},0)))</f>
        <v>1</v>
      </c>
      <c r="AY22" s="238"/>
      <c r="AZ22" s="238">
        <f t="shared" si="3"/>
        <v>6</v>
      </c>
      <c r="BA22" s="238">
        <f t="shared" si="4"/>
        <v>3</v>
      </c>
      <c r="BB22" s="238">
        <f t="shared" si="5"/>
        <v>4</v>
      </c>
      <c r="BC22" s="239">
        <f t="shared" si="6"/>
        <v>10</v>
      </c>
      <c r="BD22" s="238">
        <f t="shared" si="7"/>
        <v>4</v>
      </c>
      <c r="BE22" s="238">
        <f t="shared" si="8"/>
        <v>1</v>
      </c>
      <c r="BF22" s="238">
        <f t="shared" si="9"/>
        <v>1.5</v>
      </c>
      <c r="BG22" s="238">
        <f t="shared" si="10"/>
        <v>0</v>
      </c>
      <c r="BH22" s="238">
        <f t="shared" si="11"/>
        <v>0</v>
      </c>
      <c r="BI22" s="238">
        <f t="shared" si="12"/>
        <v>0</v>
      </c>
      <c r="BJ22" s="238">
        <f t="shared" si="13"/>
        <v>0</v>
      </c>
      <c r="BK22" s="238">
        <f t="shared" si="14"/>
        <v>1</v>
      </c>
      <c r="BL22" s="238">
        <f t="shared" si="15"/>
        <v>0.5</v>
      </c>
      <c r="BM22" s="238">
        <f t="shared" si="16"/>
        <v>2</v>
      </c>
      <c r="BN22" s="238">
        <f t="shared" si="17"/>
        <v>2</v>
      </c>
      <c r="BO22" s="238">
        <f t="shared" si="18"/>
        <v>0</v>
      </c>
      <c r="BP22" s="238">
        <f t="shared" si="19"/>
        <v>3</v>
      </c>
      <c r="BQ22" s="238">
        <f t="shared" si="20"/>
        <v>0</v>
      </c>
      <c r="BR22" s="240"/>
    </row>
    <row r="23" ht="19.5" customHeight="1" spans="1:70">
      <c r="A23" s="233"/>
      <c r="B23" s="186" t="s">
        <v>600</v>
      </c>
      <c r="C23" s="137"/>
      <c r="D23" s="137"/>
      <c r="E23" s="136" t="s">
        <v>93</v>
      </c>
      <c r="F23" s="137" t="s">
        <v>57</v>
      </c>
      <c r="G23" s="136"/>
      <c r="H23" s="136" t="s">
        <v>572</v>
      </c>
      <c r="I23" s="244"/>
      <c r="J23" s="136"/>
      <c r="K23" s="137" t="s">
        <v>57</v>
      </c>
      <c r="L23" s="136"/>
      <c r="M23" s="136" t="s">
        <v>601</v>
      </c>
      <c r="N23" s="137" t="s">
        <v>602</v>
      </c>
      <c r="O23" s="244"/>
      <c r="P23" s="137"/>
      <c r="Q23" s="244" t="s">
        <v>603</v>
      </c>
      <c r="R23" s="244" t="s">
        <v>603</v>
      </c>
      <c r="S23" s="244" t="s">
        <v>603</v>
      </c>
      <c r="T23" s="244" t="s">
        <v>603</v>
      </c>
      <c r="U23" s="136" t="s">
        <v>603</v>
      </c>
      <c r="V23" s="244"/>
      <c r="W23" s="137" t="s">
        <v>57</v>
      </c>
      <c r="X23" s="137"/>
      <c r="Y23" s="137"/>
      <c r="Z23" s="137" t="s">
        <v>281</v>
      </c>
      <c r="AA23" s="136"/>
      <c r="AB23" s="53" t="s">
        <v>580</v>
      </c>
      <c r="AC23" s="244"/>
      <c r="AD23" s="137" t="s">
        <v>56</v>
      </c>
      <c r="AE23" s="137"/>
      <c r="AF23" s="137"/>
      <c r="AG23" s="137"/>
      <c r="AH23" s="197"/>
      <c r="AI23" s="237">
        <f t="shared" ref="AI23:AQ23" si="38">COUNTIF($D23:$AE23,AI$4)</f>
        <v>3</v>
      </c>
      <c r="AJ23" s="248">
        <f t="shared" si="38"/>
        <v>1</v>
      </c>
      <c r="AK23" s="237">
        <f t="shared" si="38"/>
        <v>0</v>
      </c>
      <c r="AL23" s="237">
        <f t="shared" si="38"/>
        <v>0</v>
      </c>
      <c r="AM23" s="238">
        <f t="shared" si="38"/>
        <v>0</v>
      </c>
      <c r="AN23" s="238">
        <f t="shared" si="38"/>
        <v>1</v>
      </c>
      <c r="AO23" s="238">
        <f t="shared" si="38"/>
        <v>0</v>
      </c>
      <c r="AP23" s="238">
        <f t="shared" si="38"/>
        <v>0</v>
      </c>
      <c r="AQ23" s="238">
        <f t="shared" si="38"/>
        <v>0</v>
      </c>
      <c r="AR23" s="238"/>
      <c r="AS23" s="239"/>
      <c r="AT23" s="239">
        <v>1</v>
      </c>
      <c r="AU23" s="238">
        <f>SUMPRODUCT(--(WEEKDAY(C$3:AG$3,2)&lt;5),--ISNUMBER(MATCH(C23:AG23,{"DM","CS1","CS2","SB1","AE","CS/B"},0)))</f>
        <v>2</v>
      </c>
      <c r="AV23" s="238"/>
      <c r="AW23" s="238">
        <f>SUMPRODUCT(--(WEEKDAY(C$3:AG$3,2)=5),--ISNUMBER(MATCH(C23:AG23,{"DM","CS1","CS2","SB1","AE","CS/B"},0)))</f>
        <v>0</v>
      </c>
      <c r="AX23" s="238">
        <f>SUMPRODUCT(--(WEEKDAY(C$3:AG$3,2)&gt;5),--ISNUMBER(MATCH(C23:AG23,{"DM","CS1","CS2","SB1","AE","CS/B"},0)))</f>
        <v>2</v>
      </c>
      <c r="AY23" s="238"/>
      <c r="AZ23" s="238">
        <f t="shared" si="3"/>
        <v>5.5</v>
      </c>
      <c r="BA23" s="238">
        <f t="shared" si="4"/>
        <v>4</v>
      </c>
      <c r="BB23" s="238">
        <f t="shared" si="5"/>
        <v>3</v>
      </c>
      <c r="BC23" s="239">
        <f t="shared" si="6"/>
        <v>9</v>
      </c>
      <c r="BD23" s="238">
        <f t="shared" si="7"/>
        <v>3.5</v>
      </c>
      <c r="BE23" s="238">
        <f t="shared" si="8"/>
        <v>2</v>
      </c>
      <c r="BF23" s="238">
        <f t="shared" si="9"/>
        <v>3</v>
      </c>
      <c r="BG23" s="238">
        <f t="shared" si="10"/>
        <v>0</v>
      </c>
      <c r="BH23" s="238">
        <f t="shared" si="11"/>
        <v>0</v>
      </c>
      <c r="BI23" s="238">
        <f t="shared" si="12"/>
        <v>1</v>
      </c>
      <c r="BJ23" s="238">
        <f t="shared" si="13"/>
        <v>0.5</v>
      </c>
      <c r="BK23" s="238">
        <f t="shared" si="14"/>
        <v>0</v>
      </c>
      <c r="BL23" s="238">
        <f t="shared" si="15"/>
        <v>0</v>
      </c>
      <c r="BM23" s="238">
        <f t="shared" si="16"/>
        <v>0</v>
      </c>
      <c r="BN23" s="238">
        <f t="shared" si="17"/>
        <v>0</v>
      </c>
      <c r="BO23" s="238">
        <f t="shared" si="18"/>
        <v>0</v>
      </c>
      <c r="BP23" s="238">
        <f t="shared" si="19"/>
        <v>0</v>
      </c>
      <c r="BQ23" s="238">
        <f t="shared" si="20"/>
        <v>0</v>
      </c>
      <c r="BR23" s="240"/>
    </row>
    <row r="24" ht="19.5" customHeight="1" spans="1:70">
      <c r="A24" s="233"/>
      <c r="B24" s="186" t="s">
        <v>604</v>
      </c>
      <c r="C24" s="275"/>
      <c r="D24" s="75" t="s">
        <v>573</v>
      </c>
      <c r="E24" s="187" t="s">
        <v>605</v>
      </c>
      <c r="F24" s="136" t="s">
        <v>93</v>
      </c>
      <c r="G24" s="136" t="s">
        <v>350</v>
      </c>
      <c r="H24" s="136" t="s">
        <v>572</v>
      </c>
      <c r="I24" s="275"/>
      <c r="J24" s="137"/>
      <c r="K24" s="75"/>
      <c r="L24" s="75" t="s">
        <v>606</v>
      </c>
      <c r="M24" s="136" t="s">
        <v>58</v>
      </c>
      <c r="N24" s="136" t="s">
        <v>573</v>
      </c>
      <c r="O24" s="75" t="s">
        <v>57</v>
      </c>
      <c r="P24" s="75"/>
      <c r="Q24" s="75"/>
      <c r="R24" s="75" t="s">
        <v>56</v>
      </c>
      <c r="S24" s="75"/>
      <c r="T24" s="75" t="s">
        <v>57</v>
      </c>
      <c r="U24" s="75"/>
      <c r="V24" s="136"/>
      <c r="W24" s="75"/>
      <c r="X24" s="75" t="s">
        <v>57</v>
      </c>
      <c r="Y24" s="75"/>
      <c r="Z24" s="136" t="s">
        <v>573</v>
      </c>
      <c r="AA24" s="136" t="s">
        <v>573</v>
      </c>
      <c r="AB24" s="241" t="s">
        <v>607</v>
      </c>
      <c r="AC24" s="241" t="s">
        <v>607</v>
      </c>
      <c r="AD24" s="241" t="s">
        <v>607</v>
      </c>
      <c r="AE24" s="241" t="s">
        <v>608</v>
      </c>
      <c r="AF24" s="75"/>
      <c r="AG24" s="75"/>
      <c r="AH24" s="197"/>
      <c r="AI24" s="237">
        <f t="shared" ref="AI24:AQ24" si="39">COUNTIF($D24:$AE24,AI$4)</f>
        <v>3</v>
      </c>
      <c r="AJ24" s="248">
        <f t="shared" si="39"/>
        <v>1</v>
      </c>
      <c r="AK24" s="237">
        <f t="shared" si="39"/>
        <v>0</v>
      </c>
      <c r="AL24" s="237">
        <f t="shared" si="39"/>
        <v>0</v>
      </c>
      <c r="AM24" s="238">
        <f t="shared" si="39"/>
        <v>1</v>
      </c>
      <c r="AN24" s="238">
        <f t="shared" si="39"/>
        <v>1</v>
      </c>
      <c r="AO24" s="238">
        <f t="shared" si="39"/>
        <v>0</v>
      </c>
      <c r="AP24" s="238">
        <f t="shared" si="39"/>
        <v>0</v>
      </c>
      <c r="AQ24" s="238">
        <f t="shared" si="39"/>
        <v>0</v>
      </c>
      <c r="AR24" s="238"/>
      <c r="AS24" s="239">
        <v>0.5</v>
      </c>
      <c r="AT24" s="239"/>
      <c r="AU24" s="238">
        <f>SUMPRODUCT(--(WEEKDAY(C$3:AG$3,2)&lt;5),--ISNUMBER(MATCH(C24:AG24,{"DM","CS1","CS2","SB1","AE","CS/B"},0)))</f>
        <v>3</v>
      </c>
      <c r="AV24" s="238"/>
      <c r="AW24" s="238">
        <f>SUMPRODUCT(--(WEEKDAY(C$3:AG$3,2)=5),--ISNUMBER(MATCH(C24:AG24,{"DM","CS1","CS2","SB1","AE","CS/B"},0)))</f>
        <v>1</v>
      </c>
      <c r="AX24" s="238">
        <f>SUMPRODUCT(--(WEEKDAY(C$3:AG$3,2)&gt;5),--ISNUMBER(MATCH(C24:AG24,{"DM","CS1","CS2","SB1","AE","CS/B"},0)))</f>
        <v>1</v>
      </c>
      <c r="AY24" s="238"/>
      <c r="AZ24" s="238">
        <f t="shared" si="3"/>
        <v>7.5</v>
      </c>
      <c r="BA24" s="238">
        <f t="shared" si="4"/>
        <v>5</v>
      </c>
      <c r="BB24" s="238">
        <f t="shared" si="5"/>
        <v>2</v>
      </c>
      <c r="BC24" s="239">
        <f t="shared" si="6"/>
        <v>8.5</v>
      </c>
      <c r="BD24" s="238">
        <f t="shared" si="7"/>
        <v>1</v>
      </c>
      <c r="BE24" s="238">
        <f t="shared" si="8"/>
        <v>0</v>
      </c>
      <c r="BF24" s="238">
        <f t="shared" si="9"/>
        <v>0</v>
      </c>
      <c r="BG24" s="238">
        <f t="shared" si="10"/>
        <v>0</v>
      </c>
      <c r="BH24" s="238">
        <f t="shared" si="11"/>
        <v>0</v>
      </c>
      <c r="BI24" s="238">
        <f t="shared" si="12"/>
        <v>0</v>
      </c>
      <c r="BJ24" s="238">
        <f t="shared" si="13"/>
        <v>0</v>
      </c>
      <c r="BK24" s="238">
        <f t="shared" si="14"/>
        <v>2</v>
      </c>
      <c r="BL24" s="238">
        <f t="shared" si="15"/>
        <v>1</v>
      </c>
      <c r="BM24" s="238">
        <f t="shared" si="16"/>
        <v>0</v>
      </c>
      <c r="BN24" s="238">
        <f t="shared" si="17"/>
        <v>0</v>
      </c>
      <c r="BO24" s="238">
        <f t="shared" si="18"/>
        <v>0</v>
      </c>
      <c r="BP24" s="238">
        <f t="shared" si="19"/>
        <v>1</v>
      </c>
      <c r="BQ24" s="238">
        <f t="shared" si="20"/>
        <v>0</v>
      </c>
      <c r="BR24" s="240"/>
    </row>
    <row r="25" ht="19.5" customHeight="1" spans="1:70">
      <c r="A25" s="233"/>
      <c r="B25" s="276" t="s">
        <v>609</v>
      </c>
      <c r="C25" s="137"/>
      <c r="D25" s="137"/>
      <c r="E25" s="137"/>
      <c r="F25" s="241" t="s">
        <v>61</v>
      </c>
      <c r="G25" s="137"/>
      <c r="H25" s="136" t="s">
        <v>572</v>
      </c>
      <c r="I25" s="137"/>
      <c r="J25" s="137"/>
      <c r="L25" s="137"/>
      <c r="N25" s="137"/>
      <c r="P25" s="137"/>
      <c r="Q25" s="137"/>
      <c r="R25" s="137"/>
      <c r="S25" s="137"/>
      <c r="T25" s="137"/>
      <c r="X25" s="137"/>
      <c r="Z25" s="137"/>
      <c r="AA25" s="136"/>
      <c r="AC25" s="137"/>
      <c r="AD25" s="136"/>
      <c r="AE25" s="137"/>
      <c r="AF25" s="137"/>
      <c r="AG25" s="137"/>
      <c r="AH25" s="197"/>
      <c r="AI25" s="237">
        <f t="shared" ref="AI25:AQ25" si="40">COUNTIF($D25:$AE25,AI$4)</f>
        <v>0</v>
      </c>
      <c r="AJ25" s="248">
        <f t="shared" si="40"/>
        <v>0</v>
      </c>
      <c r="AK25" s="237">
        <f t="shared" si="40"/>
        <v>0</v>
      </c>
      <c r="AL25" s="237">
        <f t="shared" si="40"/>
        <v>0</v>
      </c>
      <c r="AM25" s="238">
        <f t="shared" si="40"/>
        <v>0</v>
      </c>
      <c r="AN25" s="238">
        <f t="shared" si="40"/>
        <v>0</v>
      </c>
      <c r="AO25" s="238">
        <f t="shared" si="40"/>
        <v>0</v>
      </c>
      <c r="AP25" s="238">
        <f t="shared" si="40"/>
        <v>0</v>
      </c>
      <c r="AQ25" s="238">
        <f t="shared" si="40"/>
        <v>0</v>
      </c>
      <c r="AR25" s="238"/>
      <c r="AS25" s="239"/>
      <c r="AT25" s="239"/>
      <c r="AU25" s="238">
        <f>SUMPRODUCT(--(WEEKDAY(C$3:AG$3,2)&lt;5),--ISNUMBER(MATCH(C25:AG25,{"DM","CS1","CS2","SB1","AE","CS/B"},0)))</f>
        <v>0</v>
      </c>
      <c r="AV25" s="238"/>
      <c r="AW25" s="238">
        <f>SUMPRODUCT(--(WEEKDAY(C$3:AG$3,2)=5),--ISNUMBER(MATCH(C25:AG25,{"DM","CS1","CS2","SB1","AE","CS/B"},0)))</f>
        <v>0</v>
      </c>
      <c r="AX25" s="238">
        <f>SUMPRODUCT(--(WEEKDAY(C$3:AG$3,2)&gt;5),--ISNUMBER(MATCH(C25:AG25,{"DM","CS1","CS2","SB1","AE","CS/B"},0)))</f>
        <v>0</v>
      </c>
      <c r="AY25" s="238"/>
      <c r="AZ25" s="238">
        <f t="shared" si="3"/>
        <v>0</v>
      </c>
      <c r="BA25" s="238">
        <f t="shared" si="4"/>
        <v>0</v>
      </c>
      <c r="BB25" s="238">
        <f t="shared" si="5"/>
        <v>0</v>
      </c>
      <c r="BC25" s="239">
        <f t="shared" si="6"/>
        <v>0</v>
      </c>
      <c r="BD25" s="238">
        <f t="shared" si="7"/>
        <v>0</v>
      </c>
      <c r="BE25" s="238">
        <f t="shared" si="8"/>
        <v>0</v>
      </c>
      <c r="BF25" s="238">
        <f t="shared" si="9"/>
        <v>0</v>
      </c>
      <c r="BG25" s="238">
        <f t="shared" si="10"/>
        <v>0</v>
      </c>
      <c r="BH25" s="238">
        <f t="shared" si="11"/>
        <v>0</v>
      </c>
      <c r="BI25" s="238">
        <f t="shared" si="12"/>
        <v>0</v>
      </c>
      <c r="BJ25" s="238">
        <f t="shared" si="13"/>
        <v>0</v>
      </c>
      <c r="BK25" s="238">
        <f t="shared" si="14"/>
        <v>0</v>
      </c>
      <c r="BL25" s="238">
        <f t="shared" si="15"/>
        <v>0</v>
      </c>
      <c r="BM25" s="238">
        <f t="shared" si="16"/>
        <v>0</v>
      </c>
      <c r="BN25" s="238">
        <f t="shared" si="17"/>
        <v>0</v>
      </c>
      <c r="BO25" s="238">
        <f t="shared" si="18"/>
        <v>0</v>
      </c>
      <c r="BP25" s="238">
        <f t="shared" si="19"/>
        <v>0</v>
      </c>
      <c r="BQ25" s="238">
        <f t="shared" si="20"/>
        <v>0</v>
      </c>
      <c r="BR25" s="240"/>
    </row>
    <row r="26" ht="19.5" customHeight="1" spans="1:70">
      <c r="A26" s="233"/>
      <c r="B26" s="186" t="s">
        <v>610</v>
      </c>
      <c r="C26" s="75"/>
      <c r="D26" s="75" t="s">
        <v>65</v>
      </c>
      <c r="E26" s="75"/>
      <c r="F26" s="137" t="s">
        <v>308</v>
      </c>
      <c r="G26" s="241"/>
      <c r="H26" s="136" t="s">
        <v>572</v>
      </c>
      <c r="I26" s="75" t="s">
        <v>350</v>
      </c>
      <c r="J26" s="75"/>
      <c r="K26" s="241" t="s">
        <v>176</v>
      </c>
      <c r="L26" s="241" t="s">
        <v>176</v>
      </c>
      <c r="M26" s="241" t="s">
        <v>176</v>
      </c>
      <c r="N26" s="75" t="s">
        <v>611</v>
      </c>
      <c r="O26" s="75" t="s">
        <v>310</v>
      </c>
      <c r="P26" s="75" t="s">
        <v>58</v>
      </c>
      <c r="Q26" s="75"/>
      <c r="R26" s="75" t="s">
        <v>65</v>
      </c>
      <c r="S26" s="75"/>
      <c r="T26" s="241"/>
      <c r="U26" s="136" t="s">
        <v>563</v>
      </c>
      <c r="V26" s="241" t="s">
        <v>612</v>
      </c>
      <c r="W26" s="241"/>
      <c r="X26" s="241"/>
      <c r="Y26" s="137" t="s">
        <v>65</v>
      </c>
      <c r="Z26" s="75"/>
      <c r="AA26" s="75" t="s">
        <v>245</v>
      </c>
      <c r="AB26" s="75"/>
      <c r="AC26" s="241"/>
      <c r="AD26" s="137" t="s">
        <v>65</v>
      </c>
      <c r="AE26" s="137"/>
      <c r="AF26" s="75"/>
      <c r="AG26" s="75"/>
      <c r="AH26" s="197"/>
      <c r="AI26" s="237">
        <f t="shared" ref="AI26:AQ26" si="41">COUNTIF($D26:$AE26,AI$4)</f>
        <v>0</v>
      </c>
      <c r="AJ26" s="248">
        <f t="shared" si="41"/>
        <v>0</v>
      </c>
      <c r="AK26" s="237">
        <f t="shared" si="41"/>
        <v>0</v>
      </c>
      <c r="AL26" s="237">
        <f t="shared" si="41"/>
        <v>0</v>
      </c>
      <c r="AM26" s="238">
        <f t="shared" si="41"/>
        <v>1</v>
      </c>
      <c r="AN26" s="238">
        <f t="shared" si="41"/>
        <v>0</v>
      </c>
      <c r="AO26" s="238">
        <f t="shared" si="41"/>
        <v>4</v>
      </c>
      <c r="AP26" s="238">
        <f t="shared" si="41"/>
        <v>0</v>
      </c>
      <c r="AQ26" s="238">
        <f t="shared" si="41"/>
        <v>0</v>
      </c>
      <c r="AR26" s="238"/>
      <c r="AS26" s="239">
        <v>2</v>
      </c>
      <c r="AT26" s="239"/>
      <c r="AU26" s="238">
        <f>SUMPRODUCT(--(WEEKDAY(C$3:AG$3,2)&lt;5),--ISNUMBER(MATCH(C26:AG26,{"DM","CS1","CS2","SB1","AE","CS/B"},0)))</f>
        <v>3</v>
      </c>
      <c r="AV26" s="238"/>
      <c r="AW26" s="238">
        <f>SUMPRODUCT(--(WEEKDAY(C$3:AG$3,2)=5),--ISNUMBER(MATCH(C26:AG26,{"DM","CS1","CS2","SB1","AE","CS/B"},0)))</f>
        <v>0</v>
      </c>
      <c r="AX26" s="238">
        <f>SUMPRODUCT(--(WEEKDAY(C$3:AG$3,2)&gt;5),--ISNUMBER(MATCH(C26:AG26,{"DM","CS1","CS2","SB1","AE","CS/B"},0)))</f>
        <v>2</v>
      </c>
      <c r="AY26" s="238"/>
      <c r="AZ26" s="238">
        <f t="shared" si="3"/>
        <v>9</v>
      </c>
      <c r="BA26" s="238">
        <f t="shared" si="4"/>
        <v>5</v>
      </c>
      <c r="BB26" s="238">
        <f t="shared" si="5"/>
        <v>4</v>
      </c>
      <c r="BC26" s="239">
        <f t="shared" si="6"/>
        <v>12.5</v>
      </c>
      <c r="BD26" s="238">
        <f t="shared" si="7"/>
        <v>3.5</v>
      </c>
      <c r="BE26" s="238">
        <f t="shared" si="8"/>
        <v>1</v>
      </c>
      <c r="BF26" s="238">
        <f t="shared" si="9"/>
        <v>1.5</v>
      </c>
      <c r="BG26" s="238">
        <f t="shared" si="10"/>
        <v>1</v>
      </c>
      <c r="BH26" s="238">
        <f t="shared" si="11"/>
        <v>1</v>
      </c>
      <c r="BI26" s="238">
        <f t="shared" si="12"/>
        <v>1</v>
      </c>
      <c r="BJ26" s="238">
        <f t="shared" si="13"/>
        <v>0.5</v>
      </c>
      <c r="BK26" s="238">
        <f t="shared" si="14"/>
        <v>1</v>
      </c>
      <c r="BL26" s="238">
        <f t="shared" si="15"/>
        <v>0.5</v>
      </c>
      <c r="BM26" s="238">
        <f t="shared" si="16"/>
        <v>0</v>
      </c>
      <c r="BN26" s="238">
        <f t="shared" si="17"/>
        <v>0</v>
      </c>
      <c r="BO26" s="238">
        <f t="shared" si="18"/>
        <v>0</v>
      </c>
      <c r="BP26" s="238">
        <f t="shared" si="19"/>
        <v>1</v>
      </c>
      <c r="BQ26" s="238">
        <f t="shared" si="20"/>
        <v>0</v>
      </c>
      <c r="BR26" s="240"/>
    </row>
    <row r="27" ht="19.5" customHeight="1" spans="1:70">
      <c r="A27" s="233"/>
      <c r="B27" s="277" t="s">
        <v>613</v>
      </c>
      <c r="C27" s="137"/>
      <c r="D27" s="137" t="s">
        <v>576</v>
      </c>
      <c r="E27" s="137" t="s">
        <v>576</v>
      </c>
      <c r="F27" s="137" t="s">
        <v>576</v>
      </c>
      <c r="G27" s="137" t="s">
        <v>576</v>
      </c>
      <c r="H27" s="136" t="s">
        <v>572</v>
      </c>
      <c r="I27" s="137"/>
      <c r="J27" s="137"/>
      <c r="K27" s="137"/>
      <c r="L27" s="137" t="s">
        <v>576</v>
      </c>
      <c r="M27" s="137" t="s">
        <v>576</v>
      </c>
      <c r="N27" s="137"/>
      <c r="O27" s="137" t="s">
        <v>612</v>
      </c>
      <c r="P27" s="137" t="s">
        <v>54</v>
      </c>
      <c r="Q27" s="137" t="s">
        <v>54</v>
      </c>
      <c r="R27" s="137" t="s">
        <v>54</v>
      </c>
      <c r="S27" s="137" t="s">
        <v>54</v>
      </c>
      <c r="T27" s="137" t="s">
        <v>54</v>
      </c>
      <c r="U27" s="137" t="s">
        <v>54</v>
      </c>
      <c r="V27" s="137" t="s">
        <v>54</v>
      </c>
      <c r="W27" s="137"/>
      <c r="X27" s="137"/>
      <c r="Y27" s="137"/>
      <c r="AA27" s="75"/>
      <c r="AC27" s="137"/>
      <c r="AD27" s="137"/>
      <c r="AE27" s="137"/>
      <c r="AF27" s="137"/>
      <c r="AG27" s="137"/>
      <c r="AH27" s="197"/>
      <c r="AI27" s="237">
        <f t="shared" ref="AI27:AQ27" si="42">COUNTIF($D27:$AE27,AI$4)</f>
        <v>0</v>
      </c>
      <c r="AJ27" s="248">
        <f t="shared" si="42"/>
        <v>0</v>
      </c>
      <c r="AK27" s="237">
        <f t="shared" si="42"/>
        <v>0</v>
      </c>
      <c r="AL27" s="237">
        <f t="shared" si="42"/>
        <v>0</v>
      </c>
      <c r="AM27" s="238">
        <f t="shared" si="42"/>
        <v>0</v>
      </c>
      <c r="AN27" s="238">
        <f t="shared" si="42"/>
        <v>0</v>
      </c>
      <c r="AO27" s="238">
        <f t="shared" si="42"/>
        <v>0</v>
      </c>
      <c r="AP27" s="238">
        <f t="shared" si="42"/>
        <v>6</v>
      </c>
      <c r="AQ27" s="238">
        <f t="shared" si="42"/>
        <v>0</v>
      </c>
      <c r="AR27" s="246"/>
      <c r="AS27" s="239"/>
      <c r="AT27" s="239"/>
      <c r="AU27" s="238">
        <f>SUMPRODUCT(--(WEEKDAY(C$3:AG$3,2)&lt;5),--ISNUMBER(MATCH(C27:AG27,{"DM","CS1","CS2","SB1","AE","CS/B"},0)))</f>
        <v>0</v>
      </c>
      <c r="AV27" s="238"/>
      <c r="AW27" s="238">
        <f>SUMPRODUCT(--(WEEKDAY(C$3:AG$3,2)=5),--ISNUMBER(MATCH(C27:AG27,{"DM","CS1","CS2","SB1","AE","CS/B"},0)))</f>
        <v>0</v>
      </c>
      <c r="AX27" s="238">
        <f>SUMPRODUCT(--(WEEKDAY(C$3:AG$3,2)&gt;5),--ISNUMBER(MATCH(C27:AG27,{"DM","CS1","CS2","SB1","AE","CS/B"},0)))</f>
        <v>0</v>
      </c>
      <c r="AY27" s="246"/>
      <c r="AZ27" s="238">
        <f t="shared" si="3"/>
        <v>3</v>
      </c>
      <c r="BA27" s="238">
        <f t="shared" si="4"/>
        <v>0</v>
      </c>
      <c r="BB27" s="238">
        <f t="shared" si="5"/>
        <v>0</v>
      </c>
      <c r="BC27" s="239">
        <f t="shared" si="6"/>
        <v>3</v>
      </c>
      <c r="BD27" s="238">
        <f t="shared" si="7"/>
        <v>0</v>
      </c>
      <c r="BE27" s="238">
        <f t="shared" si="8"/>
        <v>0</v>
      </c>
      <c r="BF27" s="238">
        <f t="shared" si="9"/>
        <v>0</v>
      </c>
      <c r="BG27" s="238">
        <f t="shared" si="10"/>
        <v>0</v>
      </c>
      <c r="BH27" s="238">
        <f t="shared" si="11"/>
        <v>0</v>
      </c>
      <c r="BI27" s="238">
        <f t="shared" si="12"/>
        <v>0</v>
      </c>
      <c r="BJ27" s="238">
        <f t="shared" si="13"/>
        <v>0</v>
      </c>
      <c r="BK27" s="238">
        <f t="shared" si="14"/>
        <v>0</v>
      </c>
      <c r="BL27" s="238">
        <f t="shared" si="15"/>
        <v>0</v>
      </c>
      <c r="BM27" s="238">
        <f t="shared" si="16"/>
        <v>0</v>
      </c>
      <c r="BN27" s="238">
        <f t="shared" si="17"/>
        <v>0</v>
      </c>
      <c r="BO27" s="238">
        <f t="shared" si="18"/>
        <v>0</v>
      </c>
      <c r="BP27" s="238">
        <f t="shared" si="19"/>
        <v>0</v>
      </c>
      <c r="BQ27" s="238">
        <f t="shared" si="20"/>
        <v>0</v>
      </c>
      <c r="BR27" s="247"/>
    </row>
    <row r="28" ht="19.5" customHeight="1" spans="1:70">
      <c r="A28" s="233"/>
      <c r="B28" s="186" t="s">
        <v>614</v>
      </c>
      <c r="C28" s="75" t="s">
        <v>566</v>
      </c>
      <c r="D28" s="75"/>
      <c r="E28" s="75" t="s">
        <v>573</v>
      </c>
      <c r="F28" s="75"/>
      <c r="G28" s="137" t="s">
        <v>595</v>
      </c>
      <c r="H28" s="137" t="s">
        <v>595</v>
      </c>
      <c r="I28" s="75" t="s">
        <v>615</v>
      </c>
      <c r="J28" s="75"/>
      <c r="K28" s="136"/>
      <c r="L28" s="136" t="s">
        <v>56</v>
      </c>
      <c r="M28" s="75"/>
      <c r="N28" s="136" t="s">
        <v>350</v>
      </c>
      <c r="O28" s="137" t="s">
        <v>616</v>
      </c>
      <c r="P28" s="75"/>
      <c r="Q28" s="75" t="s">
        <v>56</v>
      </c>
      <c r="R28" s="75"/>
      <c r="S28" s="75"/>
      <c r="T28" s="75"/>
      <c r="U28" s="136" t="s">
        <v>617</v>
      </c>
      <c r="V28" s="136"/>
      <c r="W28" s="136"/>
      <c r="X28" s="75"/>
      <c r="Y28" s="75"/>
      <c r="Z28" s="75" t="s">
        <v>59</v>
      </c>
      <c r="AB28" s="75"/>
      <c r="AC28" s="136"/>
      <c r="AD28" s="75"/>
      <c r="AE28" s="137"/>
      <c r="AF28" s="75"/>
      <c r="AG28" s="75"/>
      <c r="AH28" s="197"/>
      <c r="AI28" s="237">
        <f t="shared" ref="AI28:AQ28" si="43">COUNTIF($D28:$AE28,AI$4)</f>
        <v>0</v>
      </c>
      <c r="AJ28" s="248">
        <f t="shared" si="43"/>
        <v>2</v>
      </c>
      <c r="AK28" s="237">
        <f t="shared" si="43"/>
        <v>1</v>
      </c>
      <c r="AL28" s="237">
        <f t="shared" si="43"/>
        <v>0</v>
      </c>
      <c r="AM28" s="238">
        <f t="shared" si="43"/>
        <v>0</v>
      </c>
      <c r="AN28" s="238">
        <f t="shared" si="43"/>
        <v>0</v>
      </c>
      <c r="AO28" s="238">
        <f t="shared" si="43"/>
        <v>0</v>
      </c>
      <c r="AP28" s="238">
        <f t="shared" si="43"/>
        <v>0</v>
      </c>
      <c r="AQ28" s="238">
        <f t="shared" si="43"/>
        <v>0</v>
      </c>
      <c r="AR28" s="246"/>
      <c r="AS28" s="239"/>
      <c r="AT28" s="239"/>
      <c r="AU28" s="238">
        <f>SUMPRODUCT(--(WEEKDAY(C$3:AG$3,2)&lt;5),--ISNUMBER(MATCH(C28:AG28,{"DM","CS1","CS2","SB1","AE","CS/B"},0)))</f>
        <v>2</v>
      </c>
      <c r="AV28" s="246"/>
      <c r="AW28" s="238">
        <f>SUMPRODUCT(--(WEEKDAY(C$3:AG$3,2)=5),--ISNUMBER(MATCH(C28:AG28,{"DM","CS1","CS2","SB1","AE","CS/B"},0)))</f>
        <v>0</v>
      </c>
      <c r="AX28" s="238">
        <f>SUMPRODUCT(--(WEEKDAY(C$3:AG$3,2)&gt;5),--ISNUMBER(MATCH(C28:AG28,{"DM","CS1","CS2","SB1","AE","CS/B"},0)))</f>
        <v>2</v>
      </c>
      <c r="AY28" s="246"/>
      <c r="AZ28" s="238">
        <f t="shared" si="3"/>
        <v>6</v>
      </c>
      <c r="BA28" s="238">
        <f t="shared" si="4"/>
        <v>4</v>
      </c>
      <c r="BB28" s="238">
        <f t="shared" si="5"/>
        <v>5</v>
      </c>
      <c r="BC28" s="239">
        <f t="shared" si="6"/>
        <v>10</v>
      </c>
      <c r="BD28" s="238">
        <f t="shared" si="7"/>
        <v>4</v>
      </c>
      <c r="BE28" s="238">
        <f t="shared" si="8"/>
        <v>0</v>
      </c>
      <c r="BF28" s="238">
        <f t="shared" si="9"/>
        <v>0</v>
      </c>
      <c r="BG28" s="238">
        <f t="shared" si="10"/>
        <v>1</v>
      </c>
      <c r="BH28" s="238">
        <f t="shared" si="11"/>
        <v>1</v>
      </c>
      <c r="BI28" s="238">
        <f t="shared" si="12"/>
        <v>1</v>
      </c>
      <c r="BJ28" s="238">
        <f t="shared" si="13"/>
        <v>0.5</v>
      </c>
      <c r="BK28" s="238">
        <f t="shared" si="14"/>
        <v>1</v>
      </c>
      <c r="BL28" s="238">
        <f t="shared" si="15"/>
        <v>0.5</v>
      </c>
      <c r="BM28" s="238">
        <f t="shared" si="16"/>
        <v>2</v>
      </c>
      <c r="BN28" s="238">
        <f t="shared" si="17"/>
        <v>2</v>
      </c>
      <c r="BO28" s="238">
        <f t="shared" si="18"/>
        <v>0</v>
      </c>
      <c r="BP28" s="238">
        <f t="shared" si="19"/>
        <v>1</v>
      </c>
      <c r="BQ28" s="238">
        <f t="shared" si="20"/>
        <v>0</v>
      </c>
      <c r="BR28" s="247"/>
    </row>
    <row r="29" ht="19.5" customHeight="1" spans="1:70">
      <c r="A29" s="233"/>
      <c r="B29" s="186" t="s">
        <v>618</v>
      </c>
      <c r="C29" s="137"/>
      <c r="D29" s="136"/>
      <c r="E29" s="136"/>
      <c r="F29" s="137"/>
      <c r="G29" s="137" t="s">
        <v>308</v>
      </c>
      <c r="H29" s="136" t="s">
        <v>572</v>
      </c>
      <c r="I29" s="244"/>
      <c r="J29" s="244"/>
      <c r="K29" s="136"/>
      <c r="L29" s="136" t="s">
        <v>573</v>
      </c>
      <c r="M29" s="244"/>
      <c r="N29" s="1" t="s">
        <v>619</v>
      </c>
      <c r="O29" s="242" t="s">
        <v>55</v>
      </c>
      <c r="P29" s="137"/>
      <c r="Q29" s="137"/>
      <c r="R29" s="244"/>
      <c r="S29" s="137"/>
      <c r="T29" s="137"/>
      <c r="U29" s="137" t="s">
        <v>93</v>
      </c>
      <c r="V29" s="136" t="s">
        <v>59</v>
      </c>
      <c r="W29" s="136"/>
      <c r="X29" s="136"/>
      <c r="Y29" s="75" t="s">
        <v>56</v>
      </c>
      <c r="Z29" s="136" t="s">
        <v>93</v>
      </c>
      <c r="AA29" s="136" t="s">
        <v>58</v>
      </c>
      <c r="AB29" s="244"/>
      <c r="AD29" s="137" t="s">
        <v>350</v>
      </c>
      <c r="AE29" s="137"/>
      <c r="AF29" s="137"/>
      <c r="AG29" s="137"/>
      <c r="AH29" s="197"/>
      <c r="AI29" s="237">
        <f t="shared" ref="AI29:AQ29" si="44">COUNTIF($D29:$AE29,AI$4)</f>
        <v>0</v>
      </c>
      <c r="AJ29" s="248">
        <f t="shared" si="44"/>
        <v>1</v>
      </c>
      <c r="AK29" s="237">
        <f t="shared" si="44"/>
        <v>1</v>
      </c>
      <c r="AL29" s="237">
        <f t="shared" si="44"/>
        <v>0</v>
      </c>
      <c r="AM29" s="238">
        <f t="shared" si="44"/>
        <v>1</v>
      </c>
      <c r="AN29" s="238">
        <f t="shared" si="44"/>
        <v>2</v>
      </c>
      <c r="AO29" s="238">
        <f t="shared" si="44"/>
        <v>0</v>
      </c>
      <c r="AP29" s="238">
        <f t="shared" si="44"/>
        <v>0</v>
      </c>
      <c r="AQ29" s="238">
        <f t="shared" si="44"/>
        <v>0</v>
      </c>
      <c r="AR29" s="246"/>
      <c r="AS29" s="239">
        <v>0.5</v>
      </c>
      <c r="AT29" s="239"/>
      <c r="AU29" s="238">
        <f>SUMPRODUCT(--(WEEKDAY(C$3:AG$3,2)&lt;5),--ISNUMBER(MATCH(C29:AG29,{"DM","CS1","CS2","SB1","AE","CS/B"},0)))</f>
        <v>2</v>
      </c>
      <c r="AV29" s="246"/>
      <c r="AW29" s="238">
        <f>SUMPRODUCT(--(WEEKDAY(C$3:AG$3,2)=5),--ISNUMBER(MATCH(C29:AG29,{"DM","CS1","CS2","SB1","AE","CS/B"},0)))</f>
        <v>1</v>
      </c>
      <c r="AX29" s="238">
        <f>SUMPRODUCT(--(WEEKDAY(C$3:AG$3,2)&gt;5),--ISNUMBER(MATCH(C29:AG29,{"DM","CS1","CS2","SB1","AE","CS/B"},0)))</f>
        <v>0</v>
      </c>
      <c r="AY29" s="246"/>
      <c r="AZ29" s="238">
        <f t="shared" si="3"/>
        <v>5</v>
      </c>
      <c r="BA29" s="238">
        <f t="shared" si="4"/>
        <v>3</v>
      </c>
      <c r="BB29" s="238">
        <f t="shared" si="5"/>
        <v>2</v>
      </c>
      <c r="BC29" s="239">
        <f t="shared" si="6"/>
        <v>7</v>
      </c>
      <c r="BD29" s="238">
        <f t="shared" si="7"/>
        <v>2</v>
      </c>
      <c r="BE29" s="238">
        <f t="shared" si="8"/>
        <v>1</v>
      </c>
      <c r="BF29" s="238">
        <f t="shared" si="9"/>
        <v>1.5</v>
      </c>
      <c r="BG29" s="238">
        <f t="shared" si="10"/>
        <v>0</v>
      </c>
      <c r="BH29" s="238">
        <f t="shared" si="11"/>
        <v>0</v>
      </c>
      <c r="BI29" s="238">
        <f t="shared" si="12"/>
        <v>1</v>
      </c>
      <c r="BJ29" s="238">
        <f t="shared" si="13"/>
        <v>0.5</v>
      </c>
      <c r="BK29" s="238">
        <f t="shared" si="14"/>
        <v>0</v>
      </c>
      <c r="BL29" s="238">
        <f t="shared" si="15"/>
        <v>0</v>
      </c>
      <c r="BM29" s="238">
        <f t="shared" si="16"/>
        <v>0</v>
      </c>
      <c r="BN29" s="238">
        <f t="shared" si="17"/>
        <v>0</v>
      </c>
      <c r="BO29" s="238">
        <f t="shared" si="18"/>
        <v>0</v>
      </c>
      <c r="BP29" s="238">
        <f t="shared" si="19"/>
        <v>0</v>
      </c>
      <c r="BQ29" s="238">
        <f t="shared" si="20"/>
        <v>1</v>
      </c>
      <c r="BR29" s="247"/>
    </row>
    <row r="30" ht="19.5" customHeight="1" spans="1:70">
      <c r="A30" s="233"/>
      <c r="B30" s="278" t="s">
        <v>473</v>
      </c>
      <c r="C30" s="241" t="s">
        <v>569</v>
      </c>
      <c r="D30" s="136"/>
      <c r="E30" s="75"/>
      <c r="F30" s="75"/>
      <c r="G30" s="75"/>
      <c r="H30" s="75" t="s">
        <v>350</v>
      </c>
      <c r="I30" s="75"/>
      <c r="J30" s="75"/>
      <c r="K30" s="75"/>
      <c r="L30" s="75"/>
      <c r="M30" s="75"/>
      <c r="N30" s="75"/>
      <c r="O30" s="75"/>
      <c r="P30" s="75"/>
      <c r="Q30" s="75" t="s">
        <v>57</v>
      </c>
      <c r="R30" s="241" t="s">
        <v>570</v>
      </c>
      <c r="S30" s="75"/>
      <c r="T30" s="75"/>
      <c r="U30" s="75"/>
      <c r="V30" s="75"/>
      <c r="W30" s="75"/>
      <c r="X30" s="75"/>
      <c r="Y30" s="136"/>
      <c r="Z30" s="75"/>
      <c r="AA30" s="136"/>
      <c r="AB30" s="75"/>
      <c r="AC30" s="75"/>
      <c r="AD30" s="75"/>
      <c r="AE30" s="75"/>
      <c r="AF30" s="75"/>
      <c r="AG30" s="75"/>
      <c r="AH30" s="197"/>
      <c r="AI30" s="237">
        <f t="shared" ref="AI30:AQ30" si="45">COUNTIF($D30:$AE30,AI$4)</f>
        <v>1</v>
      </c>
      <c r="AJ30" s="248">
        <f t="shared" si="45"/>
        <v>0</v>
      </c>
      <c r="AK30" s="237">
        <f t="shared" si="45"/>
        <v>0</v>
      </c>
      <c r="AL30" s="237">
        <f t="shared" si="45"/>
        <v>0</v>
      </c>
      <c r="AM30" s="238">
        <f t="shared" si="45"/>
        <v>0</v>
      </c>
      <c r="AN30" s="238">
        <f t="shared" si="45"/>
        <v>0</v>
      </c>
      <c r="AO30" s="238">
        <f t="shared" si="45"/>
        <v>0</v>
      </c>
      <c r="AP30" s="238">
        <f t="shared" si="45"/>
        <v>0</v>
      </c>
      <c r="AQ30" s="238">
        <f t="shared" si="45"/>
        <v>0</v>
      </c>
      <c r="AR30" s="246"/>
      <c r="AS30" s="239"/>
      <c r="AT30" s="239"/>
      <c r="AU30" s="238">
        <f>SUMPRODUCT(--(WEEKDAY(C$3:AG$3,2)&lt;5),--ISNUMBER(MATCH(C30:AG30,{"DM","CS1","CS2","SB1","AE","CS/B"},0)))</f>
        <v>0</v>
      </c>
      <c r="AV30" s="246"/>
      <c r="AW30" s="238">
        <f>SUMPRODUCT(--(WEEKDAY(C$3:AG$3,2)=5),--ISNUMBER(MATCH(C30:AG30,{"DM","CS1","CS2","SB1","AE","CS/B"},0)))</f>
        <v>0</v>
      </c>
      <c r="AX30" s="238">
        <f>SUMPRODUCT(--(WEEKDAY(C$3:AG$3,2)&gt;5),--ISNUMBER(MATCH(C30:AG30,{"DM","CS1","CS2","SB1","AE","CS/B"},0)))</f>
        <v>1</v>
      </c>
      <c r="AY30" s="246"/>
      <c r="AZ30" s="238">
        <f t="shared" si="3"/>
        <v>2</v>
      </c>
      <c r="BA30" s="238">
        <f t="shared" si="4"/>
        <v>1</v>
      </c>
      <c r="BB30" s="238">
        <f t="shared" si="5"/>
        <v>0</v>
      </c>
      <c r="BC30" s="239">
        <f t="shared" si="6"/>
        <v>2</v>
      </c>
      <c r="BD30" s="238">
        <f t="shared" si="7"/>
        <v>0</v>
      </c>
      <c r="BE30" s="238">
        <f t="shared" si="8"/>
        <v>0</v>
      </c>
      <c r="BF30" s="238">
        <f t="shared" si="9"/>
        <v>0</v>
      </c>
      <c r="BG30" s="238">
        <f t="shared" si="10"/>
        <v>0</v>
      </c>
      <c r="BH30" s="238">
        <f t="shared" si="11"/>
        <v>0</v>
      </c>
      <c r="BI30" s="238">
        <f t="shared" si="12"/>
        <v>0</v>
      </c>
      <c r="BJ30" s="238">
        <f t="shared" si="13"/>
        <v>0</v>
      </c>
      <c r="BK30" s="238">
        <f t="shared" si="14"/>
        <v>0</v>
      </c>
      <c r="BL30" s="238">
        <f t="shared" si="15"/>
        <v>0</v>
      </c>
      <c r="BM30" s="238">
        <f t="shared" si="16"/>
        <v>0</v>
      </c>
      <c r="BN30" s="238">
        <f t="shared" si="17"/>
        <v>0</v>
      </c>
      <c r="BO30" s="238">
        <f t="shared" si="18"/>
        <v>0</v>
      </c>
      <c r="BP30" s="238">
        <f t="shared" si="19"/>
        <v>1</v>
      </c>
      <c r="BQ30" s="238">
        <f t="shared" si="20"/>
        <v>0</v>
      </c>
      <c r="BR30" s="247"/>
    </row>
    <row r="31" ht="19.5" customHeight="1" spans="1:70">
      <c r="A31" s="233"/>
      <c r="B31" s="279" t="s">
        <v>442</v>
      </c>
      <c r="C31" s="137"/>
      <c r="D31" s="136" t="s">
        <v>566</v>
      </c>
      <c r="E31" s="136"/>
      <c r="F31" s="136" t="s">
        <v>573</v>
      </c>
      <c r="G31" s="137" t="s">
        <v>620</v>
      </c>
      <c r="H31" s="137" t="s">
        <v>56</v>
      </c>
      <c r="I31" s="244"/>
      <c r="J31" s="244" t="s">
        <v>621</v>
      </c>
      <c r="K31" s="244" t="s">
        <v>453</v>
      </c>
      <c r="L31" s="137" t="s">
        <v>57</v>
      </c>
      <c r="M31" s="137"/>
      <c r="N31" s="136" t="s">
        <v>93</v>
      </c>
      <c r="O31" s="244"/>
      <c r="P31" s="242" t="s">
        <v>54</v>
      </c>
      <c r="Q31" s="242" t="s">
        <v>54</v>
      </c>
      <c r="R31" s="242" t="s">
        <v>54</v>
      </c>
      <c r="S31" s="242" t="s">
        <v>54</v>
      </c>
      <c r="T31" s="242" t="s">
        <v>54</v>
      </c>
      <c r="U31" s="244" t="s">
        <v>186</v>
      </c>
      <c r="V31" s="242" t="s">
        <v>54</v>
      </c>
      <c r="W31" s="244"/>
      <c r="X31" s="244"/>
      <c r="Y31" s="75"/>
      <c r="Z31" s="137"/>
      <c r="AA31" s="136" t="s">
        <v>57</v>
      </c>
      <c r="AB31" s="137" t="s">
        <v>622</v>
      </c>
      <c r="AC31" s="137"/>
      <c r="AD31" s="137" t="s">
        <v>59</v>
      </c>
      <c r="AE31" s="137"/>
      <c r="AF31" s="137"/>
      <c r="AG31" s="137"/>
      <c r="AH31" s="53"/>
      <c r="AI31" s="237">
        <f t="shared" ref="AI31:AQ31" si="46">COUNTIF($D31:$AE31,AI$4)</f>
        <v>2</v>
      </c>
      <c r="AJ31" s="248">
        <f t="shared" si="46"/>
        <v>1</v>
      </c>
      <c r="AK31" s="237">
        <f t="shared" si="46"/>
        <v>1</v>
      </c>
      <c r="AL31" s="237">
        <f t="shared" si="46"/>
        <v>1</v>
      </c>
      <c r="AM31" s="238">
        <f t="shared" si="46"/>
        <v>0</v>
      </c>
      <c r="AN31" s="238">
        <f t="shared" si="46"/>
        <v>1</v>
      </c>
      <c r="AO31" s="238">
        <f t="shared" si="46"/>
        <v>0</v>
      </c>
      <c r="AP31" s="238">
        <f t="shared" si="46"/>
        <v>0</v>
      </c>
      <c r="AQ31" s="238">
        <f t="shared" si="46"/>
        <v>0</v>
      </c>
      <c r="AR31" s="246"/>
      <c r="AS31" s="239"/>
      <c r="AT31" s="239">
        <v>0.5</v>
      </c>
      <c r="AU31" s="238">
        <f>SUMPRODUCT(--(WEEKDAY(C$3:AG$3,2)&lt;5),--ISNUMBER(MATCH(C31:AG31,{"DM","CS1","CS2","SB1","AE","CS/B"},0)))</f>
        <v>3</v>
      </c>
      <c r="AV31" s="246"/>
      <c r="AW31" s="238">
        <f>SUMPRODUCT(--(WEEKDAY(C$3:AG$3,2)=5),--ISNUMBER(MATCH(C31:AG31,{"DM","CS1","CS2","SB1","AE","CS/B"},0)))</f>
        <v>1</v>
      </c>
      <c r="AX31" s="238">
        <f>SUMPRODUCT(--(WEEKDAY(C$3:AG$3,2)&gt;5),--ISNUMBER(MATCH(C31:AG31,{"DM","CS1","CS2","SB1","AE","CS/B"},0)))</f>
        <v>1</v>
      </c>
      <c r="AY31" s="246"/>
      <c r="AZ31" s="238">
        <f t="shared" si="3"/>
        <v>6.5</v>
      </c>
      <c r="BA31" s="238">
        <f t="shared" si="4"/>
        <v>5</v>
      </c>
      <c r="BB31" s="238">
        <f t="shared" si="5"/>
        <v>2</v>
      </c>
      <c r="BC31" s="239">
        <f t="shared" si="6"/>
        <v>8</v>
      </c>
      <c r="BD31" s="238">
        <f t="shared" si="7"/>
        <v>1.5</v>
      </c>
      <c r="BE31" s="238">
        <f t="shared" si="8"/>
        <v>0</v>
      </c>
      <c r="BF31" s="238">
        <f t="shared" si="9"/>
        <v>0</v>
      </c>
      <c r="BG31" s="238">
        <f t="shared" si="10"/>
        <v>1</v>
      </c>
      <c r="BH31" s="238">
        <f t="shared" si="11"/>
        <v>1</v>
      </c>
      <c r="BI31" s="238">
        <f t="shared" si="12"/>
        <v>0</v>
      </c>
      <c r="BJ31" s="238">
        <f t="shared" si="13"/>
        <v>0</v>
      </c>
      <c r="BK31" s="238">
        <f t="shared" si="14"/>
        <v>1</v>
      </c>
      <c r="BL31" s="238">
        <f t="shared" si="15"/>
        <v>0.5</v>
      </c>
      <c r="BM31" s="238">
        <f t="shared" si="16"/>
        <v>0</v>
      </c>
      <c r="BN31" s="238">
        <f t="shared" si="17"/>
        <v>0</v>
      </c>
      <c r="BO31" s="238">
        <f t="shared" si="18"/>
        <v>0</v>
      </c>
      <c r="BP31" s="238">
        <f t="shared" si="19"/>
        <v>0</v>
      </c>
      <c r="BQ31" s="238">
        <f t="shared" si="20"/>
        <v>0</v>
      </c>
      <c r="BR31" s="247"/>
    </row>
    <row r="32" ht="19.5" customHeight="1" spans="1:70">
      <c r="A32" s="233"/>
      <c r="B32" s="279" t="s">
        <v>623</v>
      </c>
      <c r="C32" s="75"/>
      <c r="D32" s="75"/>
      <c r="E32" s="137" t="s">
        <v>236</v>
      </c>
      <c r="F32" s="137" t="s">
        <v>576</v>
      </c>
      <c r="G32" s="136" t="s">
        <v>566</v>
      </c>
      <c r="H32" s="136" t="s">
        <v>572</v>
      </c>
      <c r="I32" s="75" t="s">
        <v>59</v>
      </c>
      <c r="J32" s="137"/>
      <c r="K32" s="137" t="s">
        <v>576</v>
      </c>
      <c r="L32" s="75" t="s">
        <v>93</v>
      </c>
      <c r="M32" s="75" t="s">
        <v>624</v>
      </c>
      <c r="O32" s="136"/>
      <c r="P32" s="75" t="s">
        <v>54</v>
      </c>
      <c r="Q32" s="75" t="s">
        <v>54</v>
      </c>
      <c r="R32" s="75" t="s">
        <v>54</v>
      </c>
      <c r="S32" s="75" t="s">
        <v>54</v>
      </c>
      <c r="T32" s="75" t="s">
        <v>54</v>
      </c>
      <c r="U32" s="75" t="s">
        <v>54</v>
      </c>
      <c r="V32" s="75" t="s">
        <v>54</v>
      </c>
      <c r="W32" s="75" t="s">
        <v>54</v>
      </c>
      <c r="X32" s="75" t="s">
        <v>54</v>
      </c>
      <c r="Y32" s="75" t="s">
        <v>54</v>
      </c>
      <c r="Z32" s="75" t="s">
        <v>54</v>
      </c>
      <c r="AA32" s="75" t="s">
        <v>54</v>
      </c>
      <c r="AB32" s="75" t="s">
        <v>54</v>
      </c>
      <c r="AC32" s="75" t="s">
        <v>54</v>
      </c>
      <c r="AD32" s="75"/>
      <c r="AE32" s="75"/>
      <c r="AF32" s="75"/>
      <c r="AG32" s="75"/>
      <c r="AH32" s="197"/>
      <c r="AI32" s="237">
        <f t="shared" ref="AI32:AQ32" si="47">COUNTIF($D32:$AE32,AI$4)</f>
        <v>0</v>
      </c>
      <c r="AJ32" s="248">
        <f t="shared" si="47"/>
        <v>0</v>
      </c>
      <c r="AK32" s="237">
        <f t="shared" si="47"/>
        <v>1</v>
      </c>
      <c r="AL32" s="237">
        <f t="shared" si="47"/>
        <v>1</v>
      </c>
      <c r="AM32" s="238">
        <f t="shared" si="47"/>
        <v>0</v>
      </c>
      <c r="AN32" s="238">
        <f t="shared" si="47"/>
        <v>1</v>
      </c>
      <c r="AO32" s="238">
        <f t="shared" si="47"/>
        <v>0</v>
      </c>
      <c r="AP32" s="238">
        <f t="shared" si="47"/>
        <v>2</v>
      </c>
      <c r="AQ32" s="238">
        <f t="shared" si="47"/>
        <v>0</v>
      </c>
      <c r="AR32" s="246"/>
      <c r="AS32" s="239">
        <v>1</v>
      </c>
      <c r="AT32" s="239"/>
      <c r="AU32" s="238">
        <f>SUMPRODUCT(--(WEEKDAY(C$3:AG$3,2)&lt;5),--ISNUMBER(MATCH(C32:AG32,{"DM","CS1","CS2","SB1","AE","CS/B"},0)))</f>
        <v>1</v>
      </c>
      <c r="AV32" s="246"/>
      <c r="AW32" s="238">
        <f>SUMPRODUCT(--(WEEKDAY(C$3:AG$3,2)=5),--ISNUMBER(MATCH(C32:AG32,{"DM","CS1","CS2","SB1","AE","CS/B"},0)))</f>
        <v>0</v>
      </c>
      <c r="AX32" s="238">
        <f>SUMPRODUCT(--(WEEKDAY(C$3:AG$3,2)&gt;5),--ISNUMBER(MATCH(C32:AG32,{"DM","CS1","CS2","SB1","AE","CS/B"},0)))</f>
        <v>1</v>
      </c>
      <c r="AY32" s="246"/>
      <c r="AZ32" s="238">
        <f t="shared" si="3"/>
        <v>5.5</v>
      </c>
      <c r="BA32" s="238">
        <f t="shared" si="4"/>
        <v>2</v>
      </c>
      <c r="BB32" s="238">
        <f t="shared" si="5"/>
        <v>2</v>
      </c>
      <c r="BC32" s="239">
        <f t="shared" si="6"/>
        <v>7.5</v>
      </c>
      <c r="BD32" s="238">
        <f t="shared" si="7"/>
        <v>2</v>
      </c>
      <c r="BE32" s="238">
        <f t="shared" si="8"/>
        <v>1</v>
      </c>
      <c r="BF32" s="238">
        <f t="shared" si="9"/>
        <v>1.5</v>
      </c>
      <c r="BG32" s="238">
        <f t="shared" si="10"/>
        <v>0</v>
      </c>
      <c r="BH32" s="238">
        <f t="shared" si="11"/>
        <v>0</v>
      </c>
      <c r="BI32" s="238">
        <f t="shared" si="12"/>
        <v>0</v>
      </c>
      <c r="BJ32" s="238">
        <f t="shared" si="13"/>
        <v>0</v>
      </c>
      <c r="BK32" s="238">
        <f t="shared" si="14"/>
        <v>1</v>
      </c>
      <c r="BL32" s="238">
        <f t="shared" si="15"/>
        <v>0.5</v>
      </c>
      <c r="BM32" s="238">
        <f t="shared" si="16"/>
        <v>0</v>
      </c>
      <c r="BN32" s="238">
        <f t="shared" si="17"/>
        <v>0</v>
      </c>
      <c r="BO32" s="238">
        <f t="shared" si="18"/>
        <v>0</v>
      </c>
      <c r="BP32" s="238">
        <f t="shared" si="19"/>
        <v>0</v>
      </c>
      <c r="BQ32" s="238">
        <f t="shared" si="20"/>
        <v>0</v>
      </c>
      <c r="BR32" s="247"/>
    </row>
    <row r="33" ht="19.5" customHeight="1" spans="1:70">
      <c r="A33" s="233"/>
      <c r="B33" s="186" t="s">
        <v>625</v>
      </c>
      <c r="C33" s="137"/>
      <c r="D33" s="137" t="s">
        <v>576</v>
      </c>
      <c r="E33" s="137" t="s">
        <v>65</v>
      </c>
      <c r="F33" s="280"/>
      <c r="G33" s="137"/>
      <c r="H33" s="137" t="s">
        <v>572</v>
      </c>
      <c r="I33" s="280"/>
      <c r="J33" s="280"/>
      <c r="K33" s="136" t="s">
        <v>626</v>
      </c>
      <c r="L33" s="137" t="s">
        <v>58</v>
      </c>
      <c r="M33" s="137" t="s">
        <v>590</v>
      </c>
      <c r="N33" s="137" t="s">
        <v>590</v>
      </c>
      <c r="O33" s="137" t="s">
        <v>65</v>
      </c>
      <c r="P33" s="280"/>
      <c r="Q33" s="280"/>
      <c r="R33" s="137" t="s">
        <v>566</v>
      </c>
      <c r="S33" s="137"/>
      <c r="T33" s="137" t="s">
        <v>65</v>
      </c>
      <c r="U33" s="137"/>
      <c r="V33" s="244"/>
      <c r="W33" s="244"/>
      <c r="X33" s="244"/>
      <c r="Y33" s="137" t="s">
        <v>566</v>
      </c>
      <c r="Z33" s="137" t="s">
        <v>69</v>
      </c>
      <c r="AB33" s="136"/>
      <c r="AC33" s="75" t="s">
        <v>56</v>
      </c>
      <c r="AD33" s="137"/>
      <c r="AE33" s="137"/>
      <c r="AF33" s="137"/>
      <c r="AG33" s="137"/>
      <c r="AH33" s="197"/>
      <c r="AI33" s="237">
        <f t="shared" ref="AI33:AQ33" si="48">COUNTIF($D33:$AE33,AI$4)</f>
        <v>0</v>
      </c>
      <c r="AJ33" s="248">
        <f t="shared" si="48"/>
        <v>1</v>
      </c>
      <c r="AK33" s="237">
        <f t="shared" si="48"/>
        <v>0</v>
      </c>
      <c r="AL33" s="237">
        <f t="shared" si="48"/>
        <v>2</v>
      </c>
      <c r="AM33" s="238">
        <f t="shared" si="48"/>
        <v>1</v>
      </c>
      <c r="AN33" s="238">
        <f t="shared" si="48"/>
        <v>0</v>
      </c>
      <c r="AO33" s="238">
        <f t="shared" si="48"/>
        <v>3</v>
      </c>
      <c r="AP33" s="238">
        <f t="shared" si="48"/>
        <v>1</v>
      </c>
      <c r="AQ33" s="238">
        <f t="shared" si="48"/>
        <v>0</v>
      </c>
      <c r="AR33" s="246"/>
      <c r="AS33" s="239"/>
      <c r="AT33" s="239"/>
      <c r="AU33" s="238">
        <f>SUMPRODUCT(--(WEEKDAY(C$3:AG$3,2)&lt;5),--ISNUMBER(MATCH(C33:AG33,{"DM","CS1","CS2","SB1","AE","CS/B"},0)))</f>
        <v>5</v>
      </c>
      <c r="AV33" s="246"/>
      <c r="AW33" s="238">
        <f>SUMPRODUCT(--(WEEKDAY(C$3:AG$3,2)=5),--ISNUMBER(MATCH(C33:AG33,{"DM","CS1","CS2","SB1","AE","CS/B"},0)))</f>
        <v>2</v>
      </c>
      <c r="AX33" s="238">
        <f>SUMPRODUCT(--(WEEKDAY(C$3:AG$3,2)&gt;5),--ISNUMBER(MATCH(C33:AG33,{"DM","CS1","CS2","SB1","AE","CS/B"},0)))</f>
        <v>0</v>
      </c>
      <c r="AY33" s="246"/>
      <c r="AZ33" s="238">
        <f t="shared" si="3"/>
        <v>8.5</v>
      </c>
      <c r="BA33" s="238">
        <f t="shared" si="4"/>
        <v>7</v>
      </c>
      <c r="BB33" s="238">
        <f t="shared" si="5"/>
        <v>0</v>
      </c>
      <c r="BC33" s="239">
        <f t="shared" si="6"/>
        <v>8.5</v>
      </c>
      <c r="BD33" s="238">
        <f t="shared" si="7"/>
        <v>0</v>
      </c>
      <c r="BE33" s="238">
        <f t="shared" si="8"/>
        <v>0</v>
      </c>
      <c r="BF33" s="238">
        <f t="shared" si="9"/>
        <v>0</v>
      </c>
      <c r="BG33" s="238">
        <f t="shared" si="10"/>
        <v>0</v>
      </c>
      <c r="BH33" s="238">
        <f t="shared" si="11"/>
        <v>0</v>
      </c>
      <c r="BI33" s="238">
        <f t="shared" si="12"/>
        <v>0</v>
      </c>
      <c r="BJ33" s="238">
        <f t="shared" si="13"/>
        <v>0</v>
      </c>
      <c r="BK33" s="238">
        <f t="shared" si="14"/>
        <v>0</v>
      </c>
      <c r="BL33" s="238">
        <f t="shared" si="15"/>
        <v>0</v>
      </c>
      <c r="BM33" s="238">
        <f t="shared" si="16"/>
        <v>0</v>
      </c>
      <c r="BN33" s="238">
        <f t="shared" si="17"/>
        <v>0</v>
      </c>
      <c r="BO33" s="238">
        <f t="shared" si="18"/>
        <v>0</v>
      </c>
      <c r="BP33" s="238">
        <f t="shared" si="19"/>
        <v>0</v>
      </c>
      <c r="BQ33" s="238">
        <f t="shared" si="20"/>
        <v>0</v>
      </c>
      <c r="BR33" s="247"/>
    </row>
    <row r="34" ht="19.5" customHeight="1" spans="1:70">
      <c r="A34" s="233"/>
      <c r="B34" s="270" t="s">
        <v>627</v>
      </c>
      <c r="C34" s="75"/>
      <c r="D34" s="75"/>
      <c r="E34" s="75" t="s">
        <v>628</v>
      </c>
      <c r="F34" s="75"/>
      <c r="G34" s="136"/>
      <c r="H34" s="137" t="s">
        <v>629</v>
      </c>
      <c r="I34" s="75" t="s">
        <v>58</v>
      </c>
      <c r="J34" s="75"/>
      <c r="K34" s="137" t="s">
        <v>576</v>
      </c>
      <c r="L34" s="187" t="s">
        <v>630</v>
      </c>
      <c r="M34" s="136"/>
      <c r="N34" s="136" t="s">
        <v>631</v>
      </c>
      <c r="O34" s="136" t="s">
        <v>59</v>
      </c>
      <c r="P34" s="75"/>
      <c r="Q34" s="75"/>
      <c r="R34" s="136"/>
      <c r="S34" s="75" t="s">
        <v>56</v>
      </c>
      <c r="T34" s="137"/>
      <c r="U34" s="136" t="s">
        <v>563</v>
      </c>
      <c r="V34" s="136" t="s">
        <v>563</v>
      </c>
      <c r="W34" s="75"/>
      <c r="X34" s="53" t="s">
        <v>350</v>
      </c>
      <c r="Y34" s="75"/>
      <c r="Z34" s="75" t="s">
        <v>246</v>
      </c>
      <c r="AA34" s="136"/>
      <c r="AB34" s="136" t="s">
        <v>632</v>
      </c>
      <c r="AC34" s="75"/>
      <c r="AD34" s="75"/>
      <c r="AE34" s="75"/>
      <c r="AF34" s="75"/>
      <c r="AG34" s="75"/>
      <c r="AH34" s="197"/>
      <c r="AI34" s="237">
        <f t="shared" ref="AI34:AQ34" si="49">COUNTIF($D34:$AE34,AI$4)</f>
        <v>0</v>
      </c>
      <c r="AJ34" s="248">
        <f t="shared" si="49"/>
        <v>1</v>
      </c>
      <c r="AK34" s="237">
        <f t="shared" si="49"/>
        <v>1</v>
      </c>
      <c r="AL34" s="237">
        <f t="shared" si="49"/>
        <v>0</v>
      </c>
      <c r="AM34" s="238">
        <f t="shared" si="49"/>
        <v>1</v>
      </c>
      <c r="AN34" s="238">
        <f t="shared" si="49"/>
        <v>0</v>
      </c>
      <c r="AO34" s="238">
        <f t="shared" si="49"/>
        <v>0</v>
      </c>
      <c r="AP34" s="238">
        <f t="shared" si="49"/>
        <v>1</v>
      </c>
      <c r="AQ34" s="238">
        <f t="shared" si="49"/>
        <v>0</v>
      </c>
      <c r="AR34" s="246"/>
      <c r="AS34" s="239"/>
      <c r="AT34" s="239">
        <v>1</v>
      </c>
      <c r="AU34" s="238">
        <f>SUMPRODUCT(--(WEEKDAY(C$3:AG$3,2)&lt;5),--ISNUMBER(MATCH(C34:AG34,{"DM","CS1","CS2","SB1","AE","CS/B"},0)))</f>
        <v>1</v>
      </c>
      <c r="AV34" s="246"/>
      <c r="AW34" s="238">
        <f>SUMPRODUCT(--(WEEKDAY(C$3:AG$3,2)=5),--ISNUMBER(MATCH(C34:AG34,{"DM","CS1","CS2","SB1","AE","CS/B"},0)))</f>
        <v>1</v>
      </c>
      <c r="AX34" s="238">
        <f>SUMPRODUCT(--(WEEKDAY(C$3:AG$3,2)&gt;5),--ISNUMBER(MATCH(C34:AG34,{"DM","CS1","CS2","SB1","AE","CS/B"},0)))</f>
        <v>1</v>
      </c>
      <c r="AY34" s="246">
        <v>1</v>
      </c>
      <c r="AZ34" s="238">
        <f t="shared" si="3"/>
        <v>2</v>
      </c>
      <c r="BA34" s="238">
        <f t="shared" si="4"/>
        <v>3</v>
      </c>
      <c r="BB34" s="238">
        <f t="shared" si="5"/>
        <v>6</v>
      </c>
      <c r="BC34" s="239">
        <f t="shared" si="6"/>
        <v>7</v>
      </c>
      <c r="BD34" s="238">
        <f t="shared" si="7"/>
        <v>5</v>
      </c>
      <c r="BE34" s="238">
        <f t="shared" si="8"/>
        <v>1</v>
      </c>
      <c r="BF34" s="238">
        <f t="shared" si="9"/>
        <v>1.5</v>
      </c>
      <c r="BG34" s="238">
        <f t="shared" si="10"/>
        <v>2</v>
      </c>
      <c r="BH34" s="238">
        <f t="shared" si="11"/>
        <v>2</v>
      </c>
      <c r="BI34" s="238">
        <f t="shared" si="12"/>
        <v>0</v>
      </c>
      <c r="BJ34" s="238">
        <f t="shared" si="13"/>
        <v>0</v>
      </c>
      <c r="BK34" s="238">
        <f t="shared" si="14"/>
        <v>3</v>
      </c>
      <c r="BL34" s="238">
        <f t="shared" si="15"/>
        <v>1.5</v>
      </c>
      <c r="BM34" s="238">
        <f t="shared" si="16"/>
        <v>0</v>
      </c>
      <c r="BN34" s="238">
        <f t="shared" si="17"/>
        <v>0</v>
      </c>
      <c r="BO34" s="238">
        <f>COUNTIF($D34:$Z34,BO$4)</f>
        <v>0</v>
      </c>
      <c r="BP34" s="238">
        <f>COUNTIF($D34:$Z34,BP$4)</f>
        <v>1</v>
      </c>
      <c r="BQ34" s="238">
        <f>COUNTIF($D34:$Z34,BQ$4)</f>
        <v>0</v>
      </c>
      <c r="BR34" s="247"/>
    </row>
    <row r="35" ht="19.5" customHeight="1" spans="1:70">
      <c r="A35" s="233"/>
      <c r="B35" s="186" t="s">
        <v>633</v>
      </c>
      <c r="C35" s="137"/>
      <c r="D35" s="137" t="s">
        <v>252</v>
      </c>
      <c r="E35" s="137"/>
      <c r="F35" s="136" t="s">
        <v>573</v>
      </c>
      <c r="G35" s="137" t="s">
        <v>576</v>
      </c>
      <c r="H35" s="136" t="s">
        <v>572</v>
      </c>
      <c r="I35" s="136"/>
      <c r="J35" s="137" t="s">
        <v>65</v>
      </c>
      <c r="K35" s="136"/>
      <c r="L35" s="75" t="s">
        <v>624</v>
      </c>
      <c r="M35" s="137" t="s">
        <v>576</v>
      </c>
      <c r="N35" s="75" t="s">
        <v>634</v>
      </c>
      <c r="O35" s="75" t="s">
        <v>635</v>
      </c>
      <c r="P35" s="137"/>
      <c r="Q35" s="137"/>
      <c r="R35" s="137" t="s">
        <v>55</v>
      </c>
      <c r="S35" s="137" t="s">
        <v>55</v>
      </c>
      <c r="T35" s="137" t="s">
        <v>55</v>
      </c>
      <c r="U35" s="137" t="s">
        <v>55</v>
      </c>
      <c r="V35" s="137" t="s">
        <v>55</v>
      </c>
      <c r="W35" s="137"/>
      <c r="X35" s="137"/>
      <c r="Y35" s="75"/>
      <c r="Z35" s="136"/>
      <c r="AA35" s="137" t="s">
        <v>636</v>
      </c>
      <c r="AB35" s="75" t="s">
        <v>275</v>
      </c>
      <c r="AC35" s="136"/>
      <c r="AD35" s="137"/>
      <c r="AE35" s="137"/>
      <c r="AF35" s="137"/>
      <c r="AG35" s="137"/>
      <c r="AH35" s="197"/>
      <c r="AI35" s="237">
        <f t="shared" ref="AI35:AQ35" si="50">COUNTIF($D35:$AE35,AI$4)</f>
        <v>0</v>
      </c>
      <c r="AJ35" s="248">
        <f t="shared" si="50"/>
        <v>0</v>
      </c>
      <c r="AK35" s="237">
        <f t="shared" si="50"/>
        <v>0</v>
      </c>
      <c r="AL35" s="237">
        <f t="shared" si="50"/>
        <v>0</v>
      </c>
      <c r="AM35" s="238">
        <f t="shared" si="50"/>
        <v>0</v>
      </c>
      <c r="AN35" s="238">
        <f t="shared" si="50"/>
        <v>0</v>
      </c>
      <c r="AO35" s="238">
        <f t="shared" si="50"/>
        <v>1</v>
      </c>
      <c r="AP35" s="238">
        <f t="shared" si="50"/>
        <v>2</v>
      </c>
      <c r="AQ35" s="238">
        <f t="shared" si="50"/>
        <v>0</v>
      </c>
      <c r="AR35" s="246"/>
      <c r="AS35" s="239">
        <v>0.5</v>
      </c>
      <c r="AT35" s="239"/>
      <c r="AU35" s="238">
        <f>SUMPRODUCT(--(WEEKDAY(C$3:AG$3,2)&lt;5),--ISNUMBER(MATCH(C35:AG35,{"DM","CS1","CS2","SB1","AE","CS/B"},0)))</f>
        <v>0</v>
      </c>
      <c r="AV35" s="246"/>
      <c r="AW35" s="238">
        <f>SUMPRODUCT(--(WEEKDAY(C$3:AG$3,2)=5),--ISNUMBER(MATCH(C35:AG35,{"DM","CS1","CS2","SB1","AE","CS/B"},0)))</f>
        <v>0</v>
      </c>
      <c r="AX35" s="238">
        <f>SUMPRODUCT(--(WEEKDAY(C$3:AG$3,2)&gt;5),--ISNUMBER(MATCH(C35:AG35,{"DM","CS1","CS2","SB1","AE","CS/B"},0)))</f>
        <v>1</v>
      </c>
      <c r="AY35" s="246"/>
      <c r="AZ35" s="238">
        <f t="shared" si="3"/>
        <v>3.5</v>
      </c>
      <c r="BA35" s="238">
        <f t="shared" si="4"/>
        <v>1</v>
      </c>
      <c r="BB35" s="238">
        <f t="shared" si="5"/>
        <v>6</v>
      </c>
      <c r="BC35" s="239">
        <f t="shared" si="6"/>
        <v>9</v>
      </c>
      <c r="BD35" s="238">
        <f t="shared" si="7"/>
        <v>5.5</v>
      </c>
      <c r="BE35" s="238">
        <f t="shared" si="8"/>
        <v>1</v>
      </c>
      <c r="BF35" s="238">
        <f t="shared" si="9"/>
        <v>1.5</v>
      </c>
      <c r="BG35" s="238">
        <f t="shared" si="10"/>
        <v>3</v>
      </c>
      <c r="BH35" s="238">
        <f t="shared" si="11"/>
        <v>3</v>
      </c>
      <c r="BI35" s="238">
        <f t="shared" si="12"/>
        <v>1</v>
      </c>
      <c r="BJ35" s="238">
        <f t="shared" si="13"/>
        <v>0.5</v>
      </c>
      <c r="BK35" s="238">
        <f t="shared" si="14"/>
        <v>1</v>
      </c>
      <c r="BL35" s="238">
        <f t="shared" si="15"/>
        <v>0.5</v>
      </c>
      <c r="BM35" s="238">
        <f t="shared" si="16"/>
        <v>0</v>
      </c>
      <c r="BN35" s="238">
        <f t="shared" si="17"/>
        <v>0</v>
      </c>
      <c r="BO35" s="238">
        <f>COUNTIF($D35:$Z35,BO$4)</f>
        <v>0</v>
      </c>
      <c r="BP35" s="238">
        <f>COUNTIF($D35:$Z35,BP$4)</f>
        <v>0</v>
      </c>
      <c r="BQ35" s="238">
        <f>COUNTIF($D35:$Z35,BQ$4)</f>
        <v>5</v>
      </c>
      <c r="BR35" s="247"/>
    </row>
    <row r="36" ht="19.5" customHeight="1" spans="1:70">
      <c r="A36" s="233"/>
      <c r="B36" s="186" t="s">
        <v>637</v>
      </c>
      <c r="C36" s="75" t="s">
        <v>534</v>
      </c>
      <c r="D36" s="75" t="s">
        <v>534</v>
      </c>
      <c r="E36" s="75" t="s">
        <v>534</v>
      </c>
      <c r="F36" s="75" t="s">
        <v>534</v>
      </c>
      <c r="G36" s="75" t="s">
        <v>534</v>
      </c>
      <c r="H36" s="75"/>
      <c r="I36" s="75"/>
      <c r="J36" s="75"/>
      <c r="K36" s="137" t="s">
        <v>65</v>
      </c>
      <c r="M36" s="75" t="s">
        <v>350</v>
      </c>
      <c r="N36" s="75" t="s">
        <v>578</v>
      </c>
      <c r="O36" s="75" t="s">
        <v>310</v>
      </c>
      <c r="P36" s="75"/>
      <c r="Q36" s="75"/>
      <c r="R36" s="75" t="s">
        <v>350</v>
      </c>
      <c r="S36" s="75"/>
      <c r="T36" s="75" t="s">
        <v>59</v>
      </c>
      <c r="U36" s="75"/>
      <c r="V36" s="137" t="s">
        <v>638</v>
      </c>
      <c r="W36" s="75"/>
      <c r="X36" s="136"/>
      <c r="Y36" s="75" t="s">
        <v>599</v>
      </c>
      <c r="Z36" s="136"/>
      <c r="AA36" s="75" t="s">
        <v>573</v>
      </c>
      <c r="AB36" s="53" t="s">
        <v>580</v>
      </c>
      <c r="AC36" s="136"/>
      <c r="AD36" s="75"/>
      <c r="AE36" s="75"/>
      <c r="AF36" s="75"/>
      <c r="AG36" s="75"/>
      <c r="AH36" s="197"/>
      <c r="AI36" s="237">
        <f t="shared" ref="AI36:AQ36" si="51">COUNTIF($H36:$AE36,AI$4)</f>
        <v>0</v>
      </c>
      <c r="AJ36" s="248">
        <f t="shared" si="51"/>
        <v>0</v>
      </c>
      <c r="AK36" s="237">
        <f t="shared" si="51"/>
        <v>1</v>
      </c>
      <c r="AL36" s="237">
        <f t="shared" si="51"/>
        <v>0</v>
      </c>
      <c r="AM36" s="238">
        <f t="shared" si="51"/>
        <v>0</v>
      </c>
      <c r="AN36" s="238">
        <f t="shared" si="51"/>
        <v>0</v>
      </c>
      <c r="AO36" s="238">
        <f t="shared" si="51"/>
        <v>1</v>
      </c>
      <c r="AP36" s="238">
        <f t="shared" si="51"/>
        <v>0</v>
      </c>
      <c r="AQ36" s="238">
        <f t="shared" si="51"/>
        <v>0</v>
      </c>
      <c r="AR36" s="246"/>
      <c r="AS36" s="239">
        <v>1</v>
      </c>
      <c r="AT36" s="239"/>
      <c r="AU36" s="238">
        <f>SUMPRODUCT(--(WEEKDAY(C$3:AG$3,2)&lt;5),--ISNUMBER(MATCH(C36:AG36,{"DM","CS1","CS2","SB1","AE","CS/B"},0)))</f>
        <v>2</v>
      </c>
      <c r="AV36" s="246"/>
      <c r="AW36" s="238">
        <f>SUMPRODUCT(--(WEEKDAY(C$3:AG$3,2)=5),--ISNUMBER(MATCH(C36:AG36,{"DM","CS1","CS2","SB1","AE","CS/B"},0)))</f>
        <v>0</v>
      </c>
      <c r="AX36" s="238">
        <f>SUMPRODUCT(--(WEEKDAY(C$3:AG$3,2)&gt;5),--ISNUMBER(MATCH(C36:AG36,{"DM","CS1","CS2","SB1","AE","CS/B"},0)))</f>
        <v>0</v>
      </c>
      <c r="AY36" s="246"/>
      <c r="AZ36" s="238">
        <f t="shared" si="3"/>
        <v>3</v>
      </c>
      <c r="BA36" s="238">
        <f t="shared" si="4"/>
        <v>2</v>
      </c>
      <c r="BB36" s="238">
        <f t="shared" si="5"/>
        <v>8</v>
      </c>
      <c r="BC36" s="239">
        <f t="shared" si="6"/>
        <v>11.5</v>
      </c>
      <c r="BD36" s="238">
        <f t="shared" si="7"/>
        <v>8.5</v>
      </c>
      <c r="BE36" s="238">
        <f t="shared" si="8"/>
        <v>1</v>
      </c>
      <c r="BF36" s="238">
        <f t="shared" si="9"/>
        <v>1.5</v>
      </c>
      <c r="BG36" s="238">
        <f t="shared" si="10"/>
        <v>2</v>
      </c>
      <c r="BH36" s="238">
        <f t="shared" si="11"/>
        <v>2</v>
      </c>
      <c r="BI36" s="238">
        <f t="shared" si="12"/>
        <v>0</v>
      </c>
      <c r="BJ36" s="238">
        <f t="shared" si="13"/>
        <v>0</v>
      </c>
      <c r="BK36" s="238">
        <f t="shared" si="14"/>
        <v>0</v>
      </c>
      <c r="BL36" s="238">
        <f t="shared" si="15"/>
        <v>0</v>
      </c>
      <c r="BM36" s="238">
        <f t="shared" si="16"/>
        <v>5</v>
      </c>
      <c r="BN36" s="238">
        <f t="shared" si="17"/>
        <v>5</v>
      </c>
      <c r="BO36" s="238">
        <f>COUNTIF($H36:$AA36,BO$4)</f>
        <v>0</v>
      </c>
      <c r="BP36" s="238">
        <f>COUNTIF($H36:$AA36,BP$4)</f>
        <v>2</v>
      </c>
      <c r="BQ36" s="238">
        <f>COUNTIF($H36:$AA36,BQ$4)</f>
        <v>0</v>
      </c>
      <c r="BR36" s="247"/>
    </row>
    <row r="37" ht="19.5" customHeight="1" spans="1:70">
      <c r="A37" s="233"/>
      <c r="B37" s="186" t="s">
        <v>639</v>
      </c>
      <c r="C37" s="137" t="s">
        <v>65</v>
      </c>
      <c r="D37" s="137"/>
      <c r="E37" s="137"/>
      <c r="F37" s="137"/>
      <c r="G37" s="53" t="s">
        <v>65</v>
      </c>
      <c r="H37" s="136"/>
      <c r="I37" s="137"/>
      <c r="J37" s="137"/>
      <c r="K37" s="137"/>
      <c r="L37" s="137" t="s">
        <v>65</v>
      </c>
      <c r="M37" s="137"/>
      <c r="N37" s="137" t="s">
        <v>132</v>
      </c>
      <c r="O37" s="136" t="s">
        <v>58</v>
      </c>
      <c r="P37" s="136"/>
      <c r="Q37" s="53" t="s">
        <v>65</v>
      </c>
      <c r="R37" s="137"/>
      <c r="S37" s="136"/>
      <c r="T37" s="137"/>
      <c r="U37" s="136" t="s">
        <v>563</v>
      </c>
      <c r="V37" s="136" t="s">
        <v>563</v>
      </c>
      <c r="W37" s="137"/>
      <c r="X37" s="137"/>
      <c r="Y37" s="137"/>
      <c r="Z37" s="136"/>
      <c r="AB37" s="75"/>
      <c r="AC37" s="137" t="s">
        <v>640</v>
      </c>
      <c r="AD37" s="137"/>
      <c r="AE37" s="137"/>
      <c r="AF37" s="137"/>
      <c r="AG37" s="137"/>
      <c r="AH37" s="197"/>
      <c r="AI37" s="237">
        <f t="shared" ref="AI37:AQ37" si="52">COUNTIF($D37:$AE37,AI$4)</f>
        <v>0</v>
      </c>
      <c r="AJ37" s="248">
        <f t="shared" si="52"/>
        <v>0</v>
      </c>
      <c r="AK37" s="237">
        <f t="shared" si="52"/>
        <v>0</v>
      </c>
      <c r="AL37" s="237">
        <f t="shared" si="52"/>
        <v>0</v>
      </c>
      <c r="AM37" s="238">
        <f t="shared" si="52"/>
        <v>1</v>
      </c>
      <c r="AN37" s="238">
        <f t="shared" si="52"/>
        <v>0</v>
      </c>
      <c r="AO37" s="238">
        <f t="shared" si="52"/>
        <v>3</v>
      </c>
      <c r="AP37" s="238">
        <f t="shared" si="52"/>
        <v>0</v>
      </c>
      <c r="AQ37" s="238">
        <f t="shared" si="52"/>
        <v>0</v>
      </c>
      <c r="AR37" s="246"/>
      <c r="AS37" s="239">
        <v>0.5</v>
      </c>
      <c r="AT37" s="239"/>
      <c r="AU37" s="238">
        <f>SUMPRODUCT(--(WEEKDAY(C$3:AG$3,2)&lt;5),--ISNUMBER(MATCH(C37:AG37,{"DM","CS1","CS2","SB1","AE","CS/B"},0)))</f>
        <v>2</v>
      </c>
      <c r="AV37" s="246"/>
      <c r="AW37" s="238">
        <f>SUMPRODUCT(--(WEEKDAY(C$3:AG$3,2)=5),--ISNUMBER(MATCH(C37:AG37,{"DM","CS1","CS2","SB1","AE","CS/B"},0)))</f>
        <v>1</v>
      </c>
      <c r="AX37" s="238">
        <f>SUMPRODUCT(--(WEEKDAY(C$3:AG$3,2)&gt;5),--ISNUMBER(MATCH(C37:AG37,{"DM","CS1","CS2","SB1","AE","CS/B"},0)))</f>
        <v>2</v>
      </c>
      <c r="AY37" s="246"/>
      <c r="AZ37" s="238">
        <f t="shared" si="3"/>
        <v>8</v>
      </c>
      <c r="BA37" s="238">
        <f t="shared" si="4"/>
        <v>5</v>
      </c>
      <c r="BB37" s="238">
        <f t="shared" si="5"/>
        <v>2</v>
      </c>
      <c r="BC37" s="239">
        <f t="shared" si="6"/>
        <v>9</v>
      </c>
      <c r="BD37" s="238">
        <f t="shared" si="7"/>
        <v>1</v>
      </c>
      <c r="BE37" s="238">
        <f t="shared" si="8"/>
        <v>0</v>
      </c>
      <c r="BF37" s="238">
        <f t="shared" si="9"/>
        <v>0</v>
      </c>
      <c r="BG37" s="238">
        <f t="shared" si="10"/>
        <v>0</v>
      </c>
      <c r="BH37" s="238">
        <f t="shared" si="11"/>
        <v>0</v>
      </c>
      <c r="BI37" s="238">
        <f t="shared" si="12"/>
        <v>0</v>
      </c>
      <c r="BJ37" s="238">
        <f t="shared" si="13"/>
        <v>0</v>
      </c>
      <c r="BK37" s="238">
        <f t="shared" si="14"/>
        <v>2</v>
      </c>
      <c r="BL37" s="238">
        <f t="shared" si="15"/>
        <v>1</v>
      </c>
      <c r="BM37" s="238">
        <f t="shared" si="16"/>
        <v>0</v>
      </c>
      <c r="BN37" s="238">
        <f t="shared" si="17"/>
        <v>0</v>
      </c>
      <c r="BO37" s="238">
        <f>COUNTIF($D37:$Z37,BO$4)</f>
        <v>0</v>
      </c>
      <c r="BP37" s="238">
        <f>COUNTIF($D37:$Z37,BP$4)</f>
        <v>0</v>
      </c>
      <c r="BQ37" s="238">
        <f>COUNTIF($D37:$Z37,BQ$4)</f>
        <v>0</v>
      </c>
      <c r="BR37" s="247"/>
    </row>
    <row r="38" ht="19.5" customHeight="1" spans="1:70">
      <c r="A38" s="233"/>
      <c r="B38" s="186" t="s">
        <v>641</v>
      </c>
      <c r="C38" s="53" t="s">
        <v>242</v>
      </c>
      <c r="D38" s="53" t="s">
        <v>242</v>
      </c>
      <c r="E38" s="53"/>
      <c r="F38" s="53"/>
      <c r="G38" s="136"/>
      <c r="H38" s="187" t="s">
        <v>642</v>
      </c>
      <c r="I38" s="136"/>
      <c r="J38" s="136"/>
      <c r="K38" s="137" t="s">
        <v>643</v>
      </c>
      <c r="L38" s="136" t="s">
        <v>573</v>
      </c>
      <c r="N38" s="136" t="s">
        <v>573</v>
      </c>
      <c r="O38" s="136" t="s">
        <v>644</v>
      </c>
      <c r="P38" s="137" t="s">
        <v>602</v>
      </c>
      <c r="Q38" s="53"/>
      <c r="R38" s="53"/>
      <c r="S38" s="136"/>
      <c r="T38" s="53"/>
      <c r="U38" s="136" t="s">
        <v>573</v>
      </c>
      <c r="V38" s="75" t="s">
        <v>645</v>
      </c>
      <c r="W38" s="137" t="s">
        <v>65</v>
      </c>
      <c r="X38" s="53"/>
      <c r="Y38" s="53"/>
      <c r="Z38" s="75" t="s">
        <v>599</v>
      </c>
      <c r="AA38" s="136"/>
      <c r="AB38" s="53" t="s">
        <v>580</v>
      </c>
      <c r="AC38" s="53"/>
      <c r="AD38" s="53"/>
      <c r="AE38" s="53"/>
      <c r="AF38" s="53"/>
      <c r="AG38" s="53"/>
      <c r="AH38" s="197"/>
      <c r="AI38" s="237">
        <f t="shared" ref="AI38:AQ38" si="53">COUNTIF($D38:$AE38,AI$4)</f>
        <v>0</v>
      </c>
      <c r="AJ38" s="248">
        <f t="shared" si="53"/>
        <v>0</v>
      </c>
      <c r="AK38" s="237">
        <f t="shared" si="53"/>
        <v>0</v>
      </c>
      <c r="AL38" s="237">
        <f t="shared" si="53"/>
        <v>0</v>
      </c>
      <c r="AM38" s="238">
        <f t="shared" si="53"/>
        <v>0</v>
      </c>
      <c r="AN38" s="238">
        <f t="shared" si="53"/>
        <v>0</v>
      </c>
      <c r="AO38" s="238">
        <f t="shared" si="53"/>
        <v>1</v>
      </c>
      <c r="AP38" s="238">
        <f t="shared" si="53"/>
        <v>0</v>
      </c>
      <c r="AQ38" s="238">
        <f t="shared" si="53"/>
        <v>0</v>
      </c>
      <c r="AR38" s="246"/>
      <c r="AS38" s="239"/>
      <c r="AT38" s="239">
        <v>0.5</v>
      </c>
      <c r="AU38" s="238">
        <f>SUMPRODUCT(--(WEEKDAY(C$3:AG$3,2)&lt;5),--ISNUMBER(MATCH(C38:AG38,{"DM","CS1","CS2","SB1","AE","CS/B"},0)))</f>
        <v>0</v>
      </c>
      <c r="AV38" s="246"/>
      <c r="AW38" s="238">
        <f>SUMPRODUCT(--(WEEKDAY(C$3:AG$3,2)=5),--ISNUMBER(MATCH(C38:AG38,{"DM","CS1","CS2","SB1","AE","CS/B"},0)))</f>
        <v>0</v>
      </c>
      <c r="AX38" s="238">
        <f>SUMPRODUCT(--(WEEKDAY(C$3:AG$3,2)&gt;5),--ISNUMBER(MATCH(C38:AG38,{"DM","CS1","CS2","SB1","AE","CS/B"},0)))</f>
        <v>1</v>
      </c>
      <c r="AY38" s="246"/>
      <c r="AZ38" s="238">
        <f t="shared" si="3"/>
        <v>1.5</v>
      </c>
      <c r="BA38" s="238">
        <f t="shared" si="4"/>
        <v>1</v>
      </c>
      <c r="BB38" s="238">
        <f t="shared" si="5"/>
        <v>8</v>
      </c>
      <c r="BC38" s="239">
        <f t="shared" si="6"/>
        <v>10</v>
      </c>
      <c r="BD38" s="238">
        <f t="shared" si="7"/>
        <v>8.5</v>
      </c>
      <c r="BE38" s="238">
        <f t="shared" si="8"/>
        <v>2</v>
      </c>
      <c r="BF38" s="238">
        <f t="shared" si="9"/>
        <v>3</v>
      </c>
      <c r="BG38" s="238">
        <f t="shared" si="10"/>
        <v>3</v>
      </c>
      <c r="BH38" s="238">
        <f t="shared" si="11"/>
        <v>3</v>
      </c>
      <c r="BI38" s="238">
        <f t="shared" si="12"/>
        <v>1</v>
      </c>
      <c r="BJ38" s="238">
        <f t="shared" si="13"/>
        <v>0.5</v>
      </c>
      <c r="BK38" s="238">
        <f t="shared" si="14"/>
        <v>0</v>
      </c>
      <c r="BL38" s="238">
        <f t="shared" si="15"/>
        <v>0</v>
      </c>
      <c r="BM38" s="238">
        <f t="shared" si="16"/>
        <v>2</v>
      </c>
      <c r="BN38" s="238">
        <f t="shared" si="17"/>
        <v>2</v>
      </c>
      <c r="BO38" s="238">
        <f>COUNTIF($D38:$AA38,BO$4)</f>
        <v>0</v>
      </c>
      <c r="BP38" s="238">
        <f>COUNTIF($D38:$AA38,BP$4)</f>
        <v>0</v>
      </c>
      <c r="BQ38" s="238">
        <f>COUNTIF($D38:$AA38,BQ$4)</f>
        <v>0</v>
      </c>
      <c r="BR38" s="247"/>
    </row>
    <row r="39" ht="19.5" customHeight="1" spans="1:70">
      <c r="A39" s="233"/>
      <c r="B39" s="186" t="s">
        <v>646</v>
      </c>
      <c r="C39" s="53" t="s">
        <v>256</v>
      </c>
      <c r="D39" s="53" t="s">
        <v>256</v>
      </c>
      <c r="E39" s="53" t="s">
        <v>256</v>
      </c>
      <c r="F39" s="53"/>
      <c r="G39" s="136"/>
      <c r="H39" s="136"/>
      <c r="I39" s="53" t="s">
        <v>65</v>
      </c>
      <c r="J39" s="137"/>
      <c r="L39" s="137" t="s">
        <v>576</v>
      </c>
      <c r="M39" s="137" t="s">
        <v>65</v>
      </c>
      <c r="N39" s="53"/>
      <c r="O39" s="137" t="s">
        <v>647</v>
      </c>
      <c r="P39" s="53"/>
      <c r="Q39" s="136"/>
      <c r="R39" s="137"/>
      <c r="S39" s="137" t="s">
        <v>65</v>
      </c>
      <c r="T39" s="137"/>
      <c r="U39" s="136" t="s">
        <v>563</v>
      </c>
      <c r="V39" s="137" t="s">
        <v>65</v>
      </c>
      <c r="W39" s="137"/>
      <c r="X39" s="137"/>
      <c r="Y39" s="75" t="s">
        <v>573</v>
      </c>
      <c r="Z39" s="136"/>
      <c r="AA39" s="136" t="s">
        <v>648</v>
      </c>
      <c r="AB39" s="137" t="s">
        <v>65</v>
      </c>
      <c r="AC39" s="75" t="s">
        <v>573</v>
      </c>
      <c r="AD39" s="137"/>
      <c r="AE39" s="137"/>
      <c r="AF39" s="137"/>
      <c r="AG39" s="137"/>
      <c r="AH39" s="197"/>
      <c r="AI39" s="237">
        <f t="shared" ref="AI39:AQ39" si="54">COUNTIF($D39:$AE39,AI$4)</f>
        <v>0</v>
      </c>
      <c r="AJ39" s="248">
        <f t="shared" si="54"/>
        <v>0</v>
      </c>
      <c r="AK39" s="237">
        <f t="shared" si="54"/>
        <v>0</v>
      </c>
      <c r="AL39" s="237">
        <f t="shared" si="54"/>
        <v>0</v>
      </c>
      <c r="AM39" s="238">
        <f t="shared" si="54"/>
        <v>0</v>
      </c>
      <c r="AN39" s="238">
        <f t="shared" si="54"/>
        <v>0</v>
      </c>
      <c r="AO39" s="238">
        <f t="shared" si="54"/>
        <v>5</v>
      </c>
      <c r="AP39" s="238">
        <f t="shared" si="54"/>
        <v>1</v>
      </c>
      <c r="AQ39" s="238">
        <f t="shared" si="54"/>
        <v>0</v>
      </c>
      <c r="AR39" s="246"/>
      <c r="AS39" s="239"/>
      <c r="AT39" s="239">
        <v>0.5</v>
      </c>
      <c r="AU39" s="238">
        <f>SUMPRODUCT(--(WEEKDAY(C$3:AG$3,2)&lt;5),--ISNUMBER(MATCH(C39:AG39,{"DM","CS1","CS2","SB1","AE","CS/B"},0)))</f>
        <v>3</v>
      </c>
      <c r="AV39" s="246"/>
      <c r="AW39" s="238">
        <f>SUMPRODUCT(--(WEEKDAY(C$3:AG$3,2)=5),--ISNUMBER(MATCH(C39:AG39,{"DM","CS1","CS2","SB1","AE","CS/B"},0)))</f>
        <v>1</v>
      </c>
      <c r="AX39" s="238">
        <f>SUMPRODUCT(--(WEEKDAY(C$3:AG$3,2)&gt;5),--ISNUMBER(MATCH(C39:AG39,{"DM","CS1","CS2","SB1","AE","CS/B"},0)))</f>
        <v>1</v>
      </c>
      <c r="AY39" s="246"/>
      <c r="AZ39" s="238">
        <f t="shared" si="3"/>
        <v>6.5</v>
      </c>
      <c r="BA39" s="238">
        <f t="shared" si="4"/>
        <v>5</v>
      </c>
      <c r="BB39" s="238">
        <f t="shared" si="5"/>
        <v>5</v>
      </c>
      <c r="BC39" s="239">
        <f t="shared" si="6"/>
        <v>11</v>
      </c>
      <c r="BD39" s="238">
        <f t="shared" si="7"/>
        <v>4.5</v>
      </c>
      <c r="BE39" s="238">
        <f t="shared" si="8"/>
        <v>0</v>
      </c>
      <c r="BF39" s="238">
        <f t="shared" si="9"/>
        <v>0</v>
      </c>
      <c r="BG39" s="238">
        <f t="shared" si="10"/>
        <v>1</v>
      </c>
      <c r="BH39" s="238">
        <f t="shared" si="11"/>
        <v>1</v>
      </c>
      <c r="BI39" s="238">
        <f t="shared" si="12"/>
        <v>1</v>
      </c>
      <c r="BJ39" s="238">
        <f t="shared" si="13"/>
        <v>0.5</v>
      </c>
      <c r="BK39" s="238">
        <f t="shared" si="14"/>
        <v>0</v>
      </c>
      <c r="BL39" s="238">
        <f t="shared" si="15"/>
        <v>0</v>
      </c>
      <c r="BM39" s="238">
        <f t="shared" si="16"/>
        <v>3</v>
      </c>
      <c r="BN39" s="238">
        <f t="shared" si="17"/>
        <v>3</v>
      </c>
      <c r="BO39" s="238">
        <f>COUNTIF($D39:$AA39,BO$4)</f>
        <v>0</v>
      </c>
      <c r="BP39" s="238">
        <f>COUNTIF($D39:$AA39,BP$4)</f>
        <v>0</v>
      </c>
      <c r="BQ39" s="238">
        <f>COUNTIF($D39:$AA39,BQ$4)</f>
        <v>0</v>
      </c>
      <c r="BR39" s="247"/>
    </row>
    <row r="40" ht="19.5" customHeight="1" spans="1:70">
      <c r="A40" s="233"/>
      <c r="B40" s="186" t="s">
        <v>649</v>
      </c>
      <c r="C40" s="53" t="s">
        <v>650</v>
      </c>
      <c r="D40" s="53"/>
      <c r="E40" s="75" t="s">
        <v>573</v>
      </c>
      <c r="F40" s="136" t="s">
        <v>65</v>
      </c>
      <c r="G40" s="136"/>
      <c r="H40" s="136" t="s">
        <v>65</v>
      </c>
      <c r="I40" s="137"/>
      <c r="J40" s="137"/>
      <c r="K40" s="136" t="s">
        <v>573</v>
      </c>
      <c r="M40" s="137" t="s">
        <v>651</v>
      </c>
      <c r="N40" s="137" t="s">
        <v>652</v>
      </c>
      <c r="O40" s="137" t="s">
        <v>653</v>
      </c>
      <c r="P40" s="136" t="s">
        <v>573</v>
      </c>
      <c r="Q40" s="53"/>
      <c r="R40" s="137"/>
      <c r="S40" s="137"/>
      <c r="T40" s="137"/>
      <c r="U40" s="137" t="s">
        <v>654</v>
      </c>
      <c r="V40" s="137" t="s">
        <v>655</v>
      </c>
      <c r="W40" s="137"/>
      <c r="X40" s="137" t="s">
        <v>65</v>
      </c>
      <c r="Y40" s="136"/>
      <c r="Z40" s="137" t="s">
        <v>656</v>
      </c>
      <c r="AA40" s="136"/>
      <c r="AB40" s="53" t="s">
        <v>580</v>
      </c>
      <c r="AC40" s="137"/>
      <c r="AD40" s="137"/>
      <c r="AE40" s="137"/>
      <c r="AF40" s="137"/>
      <c r="AG40" s="137"/>
      <c r="AH40" s="197"/>
      <c r="AI40" s="237">
        <f t="shared" ref="AI40:AQ40" si="55">COUNTIF($D40:$AE40,AI$4)</f>
        <v>0</v>
      </c>
      <c r="AJ40" s="248">
        <f t="shared" si="55"/>
        <v>0</v>
      </c>
      <c r="AK40" s="237">
        <f t="shared" si="55"/>
        <v>0</v>
      </c>
      <c r="AL40" s="237">
        <f t="shared" si="55"/>
        <v>0</v>
      </c>
      <c r="AM40" s="238">
        <f t="shared" si="55"/>
        <v>0</v>
      </c>
      <c r="AN40" s="238">
        <f t="shared" si="55"/>
        <v>0</v>
      </c>
      <c r="AO40" s="238">
        <f t="shared" si="55"/>
        <v>3</v>
      </c>
      <c r="AP40" s="238">
        <f t="shared" si="55"/>
        <v>0</v>
      </c>
      <c r="AQ40" s="238">
        <f t="shared" si="55"/>
        <v>0</v>
      </c>
      <c r="AR40" s="246"/>
      <c r="AS40" s="239"/>
      <c r="AT40" s="239">
        <v>0.5</v>
      </c>
      <c r="AU40" s="238">
        <f>SUMPRODUCT(--(WEEKDAY(C$3:AG$3,2)&lt;5),--ISNUMBER(MATCH(C40:AG40,{"DM","CS1","CS2","SB1","AE","CS/B"},0)))</f>
        <v>1</v>
      </c>
      <c r="AV40" s="246"/>
      <c r="AW40" s="238">
        <f>SUMPRODUCT(--(WEEKDAY(C$3:AG$3,2)=5),--ISNUMBER(MATCH(C40:AG40,{"DM","CS1","CS2","SB1","AE","CS/B"},0)))</f>
        <v>1</v>
      </c>
      <c r="AX40" s="238">
        <f>SUMPRODUCT(--(WEEKDAY(C$3:AG$3,2)&gt;5),--ISNUMBER(MATCH(C40:AG40,{"DM","CS1","CS2","SB1","AE","CS/B"},0)))</f>
        <v>1</v>
      </c>
      <c r="AY40" s="246"/>
      <c r="AZ40" s="238">
        <f t="shared" si="3"/>
        <v>4</v>
      </c>
      <c r="BA40" s="238">
        <f t="shared" si="4"/>
        <v>3</v>
      </c>
      <c r="BB40" s="238">
        <f t="shared" si="5"/>
        <v>7</v>
      </c>
      <c r="BC40" s="239">
        <f t="shared" si="6"/>
        <v>11</v>
      </c>
      <c r="BD40" s="238">
        <f t="shared" si="7"/>
        <v>7</v>
      </c>
      <c r="BE40" s="238">
        <f t="shared" si="8"/>
        <v>1</v>
      </c>
      <c r="BF40" s="238">
        <f t="shared" si="9"/>
        <v>1.5</v>
      </c>
      <c r="BG40" s="238">
        <f t="shared" si="10"/>
        <v>4</v>
      </c>
      <c r="BH40" s="238">
        <f t="shared" si="11"/>
        <v>4</v>
      </c>
      <c r="BI40" s="238">
        <f t="shared" si="12"/>
        <v>1</v>
      </c>
      <c r="BJ40" s="238">
        <f t="shared" si="13"/>
        <v>0.5</v>
      </c>
      <c r="BK40" s="238">
        <f t="shared" si="14"/>
        <v>0</v>
      </c>
      <c r="BL40" s="238">
        <f t="shared" si="15"/>
        <v>0</v>
      </c>
      <c r="BM40" s="238">
        <f t="shared" si="16"/>
        <v>1</v>
      </c>
      <c r="BN40" s="238">
        <f t="shared" si="17"/>
        <v>1</v>
      </c>
      <c r="BO40" s="238">
        <f>COUNTIF($D40:$Z40,BO$4)</f>
        <v>0</v>
      </c>
      <c r="BP40" s="238">
        <f>COUNTIF($D40:$Z40,BP$4)</f>
        <v>0</v>
      </c>
      <c r="BQ40" s="238">
        <f>COUNTIF($D40:$Z40,BQ$4)</f>
        <v>0</v>
      </c>
      <c r="BR40" s="247"/>
    </row>
    <row r="41" ht="19.5" customHeight="1" spans="1:70">
      <c r="A41" s="233"/>
      <c r="B41" s="186" t="s">
        <v>657</v>
      </c>
      <c r="C41" s="53"/>
      <c r="D41" s="137" t="s">
        <v>658</v>
      </c>
      <c r="E41" s="75" t="s">
        <v>573</v>
      </c>
      <c r="F41" s="53"/>
      <c r="G41" s="75" t="s">
        <v>339</v>
      </c>
      <c r="H41" s="75" t="s">
        <v>339</v>
      </c>
      <c r="I41" s="75" t="s">
        <v>339</v>
      </c>
      <c r="J41" s="75" t="s">
        <v>339</v>
      </c>
      <c r="K41" s="75" t="s">
        <v>339</v>
      </c>
      <c r="L41" s="53"/>
      <c r="M41" s="53" t="s">
        <v>71</v>
      </c>
      <c r="N41" s="136" t="s">
        <v>71</v>
      </c>
      <c r="O41" s="137" t="s">
        <v>638</v>
      </c>
      <c r="P41" s="53"/>
      <c r="Q41" s="53"/>
      <c r="R41" s="137"/>
      <c r="S41" s="137" t="s">
        <v>59</v>
      </c>
      <c r="T41" s="137"/>
      <c r="U41" s="136" t="s">
        <v>573</v>
      </c>
      <c r="V41" s="137" t="s">
        <v>321</v>
      </c>
      <c r="W41" s="137"/>
      <c r="X41" s="137"/>
      <c r="Y41" s="137"/>
      <c r="Z41" s="136" t="s">
        <v>69</v>
      </c>
      <c r="AA41" s="136"/>
      <c r="AB41" s="53" t="s">
        <v>580</v>
      </c>
      <c r="AC41" s="137" t="s">
        <v>65</v>
      </c>
      <c r="AD41" s="137"/>
      <c r="AE41" s="137"/>
      <c r="AF41" s="137"/>
      <c r="AG41" s="137"/>
      <c r="AH41" s="197"/>
      <c r="AI41" s="237">
        <f t="shared" ref="AI41:AQ41" si="56">COUNTIF($D41:$AE41,AI$4)</f>
        <v>0</v>
      </c>
      <c r="AJ41" s="248">
        <f t="shared" si="56"/>
        <v>0</v>
      </c>
      <c r="AK41" s="237">
        <f t="shared" si="56"/>
        <v>1</v>
      </c>
      <c r="AL41" s="237">
        <f t="shared" si="56"/>
        <v>0</v>
      </c>
      <c r="AM41" s="238">
        <f t="shared" si="56"/>
        <v>0</v>
      </c>
      <c r="AN41" s="238">
        <f t="shared" si="56"/>
        <v>0</v>
      </c>
      <c r="AO41" s="238">
        <f t="shared" si="56"/>
        <v>1</v>
      </c>
      <c r="AP41" s="238">
        <f t="shared" si="56"/>
        <v>0</v>
      </c>
      <c r="AQ41" s="238">
        <f t="shared" si="56"/>
        <v>0</v>
      </c>
      <c r="AR41" s="246"/>
      <c r="AS41" s="239"/>
      <c r="AT41" s="239">
        <v>0.5</v>
      </c>
      <c r="AU41" s="238">
        <f>SUMPRODUCT(--(WEEKDAY(C$3:AG$3,2)&lt;5),--ISNUMBER(MATCH(C41:AG41,{"DM","CS1","CS2","SB1","AE","CS/B"},0)))</f>
        <v>1</v>
      </c>
      <c r="AV41" s="246"/>
      <c r="AW41" s="238">
        <f>SUMPRODUCT(--(WEEKDAY(C$3:AG$3,2)=5),--ISNUMBER(MATCH(C41:AG41,{"DM","CS1","CS2","SB1","AE","CS/B"},0)))</f>
        <v>1</v>
      </c>
      <c r="AX41" s="238">
        <f>SUMPRODUCT(--(WEEKDAY(C$3:AG$3,2)&gt;5),--ISNUMBER(MATCH(C41:AG41,{"DM","CS1","CS2","SB1","AE","CS/B"},0)))</f>
        <v>0</v>
      </c>
      <c r="AY41" s="246"/>
      <c r="AZ41" s="238">
        <f t="shared" si="3"/>
        <v>2</v>
      </c>
      <c r="BA41" s="238">
        <f t="shared" si="4"/>
        <v>2</v>
      </c>
      <c r="BB41" s="238">
        <f t="shared" si="5"/>
        <v>8</v>
      </c>
      <c r="BC41" s="239">
        <f t="shared" si="6"/>
        <v>9.5</v>
      </c>
      <c r="BD41" s="238">
        <f t="shared" si="7"/>
        <v>7.5</v>
      </c>
      <c r="BE41" s="238">
        <f t="shared" si="8"/>
        <v>0</v>
      </c>
      <c r="BF41" s="238">
        <f t="shared" si="9"/>
        <v>0</v>
      </c>
      <c r="BG41" s="238">
        <f t="shared" si="10"/>
        <v>2</v>
      </c>
      <c r="BH41" s="238">
        <f t="shared" si="11"/>
        <v>2</v>
      </c>
      <c r="BI41" s="238">
        <f t="shared" si="12"/>
        <v>1</v>
      </c>
      <c r="BJ41" s="238">
        <f t="shared" si="13"/>
        <v>0.5</v>
      </c>
      <c r="BK41" s="238">
        <f t="shared" si="14"/>
        <v>0</v>
      </c>
      <c r="BL41" s="238">
        <f t="shared" si="15"/>
        <v>0</v>
      </c>
      <c r="BM41" s="238">
        <f t="shared" si="16"/>
        <v>5</v>
      </c>
      <c r="BN41" s="238">
        <f t="shared" si="17"/>
        <v>5</v>
      </c>
      <c r="BO41" s="238">
        <f>COUNTIF($D41:$AA41,BO$4)</f>
        <v>0</v>
      </c>
      <c r="BP41" s="238">
        <f>COUNTIF($D41:$AA41,BP$4)</f>
        <v>0</v>
      </c>
      <c r="BQ41" s="238">
        <f>COUNTIF($D41:$AA41,BQ$4)</f>
        <v>0</v>
      </c>
      <c r="BR41" s="247"/>
    </row>
    <row r="42" ht="19.5" customHeight="1" spans="1:70">
      <c r="A42" s="233"/>
      <c r="B42" s="186" t="s">
        <v>659</v>
      </c>
      <c r="C42" s="53"/>
      <c r="D42" s="53"/>
      <c r="E42" s="137" t="s">
        <v>660</v>
      </c>
      <c r="F42" s="187" t="s">
        <v>589</v>
      </c>
      <c r="G42" s="53"/>
      <c r="H42" s="136" t="s">
        <v>573</v>
      </c>
      <c r="I42" s="137" t="s">
        <v>661</v>
      </c>
      <c r="J42" s="137" t="s">
        <v>88</v>
      </c>
      <c r="K42" s="137" t="s">
        <v>88</v>
      </c>
      <c r="L42" s="137" t="s">
        <v>88</v>
      </c>
      <c r="M42" s="137" t="s">
        <v>88</v>
      </c>
      <c r="N42" s="53"/>
      <c r="O42" s="136" t="s">
        <v>573</v>
      </c>
      <c r="P42" s="53" t="s">
        <v>65</v>
      </c>
      <c r="Q42" s="53"/>
      <c r="R42" s="137" t="s">
        <v>93</v>
      </c>
      <c r="S42" s="136" t="s">
        <v>350</v>
      </c>
      <c r="T42" s="137"/>
      <c r="U42" s="136" t="s">
        <v>563</v>
      </c>
      <c r="V42" s="136" t="s">
        <v>573</v>
      </c>
      <c r="W42" s="136"/>
      <c r="X42" s="137"/>
      <c r="Z42" s="75" t="s">
        <v>573</v>
      </c>
      <c r="AA42" s="136" t="s">
        <v>93</v>
      </c>
      <c r="AB42" s="53" t="s">
        <v>662</v>
      </c>
      <c r="AC42" s="137"/>
      <c r="AE42" s="137"/>
      <c r="AF42" s="137"/>
      <c r="AG42" s="137"/>
      <c r="AH42" s="197"/>
      <c r="AI42" s="237">
        <f t="shared" ref="AI42:AQ42" si="57">COUNTIF($D42:$AE42,AI$4)</f>
        <v>0</v>
      </c>
      <c r="AJ42" s="248">
        <f t="shared" si="57"/>
        <v>0</v>
      </c>
      <c r="AK42" s="237">
        <f t="shared" si="57"/>
        <v>0</v>
      </c>
      <c r="AL42" s="237">
        <f t="shared" si="57"/>
        <v>0</v>
      </c>
      <c r="AM42" s="238">
        <f t="shared" si="57"/>
        <v>0</v>
      </c>
      <c r="AN42" s="238">
        <f t="shared" si="57"/>
        <v>2</v>
      </c>
      <c r="AO42" s="238">
        <f t="shared" si="57"/>
        <v>1</v>
      </c>
      <c r="AP42" s="238">
        <f t="shared" si="57"/>
        <v>0</v>
      </c>
      <c r="AQ42" s="238">
        <f t="shared" si="57"/>
        <v>0</v>
      </c>
      <c r="AR42" s="246"/>
      <c r="AS42" s="239"/>
      <c r="AT42" s="239">
        <v>0.5</v>
      </c>
      <c r="AU42" s="238">
        <f>SUMPRODUCT(--(WEEKDAY(C$3:AG$3,2)&lt;5),--ISNUMBER(MATCH(C42:AG42,{"DM","CS1","CS2","SB1","AE","CS/B"},0)))</f>
        <v>0</v>
      </c>
      <c r="AV42" s="246"/>
      <c r="AW42" s="238">
        <f>SUMPRODUCT(--(WEEKDAY(C$3:AG$3,2)=5),--ISNUMBER(MATCH(C42:AG42,{"DM","CS1","CS2","SB1","AE","CS/B"},0)))</f>
        <v>0</v>
      </c>
      <c r="AX42" s="238">
        <f>SUMPRODUCT(--(WEEKDAY(C$3:AG$3,2)&gt;5),--ISNUMBER(MATCH(C42:AG42,{"DM","CS1","CS2","SB1","AE","CS/B"},0)))</f>
        <v>1</v>
      </c>
      <c r="AY42" s="246"/>
      <c r="AZ42" s="238">
        <f t="shared" si="3"/>
        <v>2.5</v>
      </c>
      <c r="BA42" s="238">
        <f t="shared" si="4"/>
        <v>1</v>
      </c>
      <c r="BB42" s="238">
        <f t="shared" si="5"/>
        <v>7</v>
      </c>
      <c r="BC42" s="239">
        <f t="shared" si="6"/>
        <v>9</v>
      </c>
      <c r="BD42" s="238">
        <f t="shared" si="7"/>
        <v>6.5</v>
      </c>
      <c r="BE42" s="238">
        <f t="shared" si="8"/>
        <v>0</v>
      </c>
      <c r="BF42" s="238">
        <f t="shared" si="9"/>
        <v>0</v>
      </c>
      <c r="BG42" s="238">
        <f t="shared" si="10"/>
        <v>2</v>
      </c>
      <c r="BH42" s="238">
        <f t="shared" si="11"/>
        <v>2</v>
      </c>
      <c r="BI42" s="238">
        <f t="shared" si="12"/>
        <v>0</v>
      </c>
      <c r="BJ42" s="238">
        <f t="shared" si="13"/>
        <v>0</v>
      </c>
      <c r="BK42" s="238">
        <f t="shared" si="14"/>
        <v>1</v>
      </c>
      <c r="BL42" s="238">
        <f t="shared" si="15"/>
        <v>0.5</v>
      </c>
      <c r="BM42" s="238">
        <f t="shared" si="16"/>
        <v>4</v>
      </c>
      <c r="BN42" s="238">
        <f t="shared" si="17"/>
        <v>4</v>
      </c>
      <c r="BO42" s="238">
        <f>COUNTIF($D42:$AA42,BO$4)</f>
        <v>0</v>
      </c>
      <c r="BP42" s="238">
        <f>COUNTIF($D42:$AA42,BP$4)</f>
        <v>1</v>
      </c>
      <c r="BQ42" s="238">
        <f>COUNTIF($D42:$AA42,BQ$4)</f>
        <v>0</v>
      </c>
      <c r="BR42" s="247"/>
    </row>
    <row r="43" ht="19.5" customHeight="1" spans="1:70">
      <c r="A43" s="233"/>
      <c r="B43" s="195" t="s">
        <v>148</v>
      </c>
      <c r="C43" s="281"/>
      <c r="D43" s="197"/>
      <c r="E43" s="197"/>
      <c r="F43" s="197"/>
      <c r="G43" s="136"/>
      <c r="H43" s="136"/>
      <c r="I43" s="197"/>
      <c r="J43" s="197"/>
      <c r="K43" s="197"/>
      <c r="L43" s="197"/>
      <c r="M43" s="136"/>
      <c r="N43" s="197"/>
      <c r="O43" s="197"/>
      <c r="P43" s="197"/>
      <c r="Q43" s="53"/>
      <c r="R43" s="53"/>
      <c r="S43" s="197"/>
      <c r="T43" s="196"/>
      <c r="U43" s="198"/>
      <c r="V43" s="136"/>
      <c r="W43" s="137"/>
      <c r="X43" s="197"/>
      <c r="Y43" s="282"/>
      <c r="Z43" s="282"/>
      <c r="AA43" s="282"/>
      <c r="AB43" s="282"/>
      <c r="AC43" s="282"/>
      <c r="AD43" s="282"/>
      <c r="AE43" s="197"/>
      <c r="AF43" s="197"/>
      <c r="AG43" s="196"/>
      <c r="AH43" s="197"/>
      <c r="AI43" s="237"/>
      <c r="AJ43" s="248"/>
      <c r="AK43" s="237"/>
      <c r="AL43" s="237"/>
      <c r="AM43" s="246"/>
      <c r="AN43" s="246"/>
      <c r="AO43" s="246"/>
      <c r="AP43" s="246"/>
      <c r="AQ43" s="246"/>
      <c r="AR43" s="246"/>
      <c r="AS43" s="246"/>
      <c r="AT43" s="246"/>
      <c r="AU43" s="238"/>
      <c r="AV43" s="246"/>
      <c r="AW43" s="246"/>
      <c r="AX43" s="238"/>
      <c r="AY43" s="246"/>
      <c r="AZ43" s="246"/>
      <c r="BA43" s="238"/>
      <c r="BB43" s="238" t="s">
        <v>663</v>
      </c>
      <c r="BC43" s="238">
        <f>SUM(BC18:BC42)</f>
        <v>203.5</v>
      </c>
      <c r="BD43" s="238"/>
      <c r="BE43" s="238"/>
      <c r="BF43" s="238"/>
      <c r="BG43" s="238"/>
      <c r="BH43" s="238"/>
      <c r="BI43" s="238"/>
      <c r="BJ43" s="238"/>
      <c r="BK43" s="238"/>
      <c r="BL43" s="238"/>
      <c r="BM43" s="238"/>
      <c r="BN43" s="238"/>
      <c r="BO43" s="246"/>
      <c r="BP43" s="246"/>
      <c r="BQ43" s="246"/>
      <c r="BR43" s="247"/>
    </row>
    <row r="44" ht="19.5" customHeight="1" spans="1:70">
      <c r="A44" s="233"/>
      <c r="B44" s="199" t="s">
        <v>664</v>
      </c>
      <c r="C44" s="281"/>
      <c r="D44" s="282"/>
      <c r="E44" s="282"/>
      <c r="F44" s="282"/>
      <c r="G44" s="282"/>
      <c r="H44" s="197"/>
      <c r="I44" s="197"/>
      <c r="J44" s="197"/>
      <c r="K44" s="197"/>
      <c r="L44" s="197"/>
      <c r="M44" s="136"/>
      <c r="N44" s="197"/>
      <c r="O44" s="197"/>
      <c r="P44" s="197"/>
      <c r="Q44" s="53"/>
      <c r="R44" s="53"/>
      <c r="S44" s="197"/>
      <c r="T44" s="196"/>
      <c r="U44" s="198"/>
      <c r="V44" s="200"/>
      <c r="W44" s="197"/>
      <c r="X44" s="197"/>
      <c r="Y44" s="282"/>
      <c r="Z44" s="282"/>
      <c r="AA44" s="282"/>
      <c r="AB44" s="282"/>
      <c r="AC44" s="282"/>
      <c r="AD44" s="282"/>
      <c r="AE44" s="197"/>
      <c r="AF44" s="197"/>
      <c r="AG44" s="196"/>
      <c r="AH44" s="283"/>
      <c r="AI44" s="237"/>
      <c r="AJ44" s="248"/>
      <c r="AK44" s="237"/>
      <c r="AL44" s="237"/>
      <c r="AM44" s="246"/>
      <c r="AN44" s="246"/>
      <c r="AO44" s="246"/>
      <c r="AP44" s="246"/>
      <c r="AQ44" s="246"/>
      <c r="AR44" s="246"/>
      <c r="AS44" s="246"/>
      <c r="AT44" s="246"/>
      <c r="AU44" s="238"/>
      <c r="AV44" s="246"/>
      <c r="AW44" s="246"/>
      <c r="AX44" s="238"/>
      <c r="AY44" s="246"/>
      <c r="AZ44" s="246"/>
      <c r="BA44" s="238"/>
      <c r="BB44" s="238" t="s">
        <v>665</v>
      </c>
      <c r="BC44" s="238" t="s">
        <v>666</v>
      </c>
      <c r="BD44" s="238"/>
      <c r="BE44" s="238"/>
      <c r="BF44" s="238"/>
      <c r="BG44" s="238"/>
      <c r="BH44" s="238"/>
      <c r="BI44" s="238"/>
      <c r="BJ44" s="238"/>
      <c r="BK44" s="238"/>
      <c r="BL44" s="238"/>
      <c r="BM44" s="238"/>
      <c r="BN44" s="238"/>
      <c r="BO44" s="246"/>
      <c r="BP44" s="246"/>
      <c r="BQ44" s="246"/>
      <c r="BR44" s="247"/>
    </row>
    <row r="45" ht="19.5" customHeight="1" spans="1:70">
      <c r="A45" s="233"/>
      <c r="B45" s="199" t="s">
        <v>667</v>
      </c>
      <c r="C45" s="281"/>
      <c r="D45" s="282"/>
      <c r="E45" s="282"/>
      <c r="F45" s="282"/>
      <c r="G45" s="282"/>
      <c r="H45" s="197"/>
      <c r="I45" s="197"/>
      <c r="J45" s="197"/>
      <c r="K45" s="197"/>
      <c r="L45" s="197"/>
      <c r="M45" s="136"/>
      <c r="N45" s="197"/>
      <c r="O45" s="197"/>
      <c r="P45" s="197"/>
      <c r="Q45" s="53"/>
      <c r="R45" s="53"/>
      <c r="S45" s="197"/>
      <c r="T45" s="196"/>
      <c r="U45" s="198"/>
      <c r="V45" s="200"/>
      <c r="W45" s="197"/>
      <c r="X45" s="197"/>
      <c r="Y45" s="282"/>
      <c r="Z45" s="282"/>
      <c r="AA45" s="282"/>
      <c r="AB45" s="282"/>
      <c r="AC45" s="282"/>
      <c r="AD45" s="282"/>
      <c r="AE45" s="197"/>
      <c r="AF45" s="197"/>
      <c r="AG45" s="196"/>
      <c r="AH45" s="283"/>
      <c r="AI45" s="237"/>
      <c r="AJ45" s="248"/>
      <c r="AK45" s="237"/>
      <c r="AL45" s="237"/>
      <c r="AM45" s="246"/>
      <c r="AN45" s="246"/>
      <c r="AO45" s="246"/>
      <c r="AP45" s="246"/>
      <c r="AQ45" s="246"/>
      <c r="AR45" s="246"/>
      <c r="AS45" s="246"/>
      <c r="AT45" s="246"/>
      <c r="AU45" s="238"/>
      <c r="AV45" s="246"/>
      <c r="AW45" s="246"/>
      <c r="AX45" s="238"/>
      <c r="AY45" s="246"/>
      <c r="AZ45" s="246"/>
      <c r="BA45" s="238"/>
      <c r="BB45" s="238"/>
      <c r="BC45" s="238"/>
      <c r="BD45" s="238"/>
      <c r="BE45" s="238"/>
      <c r="BF45" s="238"/>
      <c r="BG45" s="238"/>
      <c r="BH45" s="238"/>
      <c r="BI45" s="238"/>
      <c r="BJ45" s="238"/>
      <c r="BK45" s="238"/>
      <c r="BL45" s="238"/>
      <c r="BM45" s="238"/>
      <c r="BN45" s="238"/>
      <c r="BO45" s="246"/>
      <c r="BP45" s="246"/>
      <c r="BQ45" s="246"/>
      <c r="BR45" s="247"/>
    </row>
    <row r="46" ht="19.5" customHeight="1" spans="1:70">
      <c r="A46" s="233"/>
      <c r="B46" s="199" t="s">
        <v>668</v>
      </c>
      <c r="C46" s="281"/>
      <c r="D46" s="282"/>
      <c r="E46" s="282"/>
      <c r="F46" s="282"/>
      <c r="G46" s="282"/>
      <c r="H46" s="197"/>
      <c r="I46" s="197"/>
      <c r="J46" s="197"/>
      <c r="K46" s="197"/>
      <c r="L46" s="197"/>
      <c r="M46" s="136"/>
      <c r="N46" s="197"/>
      <c r="O46" s="197"/>
      <c r="P46" s="197"/>
      <c r="Q46" s="53"/>
      <c r="R46" s="53"/>
      <c r="S46" s="197"/>
      <c r="T46" s="196"/>
      <c r="U46" s="198"/>
      <c r="V46" s="200"/>
      <c r="W46" s="197"/>
      <c r="X46" s="197"/>
      <c r="Y46" s="282"/>
      <c r="Z46" s="282"/>
      <c r="AA46" s="282"/>
      <c r="AB46" s="282"/>
      <c r="AC46" s="282"/>
      <c r="AD46" s="282"/>
      <c r="AE46" s="197"/>
      <c r="AF46" s="197"/>
      <c r="AG46" s="196"/>
      <c r="AH46" s="283"/>
      <c r="AI46" s="237"/>
      <c r="AJ46" s="248"/>
      <c r="AK46" s="237"/>
      <c r="AL46" s="237"/>
      <c r="AM46" s="246"/>
      <c r="AN46" s="246"/>
      <c r="AO46" s="246"/>
      <c r="AP46" s="246"/>
      <c r="AQ46" s="246"/>
      <c r="AR46" s="246"/>
      <c r="AS46" s="246"/>
      <c r="AT46" s="246"/>
      <c r="AU46" s="238"/>
      <c r="AV46" s="246"/>
      <c r="AW46" s="246"/>
      <c r="AX46" s="238"/>
      <c r="AY46" s="246"/>
      <c r="AZ46" s="246"/>
      <c r="BA46" s="238"/>
      <c r="BB46" s="238"/>
      <c r="BC46" s="238"/>
      <c r="BD46" s="238"/>
      <c r="BE46" s="238"/>
      <c r="BF46" s="238"/>
      <c r="BG46" s="238"/>
      <c r="BH46" s="238"/>
      <c r="BI46" s="238"/>
      <c r="BJ46" s="238"/>
      <c r="BK46" s="238"/>
      <c r="BL46" s="238"/>
      <c r="BM46" s="238"/>
      <c r="BN46" s="238"/>
      <c r="BO46" s="246"/>
      <c r="BP46" s="246"/>
      <c r="BQ46" s="246"/>
      <c r="BR46" s="247"/>
    </row>
    <row r="47" ht="19.5" customHeight="1" spans="1:70">
      <c r="A47" s="233"/>
      <c r="B47" s="201"/>
      <c r="C47" s="202"/>
      <c r="D47" s="249"/>
      <c r="E47" s="249"/>
      <c r="F47" s="249"/>
      <c r="G47" s="249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50"/>
      <c r="AI47" s="251"/>
      <c r="AJ47" s="252"/>
      <c r="AK47" s="251"/>
      <c r="AL47" s="251"/>
      <c r="AM47" s="253"/>
      <c r="AN47" s="253"/>
      <c r="AO47" s="253"/>
      <c r="AP47" s="253"/>
      <c r="AQ47" s="253"/>
      <c r="AR47" s="253"/>
      <c r="AS47" s="253"/>
      <c r="AT47" s="253"/>
      <c r="AU47" s="253"/>
      <c r="AV47" s="253"/>
      <c r="AW47" s="253"/>
      <c r="AX47" s="253">
        <f>SUMPRODUCT(--WEEKDAY(C$3:AG$3,2)&gt;5,--((C47:AG47="DM"))+(C47:AG47="CS1")+((C47:AG47="CS2"))+(C47:AG47="SB1")+(C47:AG47="AE")+(C47:AG47="EM"))</f>
        <v>0</v>
      </c>
      <c r="AY47" s="253"/>
      <c r="AZ47" s="253">
        <f>(AU47-AV47)/2+(AX47-AY47)</f>
        <v>0</v>
      </c>
      <c r="BA47" s="253"/>
      <c r="BB47" s="253"/>
      <c r="BC47" s="253"/>
      <c r="BD47" s="253"/>
      <c r="BE47" s="253"/>
      <c r="BF47" s="253"/>
      <c r="BG47" s="253"/>
      <c r="BH47" s="253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</row>
    <row r="48" ht="19.5" customHeight="1" spans="1:70">
      <c r="A48" s="233"/>
      <c r="B48" s="205" t="s">
        <v>57</v>
      </c>
      <c r="C48" s="206" t="str">
        <f>VLOOKUP("DM",C5:C43,1,FALSE)</f>
        <v>DM</v>
      </c>
      <c r="D48" s="206" t="str">
        <f>VLOOKUP("DM",D5:D43,1,FALSE)</f>
        <v>DM</v>
      </c>
      <c r="E48" s="206" t="str">
        <f>VLOOKUP("DM",E6:E43,1,FALSE)</f>
        <v>DM</v>
      </c>
      <c r="F48" s="206" t="str">
        <f>VLOOKUP("DM",F5:F43,1,FALSE)</f>
        <v>DM</v>
      </c>
      <c r="G48" s="206" t="str">
        <f>VLOOKUP("DM",G5:G42,1,FALSE)</f>
        <v>DM</v>
      </c>
      <c r="H48" s="206" t="str">
        <f>VLOOKUP("DM",H5:H42,1,FALSE)</f>
        <v>DM</v>
      </c>
      <c r="I48" s="206" t="str">
        <f t="shared" ref="I48:U48" si="58">VLOOKUP("DM",I5:I43,1,FALSE)</f>
        <v>DM</v>
      </c>
      <c r="J48" s="206" t="str">
        <f t="shared" si="58"/>
        <v>DM</v>
      </c>
      <c r="K48" s="206" t="str">
        <f t="shared" si="58"/>
        <v>DM</v>
      </c>
      <c r="L48" s="206" t="str">
        <f t="shared" si="58"/>
        <v>DM</v>
      </c>
      <c r="M48" s="206" t="str">
        <f t="shared" si="58"/>
        <v>DM</v>
      </c>
      <c r="N48" s="206" t="str">
        <f t="shared" si="58"/>
        <v>DM</v>
      </c>
      <c r="O48" s="206" t="str">
        <f t="shared" si="58"/>
        <v>DM</v>
      </c>
      <c r="P48" s="206" t="str">
        <f t="shared" si="58"/>
        <v>DM</v>
      </c>
      <c r="Q48" s="206" t="str">
        <f t="shared" si="58"/>
        <v>DM</v>
      </c>
      <c r="R48" s="206" t="str">
        <f t="shared" si="58"/>
        <v>DM</v>
      </c>
      <c r="S48" s="206" t="str">
        <f t="shared" si="58"/>
        <v>DM</v>
      </c>
      <c r="T48" s="206" t="str">
        <f t="shared" si="58"/>
        <v>DM</v>
      </c>
      <c r="U48" s="206" t="str">
        <f t="shared" si="58"/>
        <v>DM</v>
      </c>
      <c r="V48" s="206" t="str">
        <f>VLOOKUP("DM",V5:V41,1,FALSE)</f>
        <v>DM</v>
      </c>
      <c r="W48" s="206" t="str">
        <f>VLOOKUP("DM",W5:W43,1,FALSE)</f>
        <v>DM</v>
      </c>
      <c r="X48" s="206" t="str">
        <f>VLOOKUP("DM",X5:X43,1,FALSE)</f>
        <v>DM</v>
      </c>
      <c r="Y48" s="206" t="str">
        <f>VLOOKUP("DM",Y5:Y43,1,FALSE)</f>
        <v>DM</v>
      </c>
      <c r="Z48" s="206" t="str">
        <f>VLOOKUP("DM",Z5:Z43,1,FALSE)</f>
        <v>DM</v>
      </c>
      <c r="AA48" s="206" t="str">
        <f>VLOOKUP("DM",AA7:AA43,1,FALSE)</f>
        <v>DM</v>
      </c>
      <c r="AB48" s="206" t="str">
        <f t="shared" ref="AB48:AH48" si="59">VLOOKUP("DM",AB5:AB43,1,FALSE)</f>
        <v>DM</v>
      </c>
      <c r="AC48" s="206" t="str">
        <f t="shared" si="59"/>
        <v>DM</v>
      </c>
      <c r="AD48" s="206" t="str">
        <f t="shared" si="59"/>
        <v>DM</v>
      </c>
      <c r="AE48" s="206" t="e">
        <f t="shared" si="59"/>
        <v>#N/A</v>
      </c>
      <c r="AF48" s="206" t="e">
        <f t="shared" si="59"/>
        <v>#N/A</v>
      </c>
      <c r="AG48" s="206" t="e">
        <f t="shared" si="59"/>
        <v>#N/A</v>
      </c>
      <c r="AH48" s="206" t="e">
        <f t="shared" si="59"/>
        <v>#N/A</v>
      </c>
      <c r="AI48" s="237"/>
      <c r="AJ48" s="248"/>
      <c r="AK48" s="237"/>
      <c r="AL48" s="237"/>
      <c r="AM48" s="238"/>
      <c r="AN48" s="238"/>
      <c r="AO48" s="238"/>
      <c r="AP48" s="238"/>
      <c r="AQ48" s="238"/>
      <c r="AR48" s="238"/>
      <c r="AS48" s="238"/>
      <c r="AT48" s="238"/>
      <c r="AU48" s="238"/>
      <c r="AV48" s="238"/>
      <c r="AW48" s="238"/>
      <c r="AX48" s="238"/>
      <c r="AY48" s="238"/>
      <c r="AZ48" s="238"/>
      <c r="BA48" s="238"/>
      <c r="BB48" s="238"/>
      <c r="BC48" s="238"/>
      <c r="BD48" s="238"/>
      <c r="BE48" s="238"/>
      <c r="BF48" s="238"/>
      <c r="BG48" s="238"/>
      <c r="BH48" s="238"/>
      <c r="BI48" s="238"/>
      <c r="BJ48" s="238"/>
      <c r="BK48" s="238"/>
      <c r="BL48" s="238"/>
      <c r="BM48" s="238"/>
      <c r="BN48" s="238"/>
      <c r="BO48" s="238"/>
      <c r="BP48" s="238"/>
      <c r="BQ48" s="238"/>
      <c r="BR48" s="240"/>
    </row>
    <row r="49" ht="19.5" customHeight="1" spans="1:70">
      <c r="A49" s="233" t="e">
        <f>LTE()</f>
        <v>#NAME?</v>
      </c>
      <c r="B49" s="207" t="s">
        <v>56</v>
      </c>
      <c r="C49" s="206" t="str">
        <f>VLOOKUP("CS1",C5:C43,1,FALSE)</f>
        <v>CS1</v>
      </c>
      <c r="D49" s="206" t="str">
        <f>VLOOKUP("CS1",D5:D43,1,FALSE)</f>
        <v>CS1</v>
      </c>
      <c r="E49" s="206" t="str">
        <f>VLOOKUP("CS1",E6:E43,1,FALSE)</f>
        <v>CS1</v>
      </c>
      <c r="F49" s="206" t="str">
        <f>VLOOKUP("CS1",F5:F43,1,FALSE)</f>
        <v>CS1</v>
      </c>
      <c r="G49" s="206" t="str">
        <f>VLOOKUP("CS1",G5:G42,1,FALSE)</f>
        <v>CS1</v>
      </c>
      <c r="H49" s="206" t="str">
        <f>VLOOKUP("CS1",H5:H42,1,FALSE)</f>
        <v>CS1</v>
      </c>
      <c r="I49" s="206" t="str">
        <f t="shared" ref="I49:U49" si="60">VLOOKUP("CS1",I5:I43,1,FALSE)</f>
        <v>CS1</v>
      </c>
      <c r="J49" s="206" t="str">
        <f t="shared" si="60"/>
        <v>CS1</v>
      </c>
      <c r="K49" s="206" t="str">
        <f t="shared" si="60"/>
        <v>CS1</v>
      </c>
      <c r="L49" s="206" t="str">
        <f t="shared" si="60"/>
        <v>CS1</v>
      </c>
      <c r="M49" s="206" t="str">
        <f t="shared" si="60"/>
        <v>CS1</v>
      </c>
      <c r="N49" s="206" t="str">
        <f t="shared" si="60"/>
        <v>CS1</v>
      </c>
      <c r="O49" s="206" t="str">
        <f t="shared" si="60"/>
        <v>CS1</v>
      </c>
      <c r="P49" s="206" t="str">
        <f t="shared" si="60"/>
        <v>CS1</v>
      </c>
      <c r="Q49" s="206" t="str">
        <f t="shared" si="60"/>
        <v>CS1</v>
      </c>
      <c r="R49" s="206" t="str">
        <f t="shared" si="60"/>
        <v>CS1</v>
      </c>
      <c r="S49" s="206" t="str">
        <f t="shared" si="60"/>
        <v>CS1</v>
      </c>
      <c r="T49" s="206" t="str">
        <f t="shared" si="60"/>
        <v>CS1</v>
      </c>
      <c r="U49" s="206" t="str">
        <f t="shared" si="60"/>
        <v>CS1</v>
      </c>
      <c r="V49" s="206" t="str">
        <f>VLOOKUP("CS1",V5:V41,1,FALSE)</f>
        <v>CS1</v>
      </c>
      <c r="W49" s="206" t="str">
        <f>VLOOKUP("CS1",W5:W43,1,FALSE)</f>
        <v>CS1</v>
      </c>
      <c r="X49" s="206" t="str">
        <f>VLOOKUP("CS1",X5:X43,1,FALSE)</f>
        <v>CS1</v>
      </c>
      <c r="Y49" s="206" t="str">
        <f>VLOOKUP("CS1",Y5:Y43,1,FALSE)</f>
        <v>CS1</v>
      </c>
      <c r="Z49" s="206" t="str">
        <f>VLOOKUP("CS1",Z5:Z43,1,FALSE)</f>
        <v>CS1</v>
      </c>
      <c r="AA49" s="206" t="str">
        <f>VLOOKUP("CS1",AA7:AA43,1,FALSE)</f>
        <v>CS1</v>
      </c>
      <c r="AB49" s="206" t="str">
        <f t="shared" ref="AB49:AH49" si="61">VLOOKUP("CS1",AB5:AB43,1,FALSE)</f>
        <v>CS1</v>
      </c>
      <c r="AC49" s="206" t="str">
        <f t="shared" si="61"/>
        <v>CS1</v>
      </c>
      <c r="AD49" s="206" t="str">
        <f t="shared" si="61"/>
        <v>CS1</v>
      </c>
      <c r="AE49" s="206" t="e">
        <f t="shared" si="61"/>
        <v>#N/A</v>
      </c>
      <c r="AF49" s="206" t="e">
        <f t="shared" si="61"/>
        <v>#N/A</v>
      </c>
      <c r="AG49" s="206" t="e">
        <f t="shared" si="61"/>
        <v>#N/A</v>
      </c>
      <c r="AH49" s="206" t="e">
        <f t="shared" si="61"/>
        <v>#N/A</v>
      </c>
      <c r="AI49" s="237"/>
      <c r="AJ49" s="248"/>
      <c r="AK49" s="237"/>
      <c r="AL49" s="237"/>
      <c r="AM49" s="238"/>
      <c r="AN49" s="238"/>
      <c r="AO49" s="238"/>
      <c r="AP49" s="238"/>
      <c r="AQ49" s="238"/>
      <c r="AR49" s="238"/>
      <c r="AS49" s="238"/>
      <c r="AT49" s="238"/>
      <c r="AU49" s="238"/>
      <c r="AV49" s="238"/>
      <c r="AW49" s="238"/>
      <c r="AX49" s="238"/>
      <c r="AY49" s="238"/>
      <c r="AZ49" s="238"/>
      <c r="BA49" s="238"/>
      <c r="BB49" s="238"/>
      <c r="BC49" s="238"/>
      <c r="BD49" s="238"/>
      <c r="BE49" s="238"/>
      <c r="BF49" s="238"/>
      <c r="BG49" s="238"/>
      <c r="BH49" s="238"/>
      <c r="BI49" s="238"/>
      <c r="BJ49" s="238"/>
      <c r="BK49" s="238"/>
      <c r="BL49" s="238"/>
      <c r="BM49" s="238"/>
      <c r="BN49" s="238"/>
      <c r="BO49" s="238"/>
      <c r="BP49" s="238"/>
      <c r="BQ49" s="238"/>
      <c r="BR49" s="240"/>
    </row>
    <row r="50" ht="19.5" customHeight="1" spans="1:70">
      <c r="A50" s="233"/>
      <c r="B50" s="208" t="s">
        <v>59</v>
      </c>
      <c r="C50" s="206" t="e">
        <f>VLOOKUP("CS2",C5:C43,1,FALSE)</f>
        <v>#N/A</v>
      </c>
      <c r="D50" s="206" t="e">
        <f>VLOOKUP("CS2",D5:D43,1,FALSE)</f>
        <v>#N/A</v>
      </c>
      <c r="E50" s="206" t="str">
        <f>VLOOKUP("CS2",E6:E43,1,FALSE)</f>
        <v>CS2</v>
      </c>
      <c r="F50" s="206" t="str">
        <f>VLOOKUP("CS2",F5:F43,1,FALSE)</f>
        <v>CS2</v>
      </c>
      <c r="G50" s="206" t="e">
        <f>VLOOKUP("CS2",G5:G42,1,FALSE)</f>
        <v>#N/A</v>
      </c>
      <c r="H50" s="206" t="str">
        <f>VLOOKUP("CS2",H5:H42,1,FALSE)</f>
        <v>CS2</v>
      </c>
      <c r="I50" s="206" t="str">
        <f t="shared" ref="I50:U50" si="62">VLOOKUP("CS2",I5:I43,1,FALSE)</f>
        <v>CS2</v>
      </c>
      <c r="J50" s="206" t="e">
        <f t="shared" si="62"/>
        <v>#N/A</v>
      </c>
      <c r="K50" s="206" t="e">
        <f t="shared" si="62"/>
        <v>#N/A</v>
      </c>
      <c r="L50" s="206" t="str">
        <f t="shared" si="62"/>
        <v>CS2</v>
      </c>
      <c r="M50" s="206" t="str">
        <f t="shared" si="62"/>
        <v>CS2</v>
      </c>
      <c r="N50" s="206" t="e">
        <f t="shared" si="62"/>
        <v>#N/A</v>
      </c>
      <c r="O50" s="206" t="str">
        <f t="shared" si="62"/>
        <v>CS2</v>
      </c>
      <c r="P50" s="206" t="str">
        <f t="shared" si="62"/>
        <v>CS2</v>
      </c>
      <c r="Q50" s="206" t="e">
        <f t="shared" si="62"/>
        <v>#N/A</v>
      </c>
      <c r="R50" s="206" t="e">
        <f t="shared" si="62"/>
        <v>#N/A</v>
      </c>
      <c r="S50" s="206" t="str">
        <f t="shared" si="62"/>
        <v>CS2</v>
      </c>
      <c r="T50" s="206" t="str">
        <f t="shared" si="62"/>
        <v>CS2</v>
      </c>
      <c r="U50" s="206" t="e">
        <f t="shared" si="62"/>
        <v>#N/A</v>
      </c>
      <c r="V50" s="206" t="str">
        <f>VLOOKUP("CS2",V5:V41,1,FALSE)</f>
        <v>CS2</v>
      </c>
      <c r="W50" s="206" t="str">
        <f>VLOOKUP("CS2",W5:W43,1,FALSE)</f>
        <v>CS2</v>
      </c>
      <c r="X50" s="206" t="e">
        <f>VLOOKUP("CS2",X5:X43,1,FALSE)</f>
        <v>#N/A</v>
      </c>
      <c r="Y50" s="206" t="e">
        <f>VLOOKUP("CS2",Y5:Y43,1,FALSE)</f>
        <v>#N/A</v>
      </c>
      <c r="Z50" s="206" t="str">
        <f>VLOOKUP("CS2",Z5:Z43,1,FALSE)</f>
        <v>CS2</v>
      </c>
      <c r="AA50" s="206" t="e">
        <f>VLOOKUP("CS2",AA7:AA43,1,FALSE)</f>
        <v>#N/A</v>
      </c>
      <c r="AB50" s="206" t="e">
        <f t="shared" ref="AB50:AH50" si="63">VLOOKUP("CS2",AB5:AB43,1,FALSE)</f>
        <v>#N/A</v>
      </c>
      <c r="AC50" s="206" t="str">
        <f t="shared" si="63"/>
        <v>CS2</v>
      </c>
      <c r="AD50" s="206" t="str">
        <f t="shared" si="63"/>
        <v>CS2</v>
      </c>
      <c r="AE50" s="206" t="e">
        <f t="shared" si="63"/>
        <v>#N/A</v>
      </c>
      <c r="AF50" s="206" t="e">
        <f t="shared" si="63"/>
        <v>#N/A</v>
      </c>
      <c r="AG50" s="206" t="e">
        <f t="shared" si="63"/>
        <v>#N/A</v>
      </c>
      <c r="AH50" s="206" t="e">
        <f t="shared" si="63"/>
        <v>#N/A</v>
      </c>
      <c r="AI50" s="237"/>
      <c r="AJ50" s="248"/>
      <c r="AK50" s="237"/>
      <c r="AL50" s="237"/>
      <c r="AM50" s="238"/>
      <c r="AN50" s="238"/>
      <c r="AO50" s="238"/>
      <c r="AP50" s="238"/>
      <c r="AQ50" s="238"/>
      <c r="AR50" s="238"/>
      <c r="AS50" s="238"/>
      <c r="AT50" s="238"/>
      <c r="AU50" s="238"/>
      <c r="AV50" s="238"/>
      <c r="AW50" s="238"/>
      <c r="AX50" s="238"/>
      <c r="AY50" s="238"/>
      <c r="AZ50" s="238"/>
      <c r="BA50" s="238"/>
      <c r="BB50" s="238"/>
      <c r="BC50" s="238"/>
      <c r="BD50" s="238"/>
      <c r="BE50" s="238"/>
      <c r="BF50" s="238"/>
      <c r="BG50" s="238"/>
      <c r="BH50" s="238"/>
      <c r="BI50" s="238"/>
      <c r="BJ50" s="238"/>
      <c r="BK50" s="238"/>
      <c r="BL50" s="238"/>
      <c r="BM50" s="238"/>
      <c r="BN50" s="238"/>
      <c r="BO50" s="238"/>
      <c r="BP50" s="238"/>
      <c r="BQ50" s="238"/>
      <c r="BR50" s="240"/>
    </row>
    <row r="51" ht="19.5" customHeight="1" spans="1:70">
      <c r="A51" s="233"/>
      <c r="B51" s="209" t="s">
        <v>566</v>
      </c>
      <c r="C51" s="206" t="str">
        <f>VLOOKUP("CS/B",C5:C43,1,FALSE)</f>
        <v>CS/B</v>
      </c>
      <c r="D51" s="206" t="str">
        <f>VLOOKUP("CS/B",D5:D43,1,FALSE)</f>
        <v>CS/B</v>
      </c>
      <c r="E51" s="206" t="e">
        <f>VLOOKUP("CS/B",E6:E43,1,FALSE)</f>
        <v>#N/A</v>
      </c>
      <c r="F51" s="206" t="e">
        <f>VLOOKUP("CS/B",F5:F43,1,FALSE)</f>
        <v>#N/A</v>
      </c>
      <c r="G51" s="206" t="str">
        <f>VLOOKUP("CS/B",G5:G42,1,FALSE)</f>
        <v>CS/B</v>
      </c>
      <c r="H51" s="206" t="e">
        <f>VLOOKUP("CS/B",H5:H42,1,FALSE)</f>
        <v>#N/A</v>
      </c>
      <c r="I51" s="206" t="e">
        <f t="shared" ref="I51:U51" si="64">VLOOKUP("CS/B",I5:I43,1,FALSE)</f>
        <v>#N/A</v>
      </c>
      <c r="J51" s="206" t="str">
        <f t="shared" si="64"/>
        <v>CS/B</v>
      </c>
      <c r="K51" s="206" t="str">
        <f t="shared" si="64"/>
        <v>CS/B</v>
      </c>
      <c r="L51" s="206" t="e">
        <f t="shared" si="64"/>
        <v>#N/A</v>
      </c>
      <c r="M51" s="206" t="e">
        <f t="shared" si="64"/>
        <v>#N/A</v>
      </c>
      <c r="N51" s="206" t="str">
        <f t="shared" si="64"/>
        <v>CS/B</v>
      </c>
      <c r="O51" s="206" t="e">
        <f t="shared" si="64"/>
        <v>#N/A</v>
      </c>
      <c r="P51" s="206" t="e">
        <f t="shared" si="64"/>
        <v>#N/A</v>
      </c>
      <c r="Q51" s="206" t="str">
        <f t="shared" si="64"/>
        <v>CS/B</v>
      </c>
      <c r="R51" s="206" t="str">
        <f t="shared" si="64"/>
        <v>CS/B</v>
      </c>
      <c r="S51" s="206" t="e">
        <f t="shared" si="64"/>
        <v>#N/A</v>
      </c>
      <c r="T51" s="206" t="e">
        <f t="shared" si="64"/>
        <v>#N/A</v>
      </c>
      <c r="U51" s="206" t="str">
        <f t="shared" si="64"/>
        <v>CS/B</v>
      </c>
      <c r="V51" s="206" t="e">
        <f>VLOOKUP("CS/B",V5:V41,1,FALSE)</f>
        <v>#N/A</v>
      </c>
      <c r="W51" s="206" t="e">
        <f>VLOOKUP("CS/B",W5:W43,1,FALSE)</f>
        <v>#N/A</v>
      </c>
      <c r="X51" s="206" t="str">
        <f>VLOOKUP("CS/B",X5:X43,1,FALSE)</f>
        <v>CS/B</v>
      </c>
      <c r="Y51" s="206" t="str">
        <f>VLOOKUP("CS/B",Y5:Y43,1,FALSE)</f>
        <v>CS/B</v>
      </c>
      <c r="Z51" s="206" t="e">
        <f>VLOOKUP("CS/B",Z5:Z43,1,FALSE)</f>
        <v>#N/A</v>
      </c>
      <c r="AA51" s="206" t="e">
        <f>VLOOKUP("CS/B",AA7:AA43,1,FALSE)</f>
        <v>#N/A</v>
      </c>
      <c r="AB51" s="206" t="str">
        <f t="shared" ref="AB51:AH51" si="65">VLOOKUP("CS/B",AB5:AB43,1,FALSE)</f>
        <v>CS/B</v>
      </c>
      <c r="AC51" s="206" t="e">
        <f t="shared" si="65"/>
        <v>#N/A</v>
      </c>
      <c r="AD51" s="206" t="e">
        <f t="shared" si="65"/>
        <v>#N/A</v>
      </c>
      <c r="AE51" s="206" t="e">
        <f t="shared" si="65"/>
        <v>#N/A</v>
      </c>
      <c r="AF51" s="206" t="e">
        <f t="shared" si="65"/>
        <v>#N/A</v>
      </c>
      <c r="AG51" s="206" t="e">
        <f t="shared" si="65"/>
        <v>#N/A</v>
      </c>
      <c r="AH51" s="206" t="e">
        <f t="shared" si="65"/>
        <v>#N/A</v>
      </c>
      <c r="AI51" s="237"/>
      <c r="AJ51" s="248"/>
      <c r="AK51" s="237"/>
      <c r="AL51" s="237"/>
      <c r="AM51" s="238"/>
      <c r="AN51" s="238"/>
      <c r="AO51" s="238"/>
      <c r="AP51" s="238"/>
      <c r="AQ51" s="238"/>
      <c r="AR51" s="238"/>
      <c r="AS51" s="238"/>
      <c r="AT51" s="238"/>
      <c r="AU51" s="238"/>
      <c r="AV51" s="238"/>
      <c r="AW51" s="238"/>
      <c r="AX51" s="238"/>
      <c r="AY51" s="238"/>
      <c r="AZ51" s="238"/>
      <c r="BA51" s="238"/>
      <c r="BB51" s="238"/>
      <c r="BC51" s="238"/>
      <c r="BD51" s="238"/>
      <c r="BE51" s="238"/>
      <c r="BF51" s="238"/>
      <c r="BG51" s="238"/>
      <c r="BH51" s="238"/>
      <c r="BI51" s="238"/>
      <c r="BJ51" s="238"/>
      <c r="BK51" s="238"/>
      <c r="BL51" s="238"/>
      <c r="BM51" s="238"/>
      <c r="BN51" s="238"/>
      <c r="BO51" s="238"/>
      <c r="BP51" s="238"/>
      <c r="BQ51" s="238"/>
      <c r="BR51" s="240"/>
    </row>
    <row r="52" ht="19.5" customHeight="1" spans="1:70">
      <c r="A52" s="233"/>
      <c r="B52" s="210" t="s">
        <v>58</v>
      </c>
      <c r="C52" s="206" t="e">
        <f>VLOOKUP("SB1",C5:C43,1,FALSE)</f>
        <v>#N/A</v>
      </c>
      <c r="D52" s="206" t="e">
        <f>VLOOKUP("SB1",D5:D43,1,FALSE)</f>
        <v>#N/A</v>
      </c>
      <c r="E52" s="206" t="str">
        <f>VLOOKUP("SB1",E6:E43,1,FALSE)</f>
        <v>SB1</v>
      </c>
      <c r="F52" s="206" t="str">
        <f>VLOOKUP("SB1",F5:F43,1,FALSE)</f>
        <v>SB1</v>
      </c>
      <c r="G52" s="206" t="e">
        <f>VLOOKUP("SB1",G5:G42,1,FALSE)</f>
        <v>#N/A</v>
      </c>
      <c r="H52" s="206" t="str">
        <f>VLOOKUP("SB1",H5:H42,1,FALSE)</f>
        <v>SB1</v>
      </c>
      <c r="I52" s="206" t="str">
        <f t="shared" ref="I52:U52" si="66">VLOOKUP("SB1",I5:I43,1,FALSE)</f>
        <v>SB1</v>
      </c>
      <c r="J52" s="206" t="e">
        <f t="shared" si="66"/>
        <v>#N/A</v>
      </c>
      <c r="K52" s="206" t="e">
        <f t="shared" si="66"/>
        <v>#N/A</v>
      </c>
      <c r="L52" s="206" t="str">
        <f t="shared" si="66"/>
        <v>SB1</v>
      </c>
      <c r="M52" s="206" t="str">
        <f t="shared" si="66"/>
        <v>SB1</v>
      </c>
      <c r="N52" s="206" t="e">
        <f t="shared" si="66"/>
        <v>#N/A</v>
      </c>
      <c r="O52" s="206" t="str">
        <f t="shared" si="66"/>
        <v>SB1</v>
      </c>
      <c r="P52" s="206" t="str">
        <f t="shared" si="66"/>
        <v>SB1</v>
      </c>
      <c r="Q52" s="206" t="e">
        <f t="shared" si="66"/>
        <v>#N/A</v>
      </c>
      <c r="R52" s="206" t="e">
        <f t="shared" si="66"/>
        <v>#N/A</v>
      </c>
      <c r="S52" s="206" t="e">
        <f t="shared" si="66"/>
        <v>#N/A</v>
      </c>
      <c r="T52" s="206" t="e">
        <f t="shared" si="66"/>
        <v>#N/A</v>
      </c>
      <c r="U52" s="206" t="e">
        <f t="shared" si="66"/>
        <v>#N/A</v>
      </c>
      <c r="V52" s="206" t="e">
        <f>VLOOKUP("SB1",V5:V41,1,FALSE)</f>
        <v>#N/A</v>
      </c>
      <c r="W52" s="206" t="e">
        <f>VLOOKUP("SB1",W5:W43,1,FALSE)</f>
        <v>#N/A</v>
      </c>
      <c r="X52" s="206" t="e">
        <f>VLOOKUP("SB1",X5:X43,1,FALSE)</f>
        <v>#N/A</v>
      </c>
      <c r="Y52" s="206" t="e">
        <f>VLOOKUP("SB1",Y5:Y43,1,FALSE)</f>
        <v>#N/A</v>
      </c>
      <c r="Z52" s="206" t="str">
        <f>VLOOKUP("SB1",Z5:Z43,1,FALSE)</f>
        <v>SB1</v>
      </c>
      <c r="AA52" s="206" t="str">
        <f>VLOOKUP("SB1",AA7:AA43,1,FALSE)</f>
        <v>SB1</v>
      </c>
      <c r="AB52" s="206" t="e">
        <f t="shared" ref="AB52:AH52" si="67">VLOOKUP("SB1",AB5:AB43,1,FALSE)</f>
        <v>#N/A</v>
      </c>
      <c r="AC52" s="206" t="e">
        <f t="shared" si="67"/>
        <v>#N/A</v>
      </c>
      <c r="AD52" s="206" t="e">
        <f t="shared" si="67"/>
        <v>#N/A</v>
      </c>
      <c r="AE52" s="206" t="e">
        <f t="shared" si="67"/>
        <v>#N/A</v>
      </c>
      <c r="AF52" s="206" t="e">
        <f t="shared" si="67"/>
        <v>#N/A</v>
      </c>
      <c r="AG52" s="206" t="e">
        <f t="shared" si="67"/>
        <v>#N/A</v>
      </c>
      <c r="AH52" s="206" t="e">
        <f t="shared" si="67"/>
        <v>#N/A</v>
      </c>
      <c r="AI52" s="237"/>
      <c r="AJ52" s="248"/>
      <c r="AK52" s="237"/>
      <c r="AL52" s="237"/>
      <c r="AM52" s="238"/>
      <c r="AN52" s="238"/>
      <c r="AO52" s="238"/>
      <c r="AP52" s="238"/>
      <c r="AQ52" s="238"/>
      <c r="AR52" s="238"/>
      <c r="AS52" s="238"/>
      <c r="AT52" s="238"/>
      <c r="AU52" s="238"/>
      <c r="AV52" s="238"/>
      <c r="AW52" s="238"/>
      <c r="AX52" s="238"/>
      <c r="AY52" s="238"/>
      <c r="AZ52" s="238"/>
      <c r="BA52" s="238"/>
      <c r="BB52" s="238"/>
      <c r="BC52" s="238"/>
      <c r="BD52" s="238"/>
      <c r="BE52" s="238"/>
      <c r="BF52" s="238"/>
      <c r="BG52" s="238"/>
      <c r="BH52" s="238"/>
      <c r="BI52" s="238"/>
      <c r="BJ52" s="238"/>
      <c r="BK52" s="238"/>
      <c r="BL52" s="238"/>
      <c r="BM52" s="238"/>
      <c r="BN52" s="238"/>
      <c r="BO52" s="238"/>
      <c r="BP52" s="238"/>
      <c r="BQ52" s="238"/>
      <c r="BR52" s="240"/>
    </row>
    <row r="53" ht="18.75" customHeight="1" spans="1:70">
      <c r="A53" s="233"/>
      <c r="B53" s="211" t="s">
        <v>93</v>
      </c>
      <c r="C53" s="206" t="e">
        <f>VLOOKUP("SB2",C5:C43,1,FALSE)</f>
        <v>#N/A</v>
      </c>
      <c r="D53" s="206" t="str">
        <f>VLOOKUP("SB2",D5:D43,1,FALSE)</f>
        <v>SB2</v>
      </c>
      <c r="E53" s="206" t="str">
        <f>VLOOKUP("SB2",E6:E43,1,FALSE)</f>
        <v>SB2</v>
      </c>
      <c r="F53" s="206" t="str">
        <f>VLOOKUP("SB2",F5:F43,1,FALSE)</f>
        <v>SB2</v>
      </c>
      <c r="G53" s="206" t="str">
        <f>VLOOKUP("SB2",G5:G42,1,FALSE)</f>
        <v>SB2</v>
      </c>
      <c r="H53" s="206" t="str">
        <f>VLOOKUP("SB2",H5:H42,1,FALSE)</f>
        <v>SB2</v>
      </c>
      <c r="I53" s="206" t="e">
        <f t="shared" ref="I53:U53" si="68">VLOOKUP("SB2",I5:I43,1,FALSE)</f>
        <v>#N/A</v>
      </c>
      <c r="J53" s="206" t="e">
        <f t="shared" si="68"/>
        <v>#N/A</v>
      </c>
      <c r="K53" s="206" t="str">
        <f t="shared" si="68"/>
        <v>SB2</v>
      </c>
      <c r="L53" s="206" t="str">
        <f t="shared" si="68"/>
        <v>SB2</v>
      </c>
      <c r="M53" s="206" t="str">
        <f t="shared" si="68"/>
        <v>SB2</v>
      </c>
      <c r="N53" s="206" t="str">
        <f t="shared" si="68"/>
        <v>SB2</v>
      </c>
      <c r="O53" s="206" t="str">
        <f t="shared" si="68"/>
        <v>SB2</v>
      </c>
      <c r="P53" s="206" t="e">
        <f t="shared" si="68"/>
        <v>#N/A</v>
      </c>
      <c r="Q53" s="206" t="e">
        <f t="shared" si="68"/>
        <v>#N/A</v>
      </c>
      <c r="R53" s="206" t="str">
        <f t="shared" si="68"/>
        <v>SB2</v>
      </c>
      <c r="S53" s="206" t="e">
        <f t="shared" si="68"/>
        <v>#N/A</v>
      </c>
      <c r="T53" s="206" t="e">
        <f t="shared" si="68"/>
        <v>#N/A</v>
      </c>
      <c r="U53" s="206" t="str">
        <f t="shared" si="68"/>
        <v>SB2</v>
      </c>
      <c r="V53" s="206" t="str">
        <f>VLOOKUP("SB2",V5:V41,1,FALSE)</f>
        <v>SB2</v>
      </c>
      <c r="W53" s="206" t="e">
        <f>VLOOKUP("SB2",W5:W43,1,FALSE)</f>
        <v>#N/A</v>
      </c>
      <c r="X53" s="206" t="e">
        <f>VLOOKUP("SB2",X5:X43,1,FALSE)</f>
        <v>#N/A</v>
      </c>
      <c r="Y53" s="206" t="str">
        <f>VLOOKUP("SB2",Y5:Y43,1,FALSE)</f>
        <v>SB2</v>
      </c>
      <c r="Z53" s="206" t="str">
        <f>VLOOKUP("SB2",Z5:Z43,1,FALSE)</f>
        <v>SB2</v>
      </c>
      <c r="AA53" s="206" t="str">
        <f>VLOOKUP("SB2",AA7:AA43,1,FALSE)</f>
        <v>SB2</v>
      </c>
      <c r="AB53" s="206" t="str">
        <f t="shared" ref="AB53:AH53" si="69">VLOOKUP("SB2",AB5:AB43,1,FALSE)</f>
        <v>SB2</v>
      </c>
      <c r="AC53" s="206" t="str">
        <f t="shared" si="69"/>
        <v>SB2</v>
      </c>
      <c r="AD53" s="206" t="e">
        <f t="shared" si="69"/>
        <v>#N/A</v>
      </c>
      <c r="AE53" s="206" t="e">
        <f t="shared" si="69"/>
        <v>#N/A</v>
      </c>
      <c r="AF53" s="206" t="e">
        <f t="shared" si="69"/>
        <v>#N/A</v>
      </c>
      <c r="AG53" s="206" t="e">
        <f t="shared" si="69"/>
        <v>#N/A</v>
      </c>
      <c r="AH53" s="206" t="e">
        <f t="shared" si="69"/>
        <v>#N/A</v>
      </c>
      <c r="AI53" s="237"/>
      <c r="AJ53" s="248"/>
      <c r="AK53" s="237"/>
      <c r="AL53" s="237"/>
      <c r="AM53" s="238"/>
      <c r="AN53" s="238"/>
      <c r="AO53" s="238"/>
      <c r="AP53" s="238"/>
      <c r="AQ53" s="238"/>
      <c r="AR53" s="238"/>
      <c r="AS53" s="238"/>
      <c r="AT53" s="238"/>
      <c r="AU53" s="238"/>
      <c r="AV53" s="238"/>
      <c r="AW53" s="238"/>
      <c r="AX53" s="238"/>
      <c r="AY53" s="238"/>
      <c r="AZ53" s="238"/>
      <c r="BA53" s="238"/>
      <c r="BB53" s="238"/>
      <c r="BC53" s="238"/>
      <c r="BD53" s="238"/>
      <c r="BE53" s="238"/>
      <c r="BF53" s="238"/>
      <c r="BG53" s="238"/>
      <c r="BH53" s="238"/>
      <c r="BI53" s="238"/>
      <c r="BJ53" s="238"/>
      <c r="BK53" s="238"/>
      <c r="BL53" s="238"/>
      <c r="BM53" s="238"/>
      <c r="BN53" s="238"/>
      <c r="BO53" s="238"/>
      <c r="BP53" s="238"/>
      <c r="BQ53" s="238"/>
      <c r="BR53" s="240"/>
    </row>
    <row r="54" ht="19.5" customHeight="1" spans="1:70">
      <c r="A54" s="233"/>
      <c r="B54" s="212" t="s">
        <v>65</v>
      </c>
      <c r="C54" s="206" t="str">
        <f>VLOOKUP("AE",C5:C43,1,FALSE)</f>
        <v>AE</v>
      </c>
      <c r="D54" s="206" t="str">
        <f>VLOOKUP("AE",D5:D43,1,FALSE)</f>
        <v>AE</v>
      </c>
      <c r="E54" s="206" t="str">
        <f>VLOOKUP("AE",E6:E43,1,FALSE)</f>
        <v>AE</v>
      </c>
      <c r="F54" s="206" t="str">
        <f>VLOOKUP("AE",F5:F43,1,FALSE)</f>
        <v>AE</v>
      </c>
      <c r="G54" s="206" t="str">
        <f>VLOOKUP("AE",G5:G42,1,FALSE)</f>
        <v>AE</v>
      </c>
      <c r="H54" s="206" t="str">
        <f>VLOOKUP("AE",H5:H42,1,FALSE)</f>
        <v>AE</v>
      </c>
      <c r="I54" s="206" t="str">
        <f t="shared" ref="I54:U54" si="70">VLOOKUP("AE",I5:I43,1,FALSE)</f>
        <v>AE</v>
      </c>
      <c r="J54" s="206" t="str">
        <f t="shared" si="70"/>
        <v>AE</v>
      </c>
      <c r="K54" s="206" t="str">
        <f t="shared" si="70"/>
        <v>AE</v>
      </c>
      <c r="L54" s="206" t="str">
        <f t="shared" si="70"/>
        <v>AE</v>
      </c>
      <c r="M54" s="206" t="str">
        <f t="shared" si="70"/>
        <v>AE</v>
      </c>
      <c r="N54" s="206" t="str">
        <f t="shared" si="70"/>
        <v>AE</v>
      </c>
      <c r="O54" s="206" t="str">
        <f t="shared" si="70"/>
        <v>AE</v>
      </c>
      <c r="P54" s="206" t="str">
        <f t="shared" si="70"/>
        <v>AE</v>
      </c>
      <c r="Q54" s="206" t="str">
        <f t="shared" si="70"/>
        <v>AE</v>
      </c>
      <c r="R54" s="206" t="str">
        <f t="shared" si="70"/>
        <v>AE</v>
      </c>
      <c r="S54" s="206" t="str">
        <f t="shared" si="70"/>
        <v>AE</v>
      </c>
      <c r="T54" s="206" t="str">
        <f t="shared" si="70"/>
        <v>AE</v>
      </c>
      <c r="U54" s="206" t="str">
        <f t="shared" si="70"/>
        <v>AE</v>
      </c>
      <c r="V54" s="206" t="str">
        <f>VLOOKUP("AE",V5:V41,1,FALSE)</f>
        <v>AE</v>
      </c>
      <c r="W54" s="206" t="str">
        <f>VLOOKUP("AE",W5:W43,1,FALSE)</f>
        <v>AE</v>
      </c>
      <c r="X54" s="206" t="str">
        <f>VLOOKUP("AE",X5:X43,1,FALSE)</f>
        <v>AE</v>
      </c>
      <c r="Y54" s="206" t="str">
        <f>VLOOKUP("AE",Y5:Y43,1,FALSE)</f>
        <v>AE</v>
      </c>
      <c r="Z54" s="206" t="str">
        <f>VLOOKUP("AE",Z5:Z43,1,FALSE)</f>
        <v>AE</v>
      </c>
      <c r="AA54" s="206" t="str">
        <f>VLOOKUP("AE",AA7:AA43,1,FALSE)</f>
        <v>AE</v>
      </c>
      <c r="AB54" s="206" t="str">
        <f t="shared" ref="AB54:AH54" si="71">VLOOKUP("AE",AB5:AB43,1,FALSE)</f>
        <v>AE</v>
      </c>
      <c r="AC54" s="206" t="str">
        <f t="shared" si="71"/>
        <v>AE</v>
      </c>
      <c r="AD54" s="206" t="str">
        <f t="shared" si="71"/>
        <v>AE</v>
      </c>
      <c r="AE54" s="206" t="e">
        <f t="shared" si="71"/>
        <v>#N/A</v>
      </c>
      <c r="AF54" s="206" t="e">
        <f t="shared" si="71"/>
        <v>#N/A</v>
      </c>
      <c r="AG54" s="206" t="e">
        <f t="shared" si="71"/>
        <v>#N/A</v>
      </c>
      <c r="AH54" s="206" t="e">
        <f t="shared" si="71"/>
        <v>#N/A</v>
      </c>
      <c r="AI54" s="237"/>
      <c r="AJ54" s="248"/>
      <c r="AK54" s="237"/>
      <c r="AL54" s="237"/>
      <c r="AM54" s="238"/>
      <c r="AN54" s="238"/>
      <c r="AO54" s="238"/>
      <c r="AP54" s="238"/>
      <c r="AQ54" s="238"/>
      <c r="AR54" s="238"/>
      <c r="AS54" s="238"/>
      <c r="AT54" s="238"/>
      <c r="AU54" s="238"/>
      <c r="AV54" s="238"/>
      <c r="AW54" s="238"/>
      <c r="AX54" s="238"/>
      <c r="AY54" s="238"/>
      <c r="AZ54" s="238"/>
      <c r="BA54" s="238"/>
      <c r="BB54" s="238"/>
      <c r="BC54" s="238"/>
      <c r="BD54" s="238"/>
      <c r="BE54" s="238"/>
      <c r="BF54" s="238"/>
      <c r="BG54" s="238"/>
      <c r="BH54" s="238"/>
      <c r="BI54" s="238"/>
      <c r="BJ54" s="238"/>
      <c r="BK54" s="238"/>
      <c r="BL54" s="238"/>
      <c r="BM54" s="238"/>
      <c r="BN54" s="238"/>
      <c r="BO54" s="238"/>
      <c r="BP54" s="238"/>
      <c r="BQ54" s="238"/>
      <c r="BR54" s="240"/>
    </row>
  </sheetData>
  <mergeCells count="3">
    <mergeCell ref="C1:S1"/>
    <mergeCell ref="AS3:AS4"/>
    <mergeCell ref="AT3:AT4"/>
  </mergeCells>
  <conditionalFormatting sqref="T18">
    <cfRule type="expression" dxfId="136" priority="9">
      <formula>WEEKDAY(V$3,2)&gt;5</formula>
    </cfRule>
  </conditionalFormatting>
  <conditionalFormatting sqref="D25">
    <cfRule type="expression" dxfId="136" priority="6">
      <formula>WEEKDAY(G$3,2)&gt;5</formula>
    </cfRule>
    <cfRule type="expression" dxfId="136" priority="7">
      <formula>WEEKDAY(F$3,2)&gt;5</formula>
    </cfRule>
  </conditionalFormatting>
  <conditionalFormatting sqref="X25">
    <cfRule type="expression" dxfId="136" priority="10">
      <formula>WEEKDAY(AA$3,2)&gt;5</formula>
    </cfRule>
    <cfRule type="expression" dxfId="136" priority="11">
      <formula>WEEKDAY(Z$3,2)&gt;5</formula>
    </cfRule>
  </conditionalFormatting>
  <conditionalFormatting sqref="AC37">
    <cfRule type="expression" dxfId="136" priority="1">
      <formula>WEEKDAY(AC$3,2)&gt;5</formula>
    </cfRule>
    <cfRule type="expression" dxfId="136" priority="2">
      <formula>WEEKDAY(AB$3,2)&gt;5</formula>
    </cfRule>
  </conditionalFormatting>
  <conditionalFormatting sqref="O40">
    <cfRule type="expression" dxfId="136" priority="3">
      <formula>WEEKDAY(Q$3,2)&gt;5</formula>
    </cfRule>
  </conditionalFormatting>
  <conditionalFormatting sqref="R23:R24">
    <cfRule type="expression" dxfId="136" priority="4">
      <formula>WEEKDAY(U$3,2)&gt;5</formula>
    </cfRule>
    <cfRule type="expression" dxfId="136" priority="5">
      <formula>WEEKDAY(V$3,2)&gt;5</formula>
    </cfRule>
  </conditionalFormatting>
  <conditionalFormatting sqref="A1:BR54">
    <cfRule type="cellIs" dxfId="155" priority="79" operator="equal">
      <formula>"RESERVE"</formula>
    </cfRule>
  </conditionalFormatting>
  <conditionalFormatting sqref="T2:X46 C3:S46 Y3:AH46">
    <cfRule type="expression" dxfId="136" priority="72">
      <formula>WEEKDAY(T$3,2)&gt;5</formula>
    </cfRule>
  </conditionalFormatting>
  <conditionalFormatting sqref="J4:J54 AA4:AA54 C5:I54 K5:Z54 AB5:AH54">
    <cfRule type="cellIs" dxfId="137" priority="57" operator="equal">
      <formula>"B"</formula>
    </cfRule>
    <cfRule type="cellIs" dxfId="137" priority="58" operator="equal">
      <formula>"AL"</formula>
    </cfRule>
    <cfRule type="cellIs" dxfId="138" priority="59" operator="equal">
      <formula>"DM"</formula>
    </cfRule>
    <cfRule type="cellIs" dxfId="139" priority="60" operator="equal">
      <formula>"CS1"</formula>
    </cfRule>
    <cfRule type="cellIs" dxfId="140" priority="61" operator="equal">
      <formula>"CS2"</formula>
    </cfRule>
    <cfRule type="cellIs" dxfId="141" priority="62" operator="equal">
      <formula>"SB1"</formula>
    </cfRule>
    <cfRule type="cellIs" dxfId="142" priority="63" operator="equal">
      <formula>"SB2"</formula>
    </cfRule>
    <cfRule type="cellIs" dxfId="143" priority="64" operator="equal">
      <formula>"AE"</formula>
    </cfRule>
  </conditionalFormatting>
  <conditionalFormatting sqref="J4:J46 AA4:AA46 C5:I46 K5:Z46 AB5:AH46">
    <cfRule type="cellIs" dxfId="137" priority="66" operator="equal">
      <formula>"DB"</formula>
    </cfRule>
    <cfRule type="containsText" dxfId="144" priority="67" operator="between" text="$AM">
      <formula>NOT(ISERROR(SEARCH("$AM",C4)))</formula>
    </cfRule>
    <cfRule type="containsText" dxfId="145" priority="68" operator="between" text="$PM">
      <formula>NOT(ISERROR(SEARCH("$PM",C4)))</formula>
    </cfRule>
    <cfRule type="containsText" dxfId="146" priority="69" operator="between" text="$L">
      <formula>NOT(ISERROR(SEARCH("$L",C4)))</formula>
    </cfRule>
    <cfRule type="containsText" dxfId="147" priority="70" operator="between" text="$BTP">
      <formula>NOT(ISERROR(SEARCH("$BTP",C4)))</formula>
    </cfRule>
    <cfRule type="containsText" dxfId="148" priority="71" operator="between" text="$M">
      <formula>NOT(ISERROR(SEARCH("$M",C4)))</formula>
    </cfRule>
    <cfRule type="containsText" dxfId="149" priority="73" operator="between" text="$N">
      <formula>NOT(ISERROR(SEARCH("$N",C4)))</formula>
    </cfRule>
    <cfRule type="containsText" dxfId="150" priority="74" operator="between" text="$FC">
      <formula>NOT(ISERROR(SEARCH("$FC",C4)))</formula>
    </cfRule>
    <cfRule type="containsText" dxfId="151" priority="75" operator="between" text="OAL">
      <formula>NOT(ISERROR(SEARCH("OAL",C4)))</formula>
    </cfRule>
    <cfRule type="containsText" dxfId="152" priority="76" operator="between" text="S+">
      <formula>NOT(ISERROR(SEARCH("S+",C4)))</formula>
    </cfRule>
    <cfRule type="containsText" dxfId="153" priority="77" operator="between" text="EX-D">
      <formula>NOT(ISERROR(SEARCH("EX-D",C4)))</formula>
    </cfRule>
  </conditionalFormatting>
  <conditionalFormatting sqref="J4:J17 C5:C11 E5:E6 G5:G17 H5:H12 I5:I17 K5:K14 M5:M22 N5:O6 P5:P10 Q5:Q26 R5:R30 S5:T26 U5:U9 V5:V15 W5:W24 X5:X25 Y5:Y26 Z5:AC42 AD5:AD25 AE5:AE32 AF5:AF29 AG5:AG25 AH5:AH27 D6 F6:F11 L6:L10 D8:D11 E8:E10 N8 O11:O26 E12:E24 L12:L13 N12:N23 P12:P19 U12:U27 C13:C26 F13:F23 D14:D19 H14:H23 K16:K17 L16:L27 V17 G19:G31 I19:I26 J19:J22 K19:K26 V19:V26 D21:D28 P21:P25 J24:J25 M24:M29 F25:F30 H25:H34 N25:N28 E26:E28 J27:J33 AD27:AD29 AG27:AG28 C28 I28:I31 K28 O28:O32 P28:P29 Q28:Q32 S28:T34 V28:X28 Y28:Y42 U29:U33 E30:E32 N30:N32 V30:W34 X30:X32 D31 K31:M32 P31:P32 AD31:AD32 AF31:AG31 C32 F32 R32 D33 E34:F34 K34 L34:L35 M34:M36 Q34:R34 AD34:AH34 D35:D36 G35:G36 N35 O35:O37 C36 E36:F36 I36:I37 K36:K38 S36 V36 J37 N37 W37:W39 AG37 H38:H39 L38:L39 P38 V38 I39:J39 M39:M40 O39:O41 E40:E42 N40 U40:U41 V40:V42 D41 G41:I41 J41:K42 F42 L42:M42 U43:U46">
    <cfRule type="containsText" dxfId="154" priority="78" operator="between" text="VACC">
      <formula>NOT(ISERROR(SEARCH("VACC",C4)))</formula>
    </cfRule>
  </conditionalFormatting>
  <conditionalFormatting sqref="C5:C11 E5:E6 G5:I8 J5:J12 K5 M5:M12 N5:O6 P5:P10 Q5:S12 T5:T15 U5:U6 V5:V14 W5:W12 X5:X10 Y5:Y9 Z5 AA5:AA6 AB5 AC5:AC9 AD5:AD12 AF5 AG5:AG15 AH5:AH7 D6 F6:F11 L6:L10 AE6:AE7 AB7 D8:D11 E8:E10 K8 N8 U8:U9 Z8:Z13 AF8:AF12 AA9:AA12 AB9 AE9:AE15 AH9:AH13 H10 I10:I12 K10:K14 G11:G17 O11 Y11:Y24 AB11:AB14 AC11:AC12 E12:E17 H12 L12:L13 P12 U12:U15 X12:X19 C13:C34 F13:F23 N13 O13:O14 D14:D17 H14:H19 I14:J17 M14:M17 P14:P17 Q14:Q27 W14:W21 AA14:AA15 AD14 N15:N17 R15:S15 Z15 AF15 L16:L19 O16:O19 AB16:AB19 K17 R17:R19 S17 T17:T18 U17:U24 V17 Z17:AA17 AC17 AD17:AE20 AF17:AG19 AH17:AH18 D19 E19:E24 G19:G23 I19:I31 J19:K19 M19:M20 P19 S19:S21 Z19:AA20 AC19:AC26 V20:V21 D21:D22 H21:H23 J21:L21 O21:O31 P21:P25 R21:R23 T21:T27 X21 AF21:AF22 N22:N23 AB22 K23:K24 L23:L27 V23 W23:W24 X23:X25 AA23 AG23:AG25 AH23:AH24 J24:J25 M24:M29 AB24 AF24 D25 F25:F30 G25:G31 H25:H28 R25:R27 S25 Z25 AE25:AE28 E26:E28 K26 U26:V27 AA26:AA27 D27:D28 J27:J29 N27:N28 P27:P29 S27 Z27 AB27 AD27 K28 W28 Q29 S29 U29 Y29 AD29 E30:E32 H30:H34 N30 X30 AA30 AC30 AE30 D31 K31:K32 M31:M32 Z31:Z32 AB31:AB32 F32 J32:J33 N32 R32:W32 D33 AC33 E34:F34 K34 L34:L35 S34 Y34:Z34 AF34 AH34 D35:D36 G35:G36 M35:M36 N35 O35:O37 AA35:AB35 C36 E36:F36 K36:K37 V36 Y36 AC36:AC37 I37:J37 N37 AB37 H38:H39 L38:L39 P38 V38:W38 Z38 M39:M40 O39:O41 N40 U40 V40:V41 Z40 D41 G41:J41 K41:K42 E42:F42 L42:M42">
    <cfRule type="cellIs" dxfId="137" priority="13" operator="equal">
      <formula>"B"</formula>
    </cfRule>
    <cfRule type="cellIs" dxfId="137" priority="14" operator="equal">
      <formula>"AL"</formula>
    </cfRule>
    <cfRule type="cellIs" dxfId="138" priority="15" operator="equal">
      <formula>"DM"</formula>
    </cfRule>
    <cfRule type="cellIs" dxfId="139" priority="16" operator="equal">
      <formula>"CS1"</formula>
    </cfRule>
    <cfRule type="cellIs" dxfId="140" priority="17" operator="equal">
      <formula>"CS2"</formula>
    </cfRule>
    <cfRule type="cellIs" dxfId="141" priority="18" operator="equal">
      <formula>"SB1"</formula>
    </cfRule>
    <cfRule type="cellIs" dxfId="142" priority="19" operator="equal">
      <formula>"SB2"</formula>
    </cfRule>
    <cfRule type="cellIs" dxfId="143" priority="20" operator="equal">
      <formula>"AE"</formula>
    </cfRule>
    <cfRule type="cellIs" dxfId="137" priority="21" operator="equal">
      <formula>"DB"</formula>
    </cfRule>
    <cfRule type="containsText" dxfId="144" priority="22" operator="between" text="$AM">
      <formula>NOT(ISERROR(SEARCH("$AM",C5)))</formula>
    </cfRule>
    <cfRule type="containsText" dxfId="145" priority="23" operator="between" text="$PM">
      <formula>NOT(ISERROR(SEARCH("$PM",C5)))</formula>
    </cfRule>
    <cfRule type="containsText" dxfId="146" priority="24" operator="between" text="$L">
      <formula>NOT(ISERROR(SEARCH("$L",C5)))</formula>
    </cfRule>
    <cfRule type="containsText" dxfId="147" priority="25" operator="between" text="$BTP">
      <formula>NOT(ISERROR(SEARCH("$BTP",C5)))</formula>
    </cfRule>
    <cfRule type="containsText" dxfId="148" priority="26" operator="between" text="$M">
      <formula>NOT(ISERROR(SEARCH("$M",C5)))</formula>
    </cfRule>
    <cfRule type="containsText" dxfId="149" priority="27" operator="between" text="$N">
      <formula>NOT(ISERROR(SEARCH("$N",C5)))</formula>
    </cfRule>
    <cfRule type="containsText" dxfId="150" priority="28" operator="between" text="$FC">
      <formula>NOT(ISERROR(SEARCH("$FC",C5)))</formula>
    </cfRule>
    <cfRule type="containsText" dxfId="151" priority="29" operator="between" text="OAL">
      <formula>NOT(ISERROR(SEARCH("OAL",C5)))</formula>
    </cfRule>
    <cfRule type="containsText" dxfId="152" priority="30" operator="between" text="S+">
      <formula>NOT(ISERROR(SEARCH("S+",C5)))</formula>
    </cfRule>
    <cfRule type="containsText" dxfId="153" priority="31" operator="between" text="EX-D">
      <formula>NOT(ISERROR(SEARCH("EX-D",C5)))</formula>
    </cfRule>
  </conditionalFormatting>
  <conditionalFormatting sqref="C5:C11 E5:E6 G5:G9 H5:J12 K5 M5:O6 P5:P10 Q5:S12 T5:T15 U5:U6 V5:V9 W5:W12 X5:X10 Y5:Y9 Z5 AA5:AA6 AB5 AC5:AC9 AD5:AD12 AF5 AG5:AG15 AH5:AH7 D6 F6:F11 L6 AE6:AE7 AB7 D8:D11 E8:E10 K8 N8 U8:U9 Z8:Z13 AF8:AF12 L9:L10 M9:M12 AA9 AB9:AB14 AE9:AE15 AH9:AH13 K10:K14 G11:G17 O11 V11:V14 Y11:Y13 AC11:AC12 E12:E17 L12:L13 P12 U12:U15 X12:X19 AA12 C13:C28 F13:F23 N13:O13 D14:D17 H14:H19 I14:J17 M14:M17 P14:P17 Q14:Q27 W14:W21 AA14:AA15 AD14 N15:N17 O15:O19 R15:S15 Y15:Y19 Z15 AF15 L16:L19 AB16:AB19 K17 R17:R19 S17 T17:T18 U17:U24 V17 Z17:AA17 AC17 AD17:AE20 AF17:AG19 AH17:AH18 D19 E19:E28 G19:G31 I19:I31 J19:K19 M19:M20 P19 S19:S21 Z19:AA20 AC19:AC27 N20 V20:V21 D21:D22 H21:H23 J21:L21 O21:O22 P21:P29 R21:R23 T21:T28 X21 Y21:Y24 AF21:AF22 N22:N23 AB22:AB24 K23:K24 L23:L27 V23 W23:W24 X23:X25 AA23:AA24 AG23:AG25 AH23:AH24 J24:J33 M24:M29 AF24 D25 F25:F30 H25:H34 O25:O32 R25:R28 Z25 AE25:AE28 K26:K28 U26:V27 W26:W28 AA26:AA27 D27:D28 N27:N28 S27:S29 X27:Y27 Z27:Z28 AB27 AD27 AF27:AF28 AG27:AH27 Q29 U29 Y29 AD29 E30:E32 N30 X30 AA30 AC30 AE30 D31 K31:M32 Z31:Z32 AB31:AB32 AD31 C32 F32 N32 P32:Y32 AA32 AC32:AC33 D33 E34:F34 K34 L34:L35 M34:M36 S34 Z34 AF34 AH34 D35:D36 G35:G36 N35 Y35:Y36 AA35:AA36 AB35 C36 E36:F36 I36:I37 K36:K37 O36:O37 V36 AC36:AC37 J37 N37 AB37 H38:H39 L38:L39 P38 V38:W38 Z38 I39:J39 M39:M40 O39:O41 Y39 AC39 N40 U40 V40:V42 Z40:AB40 D41 G41:J41 K41:K42 E42:F42 L42:M42 Z42">
    <cfRule type="expression" dxfId="136" priority="32">
      <formula>WEEKDAY(#REF!,2)&gt;5</formula>
    </cfRule>
  </conditionalFormatting>
  <conditionalFormatting sqref="G5 Z5 W6:X7 U8 Z8:Z10 S10:S12 W10:W12 X10 Y11:Y12 V12 X12 Z12 AB12 C14 U14:V14 AA14:AA15 AB14 T15 W15:Z15 T20 V20 AB22 T26 AA26 AE26 AD27 W28 AE28 AE30 Z31 AH34 Y36 AB37 H38 Z38 V40 F42">
    <cfRule type="expression" dxfId="136" priority="33">
      <formula>WEEKDAY(I$3,2)&gt;5</formula>
    </cfRule>
  </conditionalFormatting>
  <conditionalFormatting sqref="G5 C10:C11 C14 C21:C22 C36:G36 H38 F42">
    <cfRule type="expression" dxfId="136" priority="35">
      <formula>WEEKDAY(I$3,2)&gt;5</formula>
    </cfRule>
  </conditionalFormatting>
  <conditionalFormatting sqref="C5:C11 E5:E6 G5:G17 H5:H12 I5:J17 K5:K14 M5:M22 N5:O6 P5:P10 Q5:Q26 R5:R30 S5:T26 U5:U9 V5:V15 W5:W24 X5:X25 Y5:Y26 Z5:AC42 AD5:AD25 AE5:AE32 AF5:AF29 AG5:AG25 AH5:AH27 D6 F6:F11 L6:L10 D8:D11 E8:E10 N8 O11:O26 E12:E24 L12:L13 N12:N23 P12:P19 U12:U27 C13:C26 F13:F23 D14:D19 H14:H23 K16:K17 L16:L27 V17 G19:G31 I19:I26 J19:J22 K19:K26 V19:V26 D21:D28 P21:P25 J24:J25 M24:M29 F25:F30 H25:H34 N25:N28 E26:E28 J27:J33 AD27:AD29 AG27:AG28 C28 I28:I31 K28 O28:O32 P28:P29 Q28:Q32 S28:T34 V28:X28 Y28:Y42 U29:U33 E30:E32 N30:N32 V30:W34 X30:X32 D31 K31:M32 P31:P32 AD31:AD32 AF31:AG31 C32 F32 R32 D33 E34:F34 K34 L34:L35 M34:M36 Q34:R34 AD34:AH34 D35:D36 G35:G36 N35 O35:O37 C36 E36:F36 I36:I37 K36:K38 S36 V36 J37 N37 W37:W39 AG37 H38:H39 L38:L39 P38 V38 I39:J39 M39:M40 O39:O41 E40:E42 N40 U40:U41 V40:V42 D41 G41:I41 J41:K42 F42 L42:M42 U43:U46">
    <cfRule type="cellIs" dxfId="137" priority="36" operator="equal">
      <formula>"B"</formula>
    </cfRule>
    <cfRule type="cellIs" dxfId="137" priority="37" operator="equal">
      <formula>"AL"</formula>
    </cfRule>
    <cfRule type="cellIs" dxfId="138" priority="38" operator="equal">
      <formula>"DM"</formula>
    </cfRule>
    <cfRule type="cellIs" dxfId="139" priority="39" operator="equal">
      <formula>"CS1"</formula>
    </cfRule>
    <cfRule type="cellIs" dxfId="140" priority="40" operator="equal">
      <formula>"CS2"</formula>
    </cfRule>
    <cfRule type="cellIs" dxfId="141" priority="41" operator="equal">
      <formula>"SB1"</formula>
    </cfRule>
    <cfRule type="cellIs" dxfId="142" priority="42" operator="equal">
      <formula>"SB2"</formula>
    </cfRule>
    <cfRule type="cellIs" dxfId="143" priority="43" operator="equal">
      <formula>"AE"</formula>
    </cfRule>
    <cfRule type="cellIs" dxfId="137" priority="45" operator="equal">
      <formula>"DB"</formula>
    </cfRule>
    <cfRule type="containsText" dxfId="144" priority="46" operator="between" text="$AM">
      <formula>NOT(ISERROR(SEARCH("$AM",C5)))</formula>
    </cfRule>
    <cfRule type="containsText" dxfId="145" priority="47" operator="between" text="$PM">
      <formula>NOT(ISERROR(SEARCH("$PM",C5)))</formula>
    </cfRule>
    <cfRule type="containsText" dxfId="146" priority="48" operator="between" text="$L">
      <formula>NOT(ISERROR(SEARCH("$L",C5)))</formula>
    </cfRule>
    <cfRule type="containsText" dxfId="147" priority="49" operator="between" text="$BTP">
      <formula>NOT(ISERROR(SEARCH("$BTP",C5)))</formula>
    </cfRule>
    <cfRule type="containsText" dxfId="148" priority="50" operator="between" text="$M">
      <formula>NOT(ISERROR(SEARCH("$M",C5)))</formula>
    </cfRule>
    <cfRule type="containsText" dxfId="149" priority="51" operator="between" text="$N">
      <formula>NOT(ISERROR(SEARCH("$N",C5)))</formula>
    </cfRule>
    <cfRule type="containsText" dxfId="150" priority="52" operator="between" text="$FC">
      <formula>NOT(ISERROR(SEARCH("$FC",C5)))</formula>
    </cfRule>
    <cfRule type="containsText" dxfId="151" priority="53" operator="between" text="OAL">
      <formula>NOT(ISERROR(SEARCH("OAL",C5)))</formula>
    </cfRule>
    <cfRule type="containsText" dxfId="152" priority="54" operator="between" text="S+">
      <formula>NOT(ISERROR(SEARCH("S+",C5)))</formula>
    </cfRule>
    <cfRule type="containsText" dxfId="153" priority="55" operator="between" text="EX-D">
      <formula>NOT(ISERROR(SEARCH("EX-D",C5)))</formula>
    </cfRule>
    <cfRule type="expression" dxfId="136" priority="56">
      <formula>WEEKDAY(#REF!,2)&gt;5</formula>
    </cfRule>
  </conditionalFormatting>
  <conditionalFormatting sqref="C5:AH54">
    <cfRule type="containsText" dxfId="1388" priority="44" operator="between" text="CS/B">
      <formula>NOT(ISERROR(SEARCH("CS/B",C5)))</formula>
    </cfRule>
  </conditionalFormatting>
  <conditionalFormatting sqref="Z5 W6:X7 U8 Z8:Z10 S10:S12 W10:W12 X10 Y11:Y12 V12 X12 Z12 AB12 U14:V14 AA14:AA15 AB14 T15 W15:Z15 T20 V20 Z20:AA20 G22 AB22 AC25 T26 AA26 AE26 AD27 W28 AE28 AE30 Z31 AH34 Y36 AB37 Z38 V40 U43:U46">
    <cfRule type="expression" dxfId="136" priority="34">
      <formula>WEEKDAY(AA$3,2)&gt;5</formula>
    </cfRule>
  </conditionalFormatting>
  <conditionalFormatting sqref="BQ5:BR46">
    <cfRule type="cellIs" dxfId="155" priority="65" operator="lessThan">
      <formula>1</formula>
    </cfRule>
  </conditionalFormatting>
  <conditionalFormatting sqref="T18 AB18 G21 H21:H22 C25 G25 H25:H26 G27 N27 U27 F32 T32 D33">
    <cfRule type="expression" dxfId="136" priority="8">
      <formula>WEEKDAY(U$3,2)&gt;5</formula>
    </cfRule>
  </conditionalFormatting>
  <conditionalFormatting sqref="C19 C23:C24">
    <cfRule type="expression" dxfId="136" priority="12">
      <formula>WEEKDAY(D$3,2)&gt;5</formula>
    </cfRule>
  </conditionalFormatting>
  <dataValidations count="3">
    <dataValidation type="list" allowBlank="1" sqref="B5:C5 G5 J5 R5 AG5:AH5 N6 J8 M10 D14 W14:X14 AH18 E20 G20 I20 S20 B21:C21 B22:G22 B23:C23 F23 K23 AC23 AE23:AF23 AD26 I32 I34 AG35:AH35 T38 AE38 C39:E39 N39 P39 S39 V39:X39 C40:D40 C41 L41 C42:D42 N42 AE42:AH42 C43:F43 I43:L43 S43:U43 X43:AH43 B6:B13 B15:B20 B24:B29 J39:J40 P41:P42 T40:T41 X40:X42 AH6:AH16 AH20:AH30 AH32:AH34 AH36:AH38 C44:L46 N43:P46 S44:AH46 AD39:AH41" showDropDown="1">
      <formula1>'Setting key Duty'!$B$7:$B$56</formula1>
    </dataValidation>
    <dataValidation type="list" allowBlank="1" sqref="I5 K5 M5 O5:Q5 S5:T5 V5:Z5 AB5:AF5 C6:D6 F6:G6 L6:M6 O6:X6 Z6:AG6 C7 W7:Y7 AB7:AG7 C8:E8 H8:I8 K8 W8:AG8 C9:F9 J9 L9:M9 P9:Y9 AB9:AG9 D10 H10:L10 P10:T10 W10:X10 Z10 AB10 AD10:AG10 C11:D11 I11 K11 R11:T11 W11 Y11 AC11:AG11 E12 G12 I12:M12 R12:Z12 AB12:AC12 AE12:AG12 H13:AG13 J14 M14 P14 R14:V14 Y14 AA14:AG14 C15:F15 I15 N15:T15 V15:AA15 AC15:AG15 C16:K16 P16:T16 W16:Y16 AB16:AG16 C17:AH17 C18:F18 H18 L18 P18:U18 W18 Y18 AB18 C19:T19 W19:AB19 C20:D20 F20 K20:M20 Q20:R20 T20:X20 Z20 AC20:AG20 D21:G21 I21:AG21 J22 L22 N22:O22 Q22:W22 Y22:Z22 AB22:AG22 D23 I23 N23:T23 V23:Z23 AB23 AG23 C24:E24 I24:L24 O24:U24 W24:Y24 AB24:AG24 I25:J25 L25 N25 P25:T25 X25 Z25 AC25 I26:T26 V26:Y26 AA26:AC26 I27:Y27 AA27 AC27:AG27 C28:J28 O28:T28 W28:Z28 F29:G29 I29:J29 O29:U29 Y29 E30:X30 Z30 G31:M31 O31:Z31 C32:F32 J32:M32 P32:AC32 AE32:AG32 C33:J33 L33:Z33 C34:F34 H34 J34:L34 P34:Q34 S34 W34:Z34 C35:E35 G35 J35 L35:Y35 AD35:AF35 C36:K36 M36:W36 Y36 AD36:AG36 C37:G37 I37:N37 R37 T37 W37:Y37 AB37:AG37 C38:F38 H38 K38 P38:R38 V38:Z38 AB38:AD38 AF38:AG38 F39 I39 L39:M39 O39 Y39 AB39:AC39 E40 M40:O40 U40:V40 Z40 D41:E41 G41:K41 O41 V41 E42:F42 J42:M42 Z42 C13:C14 C29:C31 F10:F11 M28:M29 AB28:AB29 AB40:AB42 C25:G27 I6:J7 P7:U8 AA35:AB36 AB30:AG31 AC33:AG34 AD18:AG19 AD28:AG29 AE25:AG26" showDropDown="1">
      <formula1>'Setting key Duty'!$B$7:$B$54</formula1>
    </dataValidation>
    <dataValidation type="list" allowBlank="1" sqref="C47:AH54" showDropDown="1">
      <formula1>'Setting key Duty'!$B$7:$B$23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BR52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C5" sqref="C5"/>
    </sheetView>
  </sheetViews>
  <sheetFormatPr defaultColWidth="12.6285714285714" defaultRowHeight="15.75" customHeight="1"/>
  <cols>
    <col min="1" max="1" width="2.13333333333333" customWidth="1"/>
    <col min="2" max="2" width="29.752380952381" customWidth="1"/>
    <col min="3" max="11" width="9.24761904761905" customWidth="1"/>
    <col min="12" max="12" width="9.38095238095238" customWidth="1"/>
    <col min="13" max="13" width="10.6285714285714" customWidth="1"/>
    <col min="14" max="14" width="9.24761904761905" customWidth="1"/>
    <col min="15" max="15" width="10" customWidth="1"/>
    <col min="16" max="16" width="10.752380952381" customWidth="1"/>
    <col min="17" max="17" width="10.247619047619" customWidth="1"/>
    <col min="18" max="18" width="9.62857142857143" customWidth="1"/>
    <col min="19" max="19" width="9.13333333333333" customWidth="1"/>
    <col min="20" max="26" width="9.24761904761905" customWidth="1"/>
    <col min="27" max="27" width="10.5047619047619" customWidth="1"/>
    <col min="28" max="30" width="9.24761904761905" customWidth="1"/>
    <col min="31" max="31" width="10.5047619047619" customWidth="1"/>
    <col min="32" max="32" width="9.38095238095238" customWidth="1"/>
    <col min="33" max="34" width="9.24761904761905" customWidth="1"/>
    <col min="35" max="41" width="9.38095238095238" hidden="1" customWidth="1" outlineLevel="1"/>
    <col min="42" max="42" width="12" hidden="1" customWidth="1" outlineLevel="1"/>
    <col min="43" max="43" width="9.38095238095238" hidden="1" customWidth="1" outlineLevel="1"/>
    <col min="44" max="44" width="6.75238095238095" customWidth="1" collapsed="1"/>
    <col min="45" max="46" width="6.75238095238095" customWidth="1"/>
    <col min="47" max="47" width="8.87619047619048" customWidth="1" outlineLevel="1"/>
    <col min="48" max="49" width="7.87619047619048" customWidth="1" outlineLevel="1"/>
    <col min="50" max="50" width="9.13333333333333" customWidth="1" outlineLevel="1"/>
    <col min="51" max="51" width="8.24761904761905" customWidth="1" outlineLevel="1"/>
    <col min="52" max="52" width="5.5047619047619" customWidth="1" outlineLevel="1"/>
    <col min="53" max="55" width="9.38095238095238" customWidth="1"/>
    <col min="56" max="66" width="9.38095238095238" customWidth="1" outlineLevel="1"/>
    <col min="67" max="67" width="9.38095238095238" customWidth="1"/>
    <col min="68" max="68" width="9.5047619047619" customWidth="1"/>
    <col min="69" max="70" width="9.38095238095238" customWidth="1"/>
  </cols>
  <sheetData>
    <row r="1" ht="3" customHeight="1" spans="1:70">
      <c r="A1" s="213"/>
      <c r="B1" s="163" t="s">
        <v>0</v>
      </c>
      <c r="C1" s="164" t="str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>
  Enter DM for DM, CS1 for CS1, CS2 for CS2, and SB1 for SB1. Use the 'Setting key' tab to customise. Change Date on highlighted cell
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214"/>
      <c r="AJ1" s="214"/>
      <c r="AK1" s="214"/>
      <c r="AL1" s="214"/>
      <c r="AM1" s="215"/>
      <c r="AN1" s="215"/>
      <c r="AO1" s="215"/>
      <c r="AP1" s="215"/>
      <c r="AQ1" s="215"/>
      <c r="AR1" s="215"/>
      <c r="AS1" s="216"/>
      <c r="AT1" s="216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5"/>
      <c r="BN1" s="215"/>
      <c r="BO1" s="215"/>
      <c r="BP1" s="215"/>
      <c r="BQ1" s="215"/>
      <c r="BR1" s="216"/>
    </row>
    <row r="2" ht="26.25" customHeight="1" spans="1:70">
      <c r="A2" s="217"/>
      <c r="B2" s="52" t="s">
        <v>1</v>
      </c>
      <c r="C2" s="167"/>
      <c r="D2" s="167"/>
      <c r="E2" s="167"/>
      <c r="F2" s="167" t="s">
        <v>149</v>
      </c>
      <c r="G2" s="167" t="s">
        <v>149</v>
      </c>
      <c r="H2" s="167"/>
      <c r="I2" s="167" t="s">
        <v>150</v>
      </c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8"/>
      <c r="U2" s="167"/>
      <c r="V2" s="169"/>
      <c r="W2" s="167" t="s">
        <v>348</v>
      </c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218"/>
      <c r="AJ2" s="218"/>
      <c r="AK2" s="218"/>
      <c r="AL2" s="218"/>
      <c r="AM2" s="218"/>
      <c r="AN2" s="218"/>
      <c r="AO2" s="218"/>
      <c r="AP2" s="218"/>
      <c r="AQ2" s="218"/>
      <c r="AR2" s="218"/>
      <c r="AS2" s="170"/>
      <c r="AT2" s="170"/>
      <c r="AU2" s="218"/>
      <c r="AV2" s="218"/>
      <c r="AW2" s="218"/>
      <c r="AX2" s="218"/>
      <c r="AY2" s="218"/>
      <c r="AZ2" s="218"/>
      <c r="BA2" s="218"/>
      <c r="BB2" s="218"/>
      <c r="BC2" s="218"/>
      <c r="BD2" s="218"/>
      <c r="BE2" s="219"/>
      <c r="BF2" s="219"/>
      <c r="BG2" s="219"/>
      <c r="BH2" s="219"/>
      <c r="BI2" s="219"/>
      <c r="BJ2" s="219"/>
      <c r="BK2" s="219"/>
      <c r="BL2" s="219"/>
      <c r="BM2" s="219"/>
      <c r="BN2" s="219"/>
      <c r="BO2" s="218"/>
      <c r="BP2" s="218"/>
      <c r="BQ2" s="218"/>
      <c r="BR2" s="220"/>
    </row>
    <row r="3" ht="26.25" customHeight="1" spans="1:70">
      <c r="A3" s="217"/>
      <c r="B3" s="52" t="s">
        <v>21</v>
      </c>
      <c r="C3" s="171">
        <v>46082</v>
      </c>
      <c r="D3" s="172">
        <f t="shared" ref="D3:AH3" si="0">C3+1</f>
        <v>46083</v>
      </c>
      <c r="E3" s="172">
        <f t="shared" si="0"/>
        <v>46084</v>
      </c>
      <c r="F3" s="172">
        <f t="shared" si="0"/>
        <v>46085</v>
      </c>
      <c r="G3" s="172">
        <f t="shared" si="0"/>
        <v>46086</v>
      </c>
      <c r="H3" s="172">
        <f t="shared" si="0"/>
        <v>46087</v>
      </c>
      <c r="I3" s="172">
        <f t="shared" si="0"/>
        <v>46088</v>
      </c>
      <c r="J3" s="172">
        <f t="shared" si="0"/>
        <v>46089</v>
      </c>
      <c r="K3" s="172">
        <f t="shared" si="0"/>
        <v>46090</v>
      </c>
      <c r="L3" s="172">
        <f t="shared" si="0"/>
        <v>46091</v>
      </c>
      <c r="M3" s="172">
        <f t="shared" si="0"/>
        <v>46092</v>
      </c>
      <c r="N3" s="172">
        <f t="shared" si="0"/>
        <v>46093</v>
      </c>
      <c r="O3" s="172">
        <f t="shared" si="0"/>
        <v>46094</v>
      </c>
      <c r="P3" s="172">
        <f t="shared" si="0"/>
        <v>46095</v>
      </c>
      <c r="Q3" s="172">
        <f t="shared" si="0"/>
        <v>46096</v>
      </c>
      <c r="R3" s="172">
        <f t="shared" si="0"/>
        <v>46097</v>
      </c>
      <c r="S3" s="172">
        <f t="shared" si="0"/>
        <v>46098</v>
      </c>
      <c r="T3" s="173">
        <f t="shared" si="0"/>
        <v>46099</v>
      </c>
      <c r="U3" s="172">
        <f t="shared" si="0"/>
        <v>46100</v>
      </c>
      <c r="V3" s="174">
        <f t="shared" si="0"/>
        <v>46101</v>
      </c>
      <c r="W3" s="172">
        <f t="shared" si="0"/>
        <v>46102</v>
      </c>
      <c r="X3" s="172">
        <f t="shared" si="0"/>
        <v>46103</v>
      </c>
      <c r="Y3" s="172">
        <f t="shared" si="0"/>
        <v>46104</v>
      </c>
      <c r="Z3" s="172">
        <f t="shared" si="0"/>
        <v>46105</v>
      </c>
      <c r="AA3" s="172">
        <f t="shared" si="0"/>
        <v>46106</v>
      </c>
      <c r="AB3" s="172">
        <f t="shared" si="0"/>
        <v>46107</v>
      </c>
      <c r="AC3" s="172">
        <f t="shared" si="0"/>
        <v>46108</v>
      </c>
      <c r="AD3" s="172">
        <f t="shared" si="0"/>
        <v>46109</v>
      </c>
      <c r="AE3" s="172">
        <f t="shared" si="0"/>
        <v>46110</v>
      </c>
      <c r="AF3" s="172">
        <f t="shared" si="0"/>
        <v>46111</v>
      </c>
      <c r="AG3" s="173">
        <f t="shared" si="0"/>
        <v>46112</v>
      </c>
      <c r="AH3" s="172">
        <f t="shared" si="0"/>
        <v>46113</v>
      </c>
      <c r="AI3" s="221" t="str">
        <f>'Setting key Duty'!$C7</f>
        <v>DM</v>
      </c>
      <c r="AJ3" s="222" t="str">
        <f>'Setting key Duty'!$C8</f>
        <v>CS1</v>
      </c>
      <c r="AK3" s="223" t="str">
        <f>'Setting key Duty'!$C9</f>
        <v>CS2</v>
      </c>
      <c r="AL3" s="223" t="str">
        <f>'Setting key Duty'!$C10</f>
        <v>CS/B</v>
      </c>
      <c r="AM3" s="223" t="str">
        <f>'Setting key Duty'!$C11</f>
        <v>SB1</v>
      </c>
      <c r="AN3" s="223" t="str">
        <f>'Setting key Duty'!$C12</f>
        <v>SB2</v>
      </c>
      <c r="AO3" s="223" t="str">
        <f>'Setting key Duty'!$C13</f>
        <v>AE</v>
      </c>
      <c r="AP3" s="223" t="str">
        <f>'Setting key Duty'!$C16</f>
        <v>Outfield Reserve</v>
      </c>
      <c r="AQ3" s="223" t="str">
        <f>'Setting key Duty'!C14</f>
        <v>EM</v>
      </c>
      <c r="AR3" s="223"/>
      <c r="AS3" s="224" t="s">
        <v>559</v>
      </c>
      <c r="AT3" s="224" t="s">
        <v>560</v>
      </c>
      <c r="AU3" s="223" t="s">
        <v>22</v>
      </c>
      <c r="AV3" s="223" t="s">
        <v>23</v>
      </c>
      <c r="AW3" s="223" t="s">
        <v>561</v>
      </c>
      <c r="AX3" s="223" t="s">
        <v>24</v>
      </c>
      <c r="AY3" s="223" t="s">
        <v>25</v>
      </c>
      <c r="AZ3" s="223" t="s">
        <v>26</v>
      </c>
      <c r="BA3" s="223" t="s">
        <v>27</v>
      </c>
      <c r="BB3" s="223" t="s">
        <v>28</v>
      </c>
      <c r="BC3" s="225" t="s">
        <v>29</v>
      </c>
      <c r="BD3" s="223" t="s">
        <v>30</v>
      </c>
      <c r="BE3" s="223" t="s">
        <v>32</v>
      </c>
      <c r="BF3" s="223" t="s">
        <v>33</v>
      </c>
      <c r="BG3" s="223" t="s">
        <v>36</v>
      </c>
      <c r="BH3" s="223" t="s">
        <v>37</v>
      </c>
      <c r="BI3" s="223" t="s">
        <v>39</v>
      </c>
      <c r="BJ3" s="223" t="s">
        <v>40</v>
      </c>
      <c r="BK3" s="223" t="s">
        <v>41</v>
      </c>
      <c r="BL3" s="223" t="s">
        <v>42</v>
      </c>
      <c r="BM3" s="223" t="str">
        <f>'Setting key Duty'!C52</f>
        <v>Field Camp</v>
      </c>
      <c r="BN3" s="223" t="s">
        <v>43</v>
      </c>
      <c r="BO3" s="223" t="str">
        <f>'Setting key Duty'!$C15</f>
        <v>Block</v>
      </c>
      <c r="BP3" s="223" t="str">
        <f>'Setting key Duty'!C17</f>
        <v>Reserve</v>
      </c>
      <c r="BQ3" s="223" t="str">
        <f>'Setting key Duty'!$C22</f>
        <v>AL</v>
      </c>
      <c r="BR3" s="220"/>
    </row>
    <row r="4" ht="18" customHeight="1" spans="1:70">
      <c r="A4" s="226"/>
      <c r="B4" s="178" t="s">
        <v>156</v>
      </c>
      <c r="C4" s="179" t="str">
        <f t="shared" ref="C4:AH4" si="1">TEXT(C3,"ddd")</f>
        <v>Sun</v>
      </c>
      <c r="D4" s="180" t="str">
        <f t="shared" si="1"/>
        <v>Mon</v>
      </c>
      <c r="E4" s="180" t="str">
        <f t="shared" si="1"/>
        <v>Tue</v>
      </c>
      <c r="F4" s="180" t="str">
        <f t="shared" si="1"/>
        <v>Wed</v>
      </c>
      <c r="G4" s="180" t="str">
        <f t="shared" si="1"/>
        <v>Thu</v>
      </c>
      <c r="H4" s="180" t="str">
        <f t="shared" si="1"/>
        <v>Fri</v>
      </c>
      <c r="I4" s="180" t="str">
        <f t="shared" si="1"/>
        <v>Sat</v>
      </c>
      <c r="J4" s="180" t="str">
        <f t="shared" si="1"/>
        <v>Sun</v>
      </c>
      <c r="K4" s="180" t="str">
        <f t="shared" si="1"/>
        <v>Mon</v>
      </c>
      <c r="L4" s="180" t="str">
        <f t="shared" si="1"/>
        <v>Tue</v>
      </c>
      <c r="M4" s="180" t="str">
        <f t="shared" si="1"/>
        <v>Wed</v>
      </c>
      <c r="N4" s="180" t="str">
        <f t="shared" si="1"/>
        <v>Thu</v>
      </c>
      <c r="O4" s="180" t="str">
        <f t="shared" si="1"/>
        <v>Fri</v>
      </c>
      <c r="P4" s="180" t="str">
        <f t="shared" si="1"/>
        <v>Sat</v>
      </c>
      <c r="Q4" s="180" t="str">
        <f t="shared" si="1"/>
        <v>Sun</v>
      </c>
      <c r="R4" s="180" t="str">
        <f t="shared" si="1"/>
        <v>Mon</v>
      </c>
      <c r="S4" s="180" t="str">
        <f t="shared" si="1"/>
        <v>Tue</v>
      </c>
      <c r="T4" s="179" t="str">
        <f t="shared" si="1"/>
        <v>Wed</v>
      </c>
      <c r="U4" s="180" t="str">
        <f t="shared" si="1"/>
        <v>Thu</v>
      </c>
      <c r="V4" s="181" t="str">
        <f t="shared" si="1"/>
        <v>Fri</v>
      </c>
      <c r="W4" s="180" t="str">
        <f t="shared" si="1"/>
        <v>Sat</v>
      </c>
      <c r="X4" s="180" t="str">
        <f t="shared" si="1"/>
        <v>Sun</v>
      </c>
      <c r="Y4" s="180" t="str">
        <f t="shared" si="1"/>
        <v>Mon</v>
      </c>
      <c r="Z4" s="180" t="str">
        <f t="shared" si="1"/>
        <v>Tue</v>
      </c>
      <c r="AA4" s="180" t="str">
        <f t="shared" si="1"/>
        <v>Wed</v>
      </c>
      <c r="AB4" s="180" t="str">
        <f t="shared" si="1"/>
        <v>Thu</v>
      </c>
      <c r="AC4" s="180" t="str">
        <f t="shared" si="1"/>
        <v>Fri</v>
      </c>
      <c r="AD4" s="180" t="str">
        <f t="shared" si="1"/>
        <v>Sat</v>
      </c>
      <c r="AE4" s="180" t="str">
        <f t="shared" si="1"/>
        <v>Sun</v>
      </c>
      <c r="AF4" s="180" t="str">
        <f t="shared" si="1"/>
        <v>Mon</v>
      </c>
      <c r="AG4" s="179" t="str">
        <f t="shared" si="1"/>
        <v>Tue</v>
      </c>
      <c r="AH4" s="180" t="str">
        <f t="shared" si="1"/>
        <v>Wed</v>
      </c>
      <c r="AI4" s="227" t="str">
        <f>'Setting key Duty'!$B7</f>
        <v>DM</v>
      </c>
      <c r="AJ4" s="228" t="str">
        <f>'Setting key Duty'!$B8</f>
        <v>CS1</v>
      </c>
      <c r="AK4" s="229" t="str">
        <f>'Setting key Duty'!$B9</f>
        <v>CS2</v>
      </c>
      <c r="AL4" s="229" t="str">
        <f>'Setting key Duty'!$B10</f>
        <v>CS/B</v>
      </c>
      <c r="AM4" s="229" t="str">
        <f>'Setting key Duty'!$B11</f>
        <v>SB1</v>
      </c>
      <c r="AN4" s="229" t="str">
        <f>'Setting key Duty'!$B12</f>
        <v>SB2</v>
      </c>
      <c r="AO4" s="229" t="str">
        <f>'Setting key Duty'!$B13</f>
        <v>AE</v>
      </c>
      <c r="AP4" s="229" t="str">
        <f>'Setting key Duty'!$B16</f>
        <v>Outfield Reserve</v>
      </c>
      <c r="AQ4" s="229" t="str">
        <f>'Setting key Duty'!B14</f>
        <v>EM</v>
      </c>
      <c r="AR4" s="229"/>
      <c r="AS4" s="230"/>
      <c r="AT4" s="230"/>
      <c r="AU4" s="229"/>
      <c r="AV4" s="229"/>
      <c r="AW4" s="229"/>
      <c r="AX4" s="229"/>
      <c r="AY4" s="229"/>
      <c r="AZ4" s="229"/>
      <c r="BA4" s="229"/>
      <c r="BB4" s="229"/>
      <c r="BC4" s="231"/>
      <c r="BD4" s="229"/>
      <c r="BE4" s="229" t="s">
        <v>46</v>
      </c>
      <c r="BF4" s="229"/>
      <c r="BG4" s="229" t="s">
        <v>48</v>
      </c>
      <c r="BH4" s="229"/>
      <c r="BI4" s="229" t="s">
        <v>50</v>
      </c>
      <c r="BJ4" s="229"/>
      <c r="BK4" s="229" t="s">
        <v>51</v>
      </c>
      <c r="BL4" s="229"/>
      <c r="BM4" s="229" t="str">
        <f>'Setting key Duty'!B52</f>
        <v>$FC</v>
      </c>
      <c r="BN4" s="229"/>
      <c r="BO4" s="229">
        <f>'Setting key Duty'!$B15</f>
        <v>0</v>
      </c>
      <c r="BP4" s="229" t="str">
        <f>'Setting key Duty'!B17</f>
        <v>RESERVE</v>
      </c>
      <c r="BQ4" s="229" t="str">
        <f>'Setting key Duty'!$B22</f>
        <v>AL</v>
      </c>
      <c r="BR4" s="232"/>
    </row>
    <row r="5" ht="41.25" customHeight="1" spans="1:70">
      <c r="A5" s="233"/>
      <c r="B5" s="185" t="s">
        <v>562</v>
      </c>
      <c r="C5" s="234"/>
      <c r="D5" s="234"/>
      <c r="E5" s="53"/>
      <c r="F5" s="187" t="s">
        <v>57</v>
      </c>
      <c r="G5" s="187"/>
      <c r="H5" s="234" t="s">
        <v>253</v>
      </c>
      <c r="I5" s="234"/>
      <c r="J5" s="234"/>
      <c r="K5" s="137"/>
      <c r="L5" s="136"/>
      <c r="M5" s="53"/>
      <c r="N5" s="187"/>
      <c r="O5" s="235" t="s">
        <v>55</v>
      </c>
      <c r="P5" s="234"/>
      <c r="Q5" s="234"/>
      <c r="R5" s="187" t="s">
        <v>56</v>
      </c>
      <c r="S5" s="187"/>
      <c r="T5" s="136"/>
      <c r="U5" s="187"/>
      <c r="V5" s="234" t="s">
        <v>348</v>
      </c>
      <c r="W5" s="234" t="s">
        <v>348</v>
      </c>
      <c r="X5" s="234" t="s">
        <v>348</v>
      </c>
      <c r="Y5" s="234" t="s">
        <v>348</v>
      </c>
      <c r="Z5" s="236"/>
      <c r="AA5" s="236"/>
      <c r="AB5" s="187"/>
      <c r="AC5" s="187"/>
      <c r="AD5" s="187" t="s">
        <v>57</v>
      </c>
      <c r="AE5" s="187"/>
      <c r="AF5" s="187"/>
      <c r="AG5" s="187" t="s">
        <v>57</v>
      </c>
      <c r="AH5" s="197"/>
      <c r="AI5" s="237">
        <f t="shared" ref="AI5:AQ5" si="2">COUNTIF($C5:$AG5,AI$4)</f>
        <v>3</v>
      </c>
      <c r="AJ5" s="237">
        <f t="shared" si="2"/>
        <v>1</v>
      </c>
      <c r="AK5" s="237">
        <f t="shared" si="2"/>
        <v>0</v>
      </c>
      <c r="AL5" s="237">
        <f t="shared" si="2"/>
        <v>0</v>
      </c>
      <c r="AM5" s="237">
        <f t="shared" si="2"/>
        <v>0</v>
      </c>
      <c r="AN5" s="237">
        <f t="shared" si="2"/>
        <v>0</v>
      </c>
      <c r="AO5" s="237">
        <f t="shared" si="2"/>
        <v>0</v>
      </c>
      <c r="AP5" s="237">
        <f t="shared" si="2"/>
        <v>0</v>
      </c>
      <c r="AQ5" s="237">
        <f t="shared" si="2"/>
        <v>0</v>
      </c>
      <c r="AR5" s="238"/>
      <c r="AS5" s="239">
        <v>1</v>
      </c>
      <c r="AT5" s="239"/>
      <c r="AU5" s="238">
        <f>SUMPRODUCT(--(WEEKDAY(C$3:AG$3,2)&lt;5),--ISNUMBER(MATCH(C5:AG5,{"DM","CS1","CS2","SB1","AE","CS/B"},0)))</f>
        <v>3</v>
      </c>
      <c r="AV5" s="238"/>
      <c r="AW5" s="238">
        <f>SUMPRODUCT(--(WEEKDAY(C$3:AG$3,2)=5),--ISNUMBER(MATCH(C5:AG5,{"DM","CS1","CS2","SB1","AE","CS/B"},0)))</f>
        <v>0</v>
      </c>
      <c r="AX5" s="238">
        <f>SUMPRODUCT(--(WEEKDAY(C$3:AG$3,2)&gt;5),--ISNUMBER(MATCH(C5:AG5,{"DM","CS1","CS2","SB1","AE","CS/B"},0)))</f>
        <v>1</v>
      </c>
      <c r="AY5" s="238"/>
      <c r="AZ5" s="238">
        <f t="shared" ref="AZ5:AZ39" si="3">(AU5-AV5)+AW5*1.5+(AX5-AY5)*2+AN5*0.5+AP5*0.5+AS5-AT5</f>
        <v>6</v>
      </c>
      <c r="BA5" s="238">
        <f t="shared" ref="BA5:BA39" si="4">AU5+AW5+AX5</f>
        <v>4</v>
      </c>
      <c r="BB5" s="238">
        <f t="shared" ref="BB5:BB39" si="5">BE5+BG5+BI5+BK5+BM5</f>
        <v>0</v>
      </c>
      <c r="BC5" s="239">
        <f t="shared" ref="BC5:BC39" si="6">AZ5+BD5</f>
        <v>6</v>
      </c>
      <c r="BD5" s="238">
        <f t="shared" ref="BD5:BD39" si="7">BF5+BH5+BJ5+BL5+BN5</f>
        <v>0</v>
      </c>
      <c r="BE5" s="238">
        <f t="shared" ref="BE5:BE39" si="8">COUNTIF(A5:AI5,"*$BTP*")</f>
        <v>0</v>
      </c>
      <c r="BF5" s="238">
        <f t="shared" ref="BF5:BF39" si="9">BE5*1.5</f>
        <v>0</v>
      </c>
      <c r="BG5" s="238">
        <f t="shared" ref="BG5:BG39" si="10">COUNTIF(A5:AI5,"*$M*")</f>
        <v>0</v>
      </c>
      <c r="BH5" s="238">
        <f t="shared" ref="BH5:BH39" si="11">BG5*1</f>
        <v>0</v>
      </c>
      <c r="BI5" s="238">
        <f t="shared" ref="BI5:BI39" si="12">COUNTIF(A5:AI5,"*$PM*")</f>
        <v>0</v>
      </c>
      <c r="BJ5" s="238">
        <f t="shared" ref="BJ5:BJ39" si="13">BI5*0.5</f>
        <v>0</v>
      </c>
      <c r="BK5" s="238">
        <f t="shared" ref="BK5:BK39" si="14">COUNTIF(A5:AI5,"*$AM*")</f>
        <v>0</v>
      </c>
      <c r="BL5" s="238">
        <f t="shared" ref="BL5:BL39" si="15">BK5*0.5</f>
        <v>0</v>
      </c>
      <c r="BM5" s="238">
        <f t="shared" ref="BM5:BM39" si="16">COUNTIF(A5:AI5,"*$FC*")</f>
        <v>0</v>
      </c>
      <c r="BN5" s="238">
        <f t="shared" ref="BN5:BN39" si="17">BM5*1</f>
        <v>0</v>
      </c>
      <c r="BO5" s="238">
        <f t="shared" ref="BO5:BO30" si="18">COUNTIF($D5:$AA5,BO$4)</f>
        <v>0</v>
      </c>
      <c r="BP5" s="238">
        <f t="shared" ref="BP5:BP30" si="19">COUNTIF($D5:$AA5,BP$4)</f>
        <v>0</v>
      </c>
      <c r="BQ5" s="238">
        <f t="shared" ref="BQ5:BQ30" si="20">COUNTIF($D5:$AA5,BQ$4)</f>
        <v>1</v>
      </c>
      <c r="BR5" s="240"/>
    </row>
    <row r="6" ht="36" customHeight="1" spans="1:70">
      <c r="A6" s="233"/>
      <c r="B6" s="191" t="s">
        <v>565</v>
      </c>
      <c r="C6" s="75"/>
      <c r="D6" s="75"/>
      <c r="E6" s="75" t="s">
        <v>56</v>
      </c>
      <c r="F6" s="75" t="s">
        <v>669</v>
      </c>
      <c r="G6" s="75"/>
      <c r="H6" s="1" t="s">
        <v>670</v>
      </c>
      <c r="I6" s="241" t="s">
        <v>671</v>
      </c>
      <c r="J6" s="241"/>
      <c r="K6" s="75"/>
      <c r="L6" s="75"/>
      <c r="M6" s="187"/>
      <c r="N6" s="75" t="s">
        <v>350</v>
      </c>
      <c r="O6" s="75"/>
      <c r="P6" s="75" t="s">
        <v>57</v>
      </c>
      <c r="Q6" s="241"/>
      <c r="R6" s="241"/>
      <c r="S6" s="241"/>
      <c r="T6" s="241"/>
      <c r="U6" s="75"/>
      <c r="V6" s="242" t="s">
        <v>55</v>
      </c>
      <c r="W6" s="241"/>
      <c r="X6" s="241"/>
      <c r="Y6" s="241" t="s">
        <v>253</v>
      </c>
      <c r="AA6" s="241"/>
      <c r="AC6" s="137" t="s">
        <v>57</v>
      </c>
      <c r="AD6" s="75"/>
      <c r="AE6" s="241"/>
      <c r="AF6" s="53"/>
      <c r="AG6" s="241" t="s">
        <v>69</v>
      </c>
      <c r="AH6" s="197"/>
      <c r="AI6" s="237">
        <f t="shared" ref="AI6:AQ6" si="21">COUNTIF($C6:$AG6,AI$4)</f>
        <v>2</v>
      </c>
      <c r="AJ6" s="237">
        <f t="shared" si="21"/>
        <v>1</v>
      </c>
      <c r="AK6" s="237">
        <f t="shared" si="21"/>
        <v>0</v>
      </c>
      <c r="AL6" s="237">
        <f t="shared" si="21"/>
        <v>0</v>
      </c>
      <c r="AM6" s="237">
        <f t="shared" si="21"/>
        <v>0</v>
      </c>
      <c r="AN6" s="237">
        <f t="shared" si="21"/>
        <v>0</v>
      </c>
      <c r="AO6" s="237">
        <f t="shared" si="21"/>
        <v>0</v>
      </c>
      <c r="AP6" s="237">
        <f t="shared" si="21"/>
        <v>0</v>
      </c>
      <c r="AQ6" s="237">
        <f t="shared" si="21"/>
        <v>0</v>
      </c>
      <c r="AR6" s="238"/>
      <c r="AS6" s="239">
        <v>1.5</v>
      </c>
      <c r="AT6" s="239"/>
      <c r="AU6" s="238">
        <f>SUMPRODUCT(--(WEEKDAY(C$3:AG$3,2)&lt;5),--ISNUMBER(MATCH(C6:AG6,{"DM","CS1","CS2","SB1","AE","CS/B"},0)))</f>
        <v>1</v>
      </c>
      <c r="AV6" s="238"/>
      <c r="AW6" s="238">
        <f>SUMPRODUCT(--(WEEKDAY(C$3:AG$3,2)=5),--ISNUMBER(MATCH(C6:AG6,{"DM","CS1","CS2","SB1","AE","CS/B"},0)))</f>
        <v>1</v>
      </c>
      <c r="AX6" s="238">
        <f>SUMPRODUCT(--(WEEKDAY(C$3:AG$3,2)&gt;5),--ISNUMBER(MATCH(C6:AG6,{"DM","CS1","CS2","SB1","AE","CS/B"},0)))</f>
        <v>1</v>
      </c>
      <c r="AY6" s="238"/>
      <c r="AZ6" s="238">
        <f t="shared" si="3"/>
        <v>6</v>
      </c>
      <c r="BA6" s="238">
        <f t="shared" si="4"/>
        <v>3</v>
      </c>
      <c r="BB6" s="238">
        <f t="shared" si="5"/>
        <v>1</v>
      </c>
      <c r="BC6" s="239">
        <f t="shared" si="6"/>
        <v>7</v>
      </c>
      <c r="BD6" s="238">
        <f t="shared" si="7"/>
        <v>1</v>
      </c>
      <c r="BE6" s="238">
        <f t="shared" si="8"/>
        <v>0</v>
      </c>
      <c r="BF6" s="238">
        <f t="shared" si="9"/>
        <v>0</v>
      </c>
      <c r="BG6" s="238">
        <f t="shared" si="10"/>
        <v>1</v>
      </c>
      <c r="BH6" s="238">
        <f t="shared" si="11"/>
        <v>1</v>
      </c>
      <c r="BI6" s="238">
        <f t="shared" si="12"/>
        <v>0</v>
      </c>
      <c r="BJ6" s="238">
        <f t="shared" si="13"/>
        <v>0</v>
      </c>
      <c r="BK6" s="238">
        <f t="shared" si="14"/>
        <v>0</v>
      </c>
      <c r="BL6" s="238">
        <f t="shared" si="15"/>
        <v>0</v>
      </c>
      <c r="BM6" s="238">
        <f t="shared" si="16"/>
        <v>0</v>
      </c>
      <c r="BN6" s="238">
        <f t="shared" si="17"/>
        <v>0</v>
      </c>
      <c r="BO6" s="238">
        <f t="shared" si="18"/>
        <v>0</v>
      </c>
      <c r="BP6" s="238">
        <f t="shared" si="19"/>
        <v>1</v>
      </c>
      <c r="BQ6" s="238">
        <f t="shared" si="20"/>
        <v>1</v>
      </c>
      <c r="BR6" s="240"/>
    </row>
    <row r="7" ht="50.25" hidden="1" customHeight="1" spans="1:70">
      <c r="A7" s="233"/>
      <c r="B7" s="185" t="s">
        <v>567</v>
      </c>
      <c r="C7" s="137"/>
      <c r="D7" s="53"/>
      <c r="E7" s="53"/>
      <c r="F7" s="75" t="s">
        <v>669</v>
      </c>
      <c r="G7" s="137"/>
      <c r="H7" s="137"/>
      <c r="I7" s="137"/>
      <c r="J7" s="137"/>
      <c r="K7" s="53"/>
      <c r="L7" s="137"/>
      <c r="M7" s="137"/>
      <c r="N7" s="137"/>
      <c r="O7" s="137"/>
      <c r="P7" s="137"/>
      <c r="Q7" s="137"/>
      <c r="R7" s="53"/>
      <c r="S7" s="137"/>
      <c r="T7" s="53"/>
      <c r="U7" s="137"/>
      <c r="V7" s="137"/>
      <c r="W7" s="137"/>
      <c r="X7" s="137"/>
      <c r="Y7" s="137"/>
      <c r="Z7" s="137"/>
      <c r="AA7" s="137"/>
      <c r="AB7" s="53"/>
      <c r="AC7" s="53"/>
      <c r="AD7" s="137"/>
      <c r="AE7" s="137"/>
      <c r="AF7" s="53"/>
      <c r="AG7" s="53"/>
      <c r="AH7" s="197"/>
      <c r="AI7" s="237">
        <f t="shared" ref="AI7:AQ7" si="22">COUNTIF($C7:$AG7,AI$4)</f>
        <v>0</v>
      </c>
      <c r="AJ7" s="237">
        <f t="shared" si="22"/>
        <v>0</v>
      </c>
      <c r="AK7" s="237">
        <f t="shared" si="22"/>
        <v>0</v>
      </c>
      <c r="AL7" s="237">
        <f t="shared" si="22"/>
        <v>0</v>
      </c>
      <c r="AM7" s="237">
        <f t="shared" si="22"/>
        <v>0</v>
      </c>
      <c r="AN7" s="237">
        <f t="shared" si="22"/>
        <v>0</v>
      </c>
      <c r="AO7" s="237">
        <f t="shared" si="22"/>
        <v>0</v>
      </c>
      <c r="AP7" s="237">
        <f t="shared" si="22"/>
        <v>0</v>
      </c>
      <c r="AQ7" s="237">
        <f t="shared" si="22"/>
        <v>0</v>
      </c>
      <c r="AR7" s="238"/>
      <c r="AS7" s="239"/>
      <c r="AT7" s="239"/>
      <c r="AU7" s="238">
        <f>SUMPRODUCT(--(WEEKDAY(C$3:AG$3,2)&lt;5),--ISNUMBER(MATCH(C7:AG7,{"DM","CS1","CS2","SB1","AE","CS/B"},0)))</f>
        <v>0</v>
      </c>
      <c r="AV7" s="238"/>
      <c r="AW7" s="238">
        <f>SUMPRODUCT(--(WEEKDAY(C$3:AG$3,2)=5),--ISNUMBER(MATCH(C7:AG7,{"DM","CS1","CS2","SB1","AE","CS/B"},0)))</f>
        <v>0</v>
      </c>
      <c r="AX7" s="238">
        <f>SUMPRODUCT(--(WEEKDAY(C$3:AG$3,2)&gt;5),--ISNUMBER(MATCH(C7:AG7,{"DM","CS1","CS2","SB1","AE","CS/B"},0)))</f>
        <v>0</v>
      </c>
      <c r="AY7" s="238"/>
      <c r="AZ7" s="238">
        <f t="shared" si="3"/>
        <v>0</v>
      </c>
      <c r="BA7" s="238">
        <f t="shared" si="4"/>
        <v>0</v>
      </c>
      <c r="BB7" s="238">
        <f t="shared" si="5"/>
        <v>0</v>
      </c>
      <c r="BC7" s="239">
        <f t="shared" si="6"/>
        <v>0</v>
      </c>
      <c r="BD7" s="238">
        <f t="shared" si="7"/>
        <v>0</v>
      </c>
      <c r="BE7" s="238">
        <f t="shared" si="8"/>
        <v>0</v>
      </c>
      <c r="BF7" s="238">
        <f t="shared" si="9"/>
        <v>0</v>
      </c>
      <c r="BG7" s="238">
        <f t="shared" si="10"/>
        <v>0</v>
      </c>
      <c r="BH7" s="238">
        <f t="shared" si="11"/>
        <v>0</v>
      </c>
      <c r="BI7" s="238">
        <f t="shared" si="12"/>
        <v>0</v>
      </c>
      <c r="BJ7" s="238">
        <f t="shared" si="13"/>
        <v>0</v>
      </c>
      <c r="BK7" s="238">
        <f t="shared" si="14"/>
        <v>0</v>
      </c>
      <c r="BL7" s="238">
        <f t="shared" si="15"/>
        <v>0</v>
      </c>
      <c r="BM7" s="238">
        <f t="shared" si="16"/>
        <v>0</v>
      </c>
      <c r="BN7" s="238">
        <f t="shared" si="17"/>
        <v>0</v>
      </c>
      <c r="BO7" s="238">
        <f t="shared" si="18"/>
        <v>0</v>
      </c>
      <c r="BP7" s="238">
        <f t="shared" si="19"/>
        <v>0</v>
      </c>
      <c r="BQ7" s="238">
        <f t="shared" si="20"/>
        <v>0</v>
      </c>
      <c r="BR7" s="240"/>
    </row>
    <row r="8" ht="49.5" customHeight="1" spans="1:70">
      <c r="A8" s="233"/>
      <c r="B8" s="185" t="s">
        <v>571</v>
      </c>
      <c r="C8" s="75"/>
      <c r="D8" s="75"/>
      <c r="E8" s="75" t="s">
        <v>672</v>
      </c>
      <c r="F8" s="75" t="s">
        <v>71</v>
      </c>
      <c r="G8" s="75" t="s">
        <v>71</v>
      </c>
      <c r="H8" s="75" t="s">
        <v>71</v>
      </c>
      <c r="I8" s="75" t="s">
        <v>56</v>
      </c>
      <c r="J8" s="75"/>
      <c r="K8" s="75"/>
      <c r="L8" s="53"/>
      <c r="M8" s="53"/>
      <c r="N8" s="75" t="s">
        <v>57</v>
      </c>
      <c r="O8" s="75"/>
      <c r="P8" s="75"/>
      <c r="Q8" s="75" t="s">
        <v>350</v>
      </c>
      <c r="R8" s="53"/>
      <c r="S8" s="75"/>
      <c r="T8" s="187"/>
      <c r="U8" s="75" t="s">
        <v>59</v>
      </c>
      <c r="V8" s="75"/>
      <c r="W8" s="75"/>
      <c r="X8" s="75"/>
      <c r="Y8" s="75" t="s">
        <v>57</v>
      </c>
      <c r="Z8" s="53"/>
      <c r="AB8" s="53"/>
      <c r="AC8" s="75" t="s">
        <v>54</v>
      </c>
      <c r="AD8" s="75" t="s">
        <v>54</v>
      </c>
      <c r="AE8" s="75" t="s">
        <v>54</v>
      </c>
      <c r="AF8" s="75" t="s">
        <v>54</v>
      </c>
      <c r="AG8" s="75"/>
      <c r="AH8" s="197"/>
      <c r="AI8" s="237">
        <f t="shared" ref="AI8:AQ8" si="23">COUNTIF($C8:$AG8,AI$4)</f>
        <v>2</v>
      </c>
      <c r="AJ8" s="237">
        <f t="shared" si="23"/>
        <v>1</v>
      </c>
      <c r="AK8" s="237">
        <f t="shared" si="23"/>
        <v>1</v>
      </c>
      <c r="AL8" s="237">
        <f t="shared" si="23"/>
        <v>0</v>
      </c>
      <c r="AM8" s="237">
        <f t="shared" si="23"/>
        <v>0</v>
      </c>
      <c r="AN8" s="237">
        <f t="shared" si="23"/>
        <v>0</v>
      </c>
      <c r="AO8" s="237">
        <f t="shared" si="23"/>
        <v>0</v>
      </c>
      <c r="AP8" s="237">
        <f t="shared" si="23"/>
        <v>0</v>
      </c>
      <c r="AQ8" s="237">
        <f t="shared" si="23"/>
        <v>0</v>
      </c>
      <c r="AR8" s="238"/>
      <c r="AS8" s="239"/>
      <c r="AT8" s="239"/>
      <c r="AU8" s="238">
        <f>SUMPRODUCT(--(WEEKDAY(C$3:AG$3,2)&lt;5),--ISNUMBER(MATCH(C8:AG8,{"DM","CS1","CS2","SB1","AE","CS/B"},0)))</f>
        <v>3</v>
      </c>
      <c r="AV8" s="238"/>
      <c r="AW8" s="238">
        <f>SUMPRODUCT(--(WEEKDAY(C$3:AG$3,2)=5),--ISNUMBER(MATCH(C8:AG8,{"DM","CS1","CS2","SB1","AE","CS/B"},0)))</f>
        <v>0</v>
      </c>
      <c r="AX8" s="238">
        <f>SUMPRODUCT(--(WEEKDAY(C$3:AG$3,2)&gt;5),--ISNUMBER(MATCH(C8:AG8,{"DM","CS1","CS2","SB1","AE","CS/B"},0)))</f>
        <v>1</v>
      </c>
      <c r="AY8" s="238"/>
      <c r="AZ8" s="238">
        <f t="shared" si="3"/>
        <v>5</v>
      </c>
      <c r="BA8" s="238">
        <f t="shared" si="4"/>
        <v>4</v>
      </c>
      <c r="BB8" s="238">
        <f t="shared" si="5"/>
        <v>0</v>
      </c>
      <c r="BC8" s="239">
        <f t="shared" si="6"/>
        <v>5</v>
      </c>
      <c r="BD8" s="238">
        <f t="shared" si="7"/>
        <v>0</v>
      </c>
      <c r="BE8" s="238">
        <f t="shared" si="8"/>
        <v>0</v>
      </c>
      <c r="BF8" s="238">
        <f t="shared" si="9"/>
        <v>0</v>
      </c>
      <c r="BG8" s="238">
        <f t="shared" si="10"/>
        <v>0</v>
      </c>
      <c r="BH8" s="238">
        <f t="shared" si="11"/>
        <v>0</v>
      </c>
      <c r="BI8" s="238">
        <f t="shared" si="12"/>
        <v>0</v>
      </c>
      <c r="BJ8" s="238">
        <f t="shared" si="13"/>
        <v>0</v>
      </c>
      <c r="BK8" s="238">
        <f t="shared" si="14"/>
        <v>0</v>
      </c>
      <c r="BL8" s="238">
        <f t="shared" si="15"/>
        <v>0</v>
      </c>
      <c r="BM8" s="238">
        <f t="shared" si="16"/>
        <v>0</v>
      </c>
      <c r="BN8" s="238">
        <f t="shared" si="17"/>
        <v>0</v>
      </c>
      <c r="BO8" s="238">
        <f t="shared" si="18"/>
        <v>0</v>
      </c>
      <c r="BP8" s="238">
        <f t="shared" si="19"/>
        <v>1</v>
      </c>
      <c r="BQ8" s="238">
        <f t="shared" si="20"/>
        <v>0</v>
      </c>
      <c r="BR8" s="240"/>
    </row>
    <row r="9" ht="42.75" customHeight="1" spans="1:70">
      <c r="A9" s="233"/>
      <c r="B9" s="191" t="s">
        <v>526</v>
      </c>
      <c r="C9" s="137"/>
      <c r="D9" s="137" t="s">
        <v>253</v>
      </c>
      <c r="E9" s="137" t="s">
        <v>58</v>
      </c>
      <c r="F9" s="75" t="s">
        <v>669</v>
      </c>
      <c r="G9" s="137" t="s">
        <v>150</v>
      </c>
      <c r="H9" s="137" t="s">
        <v>150</v>
      </c>
      <c r="I9" s="137" t="s">
        <v>671</v>
      </c>
      <c r="J9" s="137"/>
      <c r="K9" s="137"/>
      <c r="L9" s="187" t="s">
        <v>180</v>
      </c>
      <c r="M9" s="137"/>
      <c r="N9" s="137" t="s">
        <v>672</v>
      </c>
      <c r="O9" s="137" t="s">
        <v>672</v>
      </c>
      <c r="P9" s="243"/>
      <c r="Q9" s="137"/>
      <c r="R9" s="53"/>
      <c r="S9" s="137" t="s">
        <v>59</v>
      </c>
      <c r="U9" s="137"/>
      <c r="V9" s="53"/>
      <c r="W9" s="137"/>
      <c r="X9" s="137" t="s">
        <v>350</v>
      </c>
      <c r="Y9" s="136"/>
      <c r="AA9" s="137"/>
      <c r="AB9" s="53"/>
      <c r="AC9" s="53" t="s">
        <v>573</v>
      </c>
      <c r="AD9" s="137"/>
      <c r="AE9" s="137" t="s">
        <v>59</v>
      </c>
      <c r="AF9" s="137"/>
      <c r="AG9" s="137" t="s">
        <v>350</v>
      </c>
      <c r="AH9" s="197"/>
      <c r="AI9" s="237">
        <f t="shared" ref="AI9:AQ9" si="24">COUNTIF($C9:$AG9,AI$4)</f>
        <v>0</v>
      </c>
      <c r="AJ9" s="237">
        <f t="shared" si="24"/>
        <v>0</v>
      </c>
      <c r="AK9" s="237">
        <f t="shared" si="24"/>
        <v>2</v>
      </c>
      <c r="AL9" s="237">
        <f t="shared" si="24"/>
        <v>0</v>
      </c>
      <c r="AM9" s="237">
        <f t="shared" si="24"/>
        <v>1</v>
      </c>
      <c r="AN9" s="237">
        <f t="shared" si="24"/>
        <v>0</v>
      </c>
      <c r="AO9" s="237">
        <f t="shared" si="24"/>
        <v>0</v>
      </c>
      <c r="AP9" s="237">
        <f t="shared" si="24"/>
        <v>0</v>
      </c>
      <c r="AQ9" s="237">
        <f t="shared" si="24"/>
        <v>0</v>
      </c>
      <c r="AR9" s="238"/>
      <c r="AS9" s="239">
        <v>2</v>
      </c>
      <c r="AT9" s="239"/>
      <c r="AU9" s="238">
        <f>SUMPRODUCT(--(WEEKDAY(C$3:AG$3,2)&lt;5),--ISNUMBER(MATCH(C9:AG9,{"DM","CS1","CS2","SB1","AE","CS/B"},0)))</f>
        <v>2</v>
      </c>
      <c r="AV9" s="238"/>
      <c r="AW9" s="238">
        <f>SUMPRODUCT(--(WEEKDAY(C$3:AG$3,2)=5),--ISNUMBER(MATCH(C9:AG9,{"DM","CS1","CS2","SB1","AE","CS/B"},0)))</f>
        <v>0</v>
      </c>
      <c r="AX9" s="238">
        <f>SUMPRODUCT(--(WEEKDAY(C$3:AG$3,2)&gt;5),--ISNUMBER(MATCH(C9:AG9,{"DM","CS1","CS2","SB1","AE","CS/B"},0)))</f>
        <v>1</v>
      </c>
      <c r="AY9" s="238"/>
      <c r="AZ9" s="238">
        <f t="shared" si="3"/>
        <v>6</v>
      </c>
      <c r="BA9" s="238">
        <f t="shared" si="4"/>
        <v>3</v>
      </c>
      <c r="BB9" s="238">
        <f t="shared" si="5"/>
        <v>2</v>
      </c>
      <c r="BC9" s="239">
        <f t="shared" si="6"/>
        <v>7.5</v>
      </c>
      <c r="BD9" s="238">
        <f t="shared" si="7"/>
        <v>1.5</v>
      </c>
      <c r="BE9" s="238">
        <f t="shared" si="8"/>
        <v>0</v>
      </c>
      <c r="BF9" s="238">
        <f t="shared" si="9"/>
        <v>0</v>
      </c>
      <c r="BG9" s="238">
        <f t="shared" si="10"/>
        <v>1</v>
      </c>
      <c r="BH9" s="238">
        <f t="shared" si="11"/>
        <v>1</v>
      </c>
      <c r="BI9" s="238">
        <f t="shared" si="12"/>
        <v>0</v>
      </c>
      <c r="BJ9" s="238">
        <f t="shared" si="13"/>
        <v>0</v>
      </c>
      <c r="BK9" s="238">
        <f t="shared" si="14"/>
        <v>1</v>
      </c>
      <c r="BL9" s="238">
        <f t="shared" si="15"/>
        <v>0.5</v>
      </c>
      <c r="BM9" s="238">
        <f t="shared" si="16"/>
        <v>0</v>
      </c>
      <c r="BN9" s="238">
        <f t="shared" si="17"/>
        <v>0</v>
      </c>
      <c r="BO9" s="238">
        <f t="shared" si="18"/>
        <v>0</v>
      </c>
      <c r="BP9" s="238">
        <f t="shared" si="19"/>
        <v>1</v>
      </c>
      <c r="BQ9" s="238">
        <f t="shared" si="20"/>
        <v>0</v>
      </c>
      <c r="BR9" s="240"/>
    </row>
    <row r="10" ht="19.5" customHeight="1" spans="1:70">
      <c r="A10" s="233"/>
      <c r="B10" s="191" t="s">
        <v>574</v>
      </c>
      <c r="C10" s="75" t="s">
        <v>57</v>
      </c>
      <c r="D10" s="75" t="s">
        <v>350</v>
      </c>
      <c r="E10" s="53"/>
      <c r="F10" s="75" t="s">
        <v>673</v>
      </c>
      <c r="G10" s="137"/>
      <c r="H10" s="1" t="s">
        <v>57</v>
      </c>
      <c r="I10" s="53"/>
      <c r="J10" s="137"/>
      <c r="K10" s="137"/>
      <c r="L10" s="75"/>
      <c r="M10" s="137" t="s">
        <v>93</v>
      </c>
      <c r="N10" s="53" t="s">
        <v>59</v>
      </c>
      <c r="O10" s="75"/>
      <c r="P10" s="75" t="s">
        <v>56</v>
      </c>
      <c r="Q10" s="75"/>
      <c r="S10" s="75"/>
      <c r="T10" s="137"/>
      <c r="U10" s="75"/>
      <c r="V10" s="75"/>
      <c r="W10" s="75" t="s">
        <v>56</v>
      </c>
      <c r="X10" s="75"/>
      <c r="Y10" s="53" t="s">
        <v>93</v>
      </c>
      <c r="Z10" s="75"/>
      <c r="AA10" s="75" t="s">
        <v>57</v>
      </c>
      <c r="AB10" s="75"/>
      <c r="AC10" s="75" t="s">
        <v>54</v>
      </c>
      <c r="AD10" s="75" t="s">
        <v>54</v>
      </c>
      <c r="AE10" s="75" t="s">
        <v>54</v>
      </c>
      <c r="AF10" s="75" t="s">
        <v>54</v>
      </c>
      <c r="AG10" s="75" t="s">
        <v>93</v>
      </c>
      <c r="AH10" s="197"/>
      <c r="AI10" s="237">
        <f t="shared" ref="AI10:AQ10" si="25">COUNTIF($C10:$AG10,AI$4)</f>
        <v>3</v>
      </c>
      <c r="AJ10" s="237">
        <f t="shared" si="25"/>
        <v>2</v>
      </c>
      <c r="AK10" s="237">
        <f t="shared" si="25"/>
        <v>1</v>
      </c>
      <c r="AL10" s="237">
        <f t="shared" si="25"/>
        <v>0</v>
      </c>
      <c r="AM10" s="237">
        <f t="shared" si="25"/>
        <v>0</v>
      </c>
      <c r="AN10" s="237">
        <f t="shared" si="25"/>
        <v>3</v>
      </c>
      <c r="AO10" s="237">
        <f t="shared" si="25"/>
        <v>0</v>
      </c>
      <c r="AP10" s="237">
        <f t="shared" si="25"/>
        <v>0</v>
      </c>
      <c r="AQ10" s="237">
        <f t="shared" si="25"/>
        <v>0</v>
      </c>
      <c r="AR10" s="238"/>
      <c r="AS10" s="239"/>
      <c r="AT10" s="239">
        <v>8</v>
      </c>
      <c r="AU10" s="238">
        <f>SUMPRODUCT(--(WEEKDAY(C$3:AG$3,2)&lt;5),--ISNUMBER(MATCH(C10:AG10,{"DM","CS1","CS2","SB1","AE","CS/B"},0)))</f>
        <v>2</v>
      </c>
      <c r="AV10" s="238"/>
      <c r="AW10" s="238">
        <f>SUMPRODUCT(--(WEEKDAY(C$3:AG$3,2)=5),--ISNUMBER(MATCH(C10:AG10,{"DM","CS1","CS2","SB1","AE","CS/B"},0)))</f>
        <v>1</v>
      </c>
      <c r="AX10" s="238">
        <f>SUMPRODUCT(--(WEEKDAY(C$3:AG$3,2)&gt;5),--ISNUMBER(MATCH(C10:AG10,{"DM","CS1","CS2","SB1","AE","CS/B"},0)))</f>
        <v>3</v>
      </c>
      <c r="AY10" s="238"/>
      <c r="AZ10" s="238">
        <f t="shared" si="3"/>
        <v>3</v>
      </c>
      <c r="BA10" s="238">
        <f t="shared" si="4"/>
        <v>6</v>
      </c>
      <c r="BB10" s="238">
        <f t="shared" si="5"/>
        <v>1</v>
      </c>
      <c r="BC10" s="239">
        <f t="shared" si="6"/>
        <v>3.5</v>
      </c>
      <c r="BD10" s="238">
        <f t="shared" si="7"/>
        <v>0.5</v>
      </c>
      <c r="BE10" s="238">
        <f t="shared" si="8"/>
        <v>0</v>
      </c>
      <c r="BF10" s="238">
        <f t="shared" si="9"/>
        <v>0</v>
      </c>
      <c r="BG10" s="238">
        <f t="shared" si="10"/>
        <v>0</v>
      </c>
      <c r="BH10" s="238">
        <f t="shared" si="11"/>
        <v>0</v>
      </c>
      <c r="BI10" s="238">
        <f t="shared" si="12"/>
        <v>0</v>
      </c>
      <c r="BJ10" s="238">
        <f t="shared" si="13"/>
        <v>0</v>
      </c>
      <c r="BK10" s="238">
        <f t="shared" si="14"/>
        <v>1</v>
      </c>
      <c r="BL10" s="238">
        <f t="shared" si="15"/>
        <v>0.5</v>
      </c>
      <c r="BM10" s="238">
        <f t="shared" si="16"/>
        <v>0</v>
      </c>
      <c r="BN10" s="238">
        <f t="shared" si="17"/>
        <v>0</v>
      </c>
      <c r="BO10" s="238">
        <f t="shared" si="18"/>
        <v>0</v>
      </c>
      <c r="BP10" s="238">
        <f t="shared" si="19"/>
        <v>1</v>
      </c>
      <c r="BQ10" s="238">
        <f t="shared" si="20"/>
        <v>0</v>
      </c>
      <c r="BR10" s="240"/>
    </row>
    <row r="11" ht="19.5" customHeight="1" spans="1:70">
      <c r="A11" s="233"/>
      <c r="B11" s="185" t="s">
        <v>575</v>
      </c>
      <c r="C11" s="137"/>
      <c r="D11" s="137"/>
      <c r="E11" s="137" t="s">
        <v>59</v>
      </c>
      <c r="G11" s="136" t="s">
        <v>150</v>
      </c>
      <c r="H11" s="136" t="s">
        <v>150</v>
      </c>
      <c r="I11" s="1" t="s">
        <v>671</v>
      </c>
      <c r="J11" s="137"/>
      <c r="K11" s="137"/>
      <c r="L11" s="137" t="s">
        <v>59</v>
      </c>
      <c r="M11" s="137"/>
      <c r="O11" s="53"/>
      <c r="P11" s="137" t="s">
        <v>350</v>
      </c>
      <c r="Q11" s="137"/>
      <c r="R11" s="137" t="s">
        <v>93</v>
      </c>
      <c r="T11" s="137"/>
      <c r="U11" s="75" t="s">
        <v>56</v>
      </c>
      <c r="V11" s="137" t="s">
        <v>350</v>
      </c>
      <c r="W11" s="137"/>
      <c r="X11" s="137" t="s">
        <v>59</v>
      </c>
      <c r="Y11" s="137"/>
      <c r="Z11" s="137"/>
      <c r="AA11" s="137"/>
      <c r="AB11" s="137"/>
      <c r="AC11" s="137" t="s">
        <v>54</v>
      </c>
      <c r="AD11" s="137" t="s">
        <v>54</v>
      </c>
      <c r="AE11" s="137" t="s">
        <v>54</v>
      </c>
      <c r="AF11" s="137" t="s">
        <v>54</v>
      </c>
      <c r="AG11" s="137"/>
      <c r="AH11" s="197"/>
      <c r="AI11" s="237">
        <f t="shared" ref="AI11:AQ11" si="26">COUNTIF($C11:$AG11,AI$4)</f>
        <v>0</v>
      </c>
      <c r="AJ11" s="237">
        <f t="shared" si="26"/>
        <v>1</v>
      </c>
      <c r="AK11" s="237">
        <f t="shared" si="26"/>
        <v>3</v>
      </c>
      <c r="AL11" s="237">
        <f t="shared" si="26"/>
        <v>0</v>
      </c>
      <c r="AM11" s="237">
        <f t="shared" si="26"/>
        <v>0</v>
      </c>
      <c r="AN11" s="237">
        <f t="shared" si="26"/>
        <v>1</v>
      </c>
      <c r="AO11" s="237">
        <f t="shared" si="26"/>
        <v>0</v>
      </c>
      <c r="AP11" s="237">
        <f t="shared" si="26"/>
        <v>0</v>
      </c>
      <c r="AQ11" s="237">
        <f t="shared" si="26"/>
        <v>0</v>
      </c>
      <c r="AR11" s="238"/>
      <c r="AS11" s="239">
        <v>0.5</v>
      </c>
      <c r="AT11" s="239"/>
      <c r="AU11" s="238">
        <f>SUMPRODUCT(--(WEEKDAY(C$3:AG$3,2)&lt;5),--ISNUMBER(MATCH(C11:AG11,{"DM","CS1","CS2","SB1","AE","CS/B"},0)))</f>
        <v>3</v>
      </c>
      <c r="AV11" s="238"/>
      <c r="AW11" s="238">
        <f>SUMPRODUCT(--(WEEKDAY(C$3:AG$3,2)=5),--ISNUMBER(MATCH(C11:AG11,{"DM","CS1","CS2","SB1","AE","CS/B"},0)))</f>
        <v>0</v>
      </c>
      <c r="AX11" s="238">
        <f>SUMPRODUCT(--(WEEKDAY(C$3:AG$3,2)&gt;5),--ISNUMBER(MATCH(C11:AG11,{"DM","CS1","CS2","SB1","AE","CS/B"},0)))</f>
        <v>1</v>
      </c>
      <c r="AY11" s="238"/>
      <c r="AZ11" s="238">
        <f t="shared" si="3"/>
        <v>6</v>
      </c>
      <c r="BA11" s="238">
        <f t="shared" si="4"/>
        <v>4</v>
      </c>
      <c r="BB11" s="238">
        <f t="shared" si="5"/>
        <v>1</v>
      </c>
      <c r="BC11" s="239">
        <f t="shared" si="6"/>
        <v>7</v>
      </c>
      <c r="BD11" s="238">
        <f t="shared" si="7"/>
        <v>1</v>
      </c>
      <c r="BE11" s="238">
        <f t="shared" si="8"/>
        <v>0</v>
      </c>
      <c r="BF11" s="238">
        <f t="shared" si="9"/>
        <v>0</v>
      </c>
      <c r="BG11" s="238">
        <f t="shared" si="10"/>
        <v>1</v>
      </c>
      <c r="BH11" s="238">
        <f t="shared" si="11"/>
        <v>1</v>
      </c>
      <c r="BI11" s="238">
        <f t="shared" si="12"/>
        <v>0</v>
      </c>
      <c r="BJ11" s="238">
        <f t="shared" si="13"/>
        <v>0</v>
      </c>
      <c r="BK11" s="238">
        <f t="shared" si="14"/>
        <v>0</v>
      </c>
      <c r="BL11" s="238">
        <f t="shared" si="15"/>
        <v>0</v>
      </c>
      <c r="BM11" s="238">
        <f t="shared" si="16"/>
        <v>0</v>
      </c>
      <c r="BN11" s="238">
        <f t="shared" si="17"/>
        <v>0</v>
      </c>
      <c r="BO11" s="238">
        <f t="shared" si="18"/>
        <v>0</v>
      </c>
      <c r="BP11" s="238">
        <f t="shared" si="19"/>
        <v>2</v>
      </c>
      <c r="BQ11" s="238">
        <f t="shared" si="20"/>
        <v>0</v>
      </c>
      <c r="BR11" s="240"/>
    </row>
    <row r="12" ht="46.5" hidden="1" customHeight="1" spans="1:70">
      <c r="A12" s="233"/>
      <c r="B12" s="185" t="s">
        <v>475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197"/>
      <c r="AI12" s="237">
        <f t="shared" ref="AI12:AQ12" si="27">COUNTIF($C12:$AG12,AI$4)</f>
        <v>0</v>
      </c>
      <c r="AJ12" s="237">
        <f t="shared" si="27"/>
        <v>0</v>
      </c>
      <c r="AK12" s="237">
        <f t="shared" si="27"/>
        <v>0</v>
      </c>
      <c r="AL12" s="237">
        <f t="shared" si="27"/>
        <v>0</v>
      </c>
      <c r="AM12" s="237">
        <f t="shared" si="27"/>
        <v>0</v>
      </c>
      <c r="AN12" s="237">
        <f t="shared" si="27"/>
        <v>0</v>
      </c>
      <c r="AO12" s="237">
        <f t="shared" si="27"/>
        <v>0</v>
      </c>
      <c r="AP12" s="237">
        <f t="shared" si="27"/>
        <v>0</v>
      </c>
      <c r="AQ12" s="237">
        <f t="shared" si="27"/>
        <v>0</v>
      </c>
      <c r="AR12" s="238"/>
      <c r="AS12" s="239"/>
      <c r="AT12" s="239"/>
      <c r="AU12" s="238">
        <f>SUMPRODUCT(--(WEEKDAY(C$3:AG$3,2)&lt;5),--ISNUMBER(MATCH(C12:AG12,{"DM","CS1","CS2","SB1","AE","CS/B"},0)))</f>
        <v>0</v>
      </c>
      <c r="AV12" s="238"/>
      <c r="AW12" s="238">
        <f>SUMPRODUCT(--(WEEKDAY(C$3:AG$3,2)=5),--ISNUMBER(MATCH(C12:AG12,{"DM","CS1","CS2","SB1","AE","CS/B"},0)))</f>
        <v>0</v>
      </c>
      <c r="AX12" s="238">
        <f>SUMPRODUCT(--(WEEKDAY(C$3:AG$3,2)&gt;5),--ISNUMBER(MATCH(C12:AG12,{"DM","CS1","CS2","SB1","AE","CS/B"},0)))</f>
        <v>0</v>
      </c>
      <c r="AY12" s="238"/>
      <c r="AZ12" s="238">
        <f t="shared" si="3"/>
        <v>0</v>
      </c>
      <c r="BA12" s="238">
        <f t="shared" si="4"/>
        <v>0</v>
      </c>
      <c r="BB12" s="238">
        <f t="shared" si="5"/>
        <v>0</v>
      </c>
      <c r="BC12" s="239">
        <f t="shared" si="6"/>
        <v>0</v>
      </c>
      <c r="BD12" s="238">
        <f t="shared" si="7"/>
        <v>0</v>
      </c>
      <c r="BE12" s="238">
        <f t="shared" si="8"/>
        <v>0</v>
      </c>
      <c r="BF12" s="238">
        <f t="shared" si="9"/>
        <v>0</v>
      </c>
      <c r="BG12" s="238">
        <f t="shared" si="10"/>
        <v>0</v>
      </c>
      <c r="BH12" s="238">
        <f t="shared" si="11"/>
        <v>0</v>
      </c>
      <c r="BI12" s="238">
        <f t="shared" si="12"/>
        <v>0</v>
      </c>
      <c r="BJ12" s="238">
        <f t="shared" si="13"/>
        <v>0</v>
      </c>
      <c r="BK12" s="238">
        <f t="shared" si="14"/>
        <v>0</v>
      </c>
      <c r="BL12" s="238">
        <f t="shared" si="15"/>
        <v>0</v>
      </c>
      <c r="BM12" s="238">
        <f t="shared" si="16"/>
        <v>0</v>
      </c>
      <c r="BN12" s="238">
        <f t="shared" si="17"/>
        <v>0</v>
      </c>
      <c r="BO12" s="238">
        <f t="shared" si="18"/>
        <v>0</v>
      </c>
      <c r="BP12" s="238">
        <f t="shared" si="19"/>
        <v>0</v>
      </c>
      <c r="BQ12" s="238">
        <f t="shared" si="20"/>
        <v>0</v>
      </c>
      <c r="BR12" s="240"/>
    </row>
    <row r="13" ht="19.5" customHeight="1" spans="1:70">
      <c r="A13" s="233"/>
      <c r="B13" s="185" t="s">
        <v>674</v>
      </c>
      <c r="C13" s="137"/>
      <c r="D13" s="137" t="s">
        <v>253</v>
      </c>
      <c r="E13" s="137"/>
      <c r="F13" s="75" t="s">
        <v>93</v>
      </c>
      <c r="G13" s="75" t="s">
        <v>56</v>
      </c>
      <c r="H13" s="137"/>
      <c r="I13" s="137"/>
      <c r="J13" s="137" t="s">
        <v>350</v>
      </c>
      <c r="K13" s="137" t="s">
        <v>93</v>
      </c>
      <c r="L13" s="136"/>
      <c r="M13" s="137"/>
      <c r="N13" s="137"/>
      <c r="O13" s="137" t="s">
        <v>56</v>
      </c>
      <c r="P13" s="137"/>
      <c r="Q13" s="137"/>
      <c r="R13" s="137"/>
      <c r="S13" s="137" t="s">
        <v>56</v>
      </c>
      <c r="U13" s="137"/>
      <c r="V13" s="137"/>
      <c r="W13" s="137" t="s">
        <v>350</v>
      </c>
      <c r="X13" s="137"/>
      <c r="Y13" s="137"/>
      <c r="AA13" s="137" t="s">
        <v>675</v>
      </c>
      <c r="AB13" s="137" t="s">
        <v>675</v>
      </c>
      <c r="AC13" s="137" t="s">
        <v>675</v>
      </c>
      <c r="AD13" s="137" t="s">
        <v>59</v>
      </c>
      <c r="AE13" s="137"/>
      <c r="AF13" s="137" t="s">
        <v>675</v>
      </c>
      <c r="AG13" s="137" t="s">
        <v>675</v>
      </c>
      <c r="AH13" s="197"/>
      <c r="AI13" s="237">
        <f t="shared" ref="AI13:AQ13" si="28">COUNTIF($C13:$AG13,AI$4)</f>
        <v>0</v>
      </c>
      <c r="AJ13" s="237">
        <f t="shared" si="28"/>
        <v>3</v>
      </c>
      <c r="AK13" s="237">
        <f t="shared" si="28"/>
        <v>1</v>
      </c>
      <c r="AL13" s="237">
        <f t="shared" si="28"/>
        <v>0</v>
      </c>
      <c r="AM13" s="237">
        <f t="shared" si="28"/>
        <v>0</v>
      </c>
      <c r="AN13" s="237">
        <f t="shared" si="28"/>
        <v>2</v>
      </c>
      <c r="AO13" s="237">
        <f t="shared" si="28"/>
        <v>0</v>
      </c>
      <c r="AP13" s="237">
        <f t="shared" si="28"/>
        <v>0</v>
      </c>
      <c r="AQ13" s="237">
        <f t="shared" si="28"/>
        <v>0</v>
      </c>
      <c r="AR13" s="238"/>
      <c r="AS13" s="239">
        <v>1</v>
      </c>
      <c r="AT13" s="239"/>
      <c r="AU13" s="238">
        <f>SUMPRODUCT(--(WEEKDAY(C$3:AG$3,2)&lt;5),--ISNUMBER(MATCH(C13:AG13,{"DM","CS1","CS2","SB1","AE","CS/B"},0)))</f>
        <v>2</v>
      </c>
      <c r="AV13" s="238"/>
      <c r="AW13" s="238">
        <f>SUMPRODUCT(--(WEEKDAY(C$3:AG$3,2)=5),--ISNUMBER(MATCH(C13:AG13,{"DM","CS1","CS2","SB1","AE","CS/B"},0)))</f>
        <v>1</v>
      </c>
      <c r="AX13" s="238">
        <f>SUMPRODUCT(--(WEEKDAY(C$3:AG$3,2)&gt;5),--ISNUMBER(MATCH(C13:AG13,{"DM","CS1","CS2","SB1","AE","CS/B"},0)))</f>
        <v>1</v>
      </c>
      <c r="AY13" s="238"/>
      <c r="AZ13" s="238">
        <f t="shared" si="3"/>
        <v>7.5</v>
      </c>
      <c r="BA13" s="238">
        <f t="shared" si="4"/>
        <v>4</v>
      </c>
      <c r="BB13" s="238">
        <f t="shared" si="5"/>
        <v>0</v>
      </c>
      <c r="BC13" s="239">
        <f t="shared" si="6"/>
        <v>7.5</v>
      </c>
      <c r="BD13" s="238">
        <f t="shared" si="7"/>
        <v>0</v>
      </c>
      <c r="BE13" s="238">
        <f t="shared" si="8"/>
        <v>0</v>
      </c>
      <c r="BF13" s="238">
        <f t="shared" si="9"/>
        <v>0</v>
      </c>
      <c r="BG13" s="238">
        <f t="shared" si="10"/>
        <v>0</v>
      </c>
      <c r="BH13" s="238">
        <f t="shared" si="11"/>
        <v>0</v>
      </c>
      <c r="BI13" s="238">
        <f t="shared" si="12"/>
        <v>0</v>
      </c>
      <c r="BJ13" s="238">
        <f t="shared" si="13"/>
        <v>0</v>
      </c>
      <c r="BK13" s="238">
        <f t="shared" si="14"/>
        <v>0</v>
      </c>
      <c r="BL13" s="238">
        <f t="shared" si="15"/>
        <v>0</v>
      </c>
      <c r="BM13" s="238">
        <f t="shared" si="16"/>
        <v>0</v>
      </c>
      <c r="BN13" s="238">
        <f t="shared" si="17"/>
        <v>0</v>
      </c>
      <c r="BO13" s="238">
        <f t="shared" si="18"/>
        <v>0</v>
      </c>
      <c r="BP13" s="238">
        <f t="shared" si="19"/>
        <v>2</v>
      </c>
      <c r="BQ13" s="238">
        <f t="shared" si="20"/>
        <v>0</v>
      </c>
      <c r="BR13" s="240"/>
    </row>
    <row r="14" ht="51" customHeight="1" spans="1:70">
      <c r="A14" s="233"/>
      <c r="B14" s="191" t="s">
        <v>584</v>
      </c>
      <c r="C14" s="75"/>
      <c r="D14" s="75" t="s">
        <v>93</v>
      </c>
      <c r="E14" s="75"/>
      <c r="H14" s="75" t="s">
        <v>59</v>
      </c>
      <c r="I14" s="75"/>
      <c r="J14" s="53"/>
      <c r="K14" s="75" t="s">
        <v>350</v>
      </c>
      <c r="L14" s="75"/>
      <c r="M14" s="75" t="s">
        <v>56</v>
      </c>
      <c r="N14" s="75"/>
      <c r="O14" s="75"/>
      <c r="P14" s="75" t="s">
        <v>59</v>
      </c>
      <c r="Q14" s="75"/>
      <c r="R14" s="241"/>
      <c r="S14" s="241"/>
      <c r="T14" s="241"/>
      <c r="U14" s="241"/>
      <c r="V14" s="75" t="s">
        <v>93</v>
      </c>
      <c r="W14" s="75"/>
      <c r="X14" s="241"/>
      <c r="Y14" s="241"/>
      <c r="AA14" s="75" t="s">
        <v>59</v>
      </c>
      <c r="AB14" s="75"/>
      <c r="AC14" s="1" t="s">
        <v>676</v>
      </c>
      <c r="AD14" s="241"/>
      <c r="AE14" s="75" t="s">
        <v>350</v>
      </c>
      <c r="AF14" s="75"/>
      <c r="AG14" s="241"/>
      <c r="AH14" s="197"/>
      <c r="AI14" s="237">
        <f t="shared" ref="AI14:AQ14" si="29">COUNTIF($C14:$AG14,AI$4)</f>
        <v>0</v>
      </c>
      <c r="AJ14" s="237">
        <f t="shared" si="29"/>
        <v>1</v>
      </c>
      <c r="AK14" s="237">
        <f t="shared" si="29"/>
        <v>3</v>
      </c>
      <c r="AL14" s="237">
        <f t="shared" si="29"/>
        <v>0</v>
      </c>
      <c r="AM14" s="237">
        <f t="shared" si="29"/>
        <v>0</v>
      </c>
      <c r="AN14" s="237">
        <f t="shared" si="29"/>
        <v>2</v>
      </c>
      <c r="AO14" s="237">
        <f t="shared" si="29"/>
        <v>0</v>
      </c>
      <c r="AP14" s="237">
        <f t="shared" si="29"/>
        <v>0</v>
      </c>
      <c r="AQ14" s="237">
        <f t="shared" si="29"/>
        <v>0</v>
      </c>
      <c r="AR14" s="238"/>
      <c r="AS14" s="239"/>
      <c r="AT14" s="239">
        <v>0.5</v>
      </c>
      <c r="AU14" s="238">
        <f>SUMPRODUCT(--(WEEKDAY(C$3:AG$3,2)&lt;5),--ISNUMBER(MATCH(C14:AG14,{"DM","CS1","CS2","SB1","AE","CS/B"},0)))</f>
        <v>2</v>
      </c>
      <c r="AV14" s="238"/>
      <c r="AW14" s="238">
        <f>SUMPRODUCT(--(WEEKDAY(C$3:AG$3,2)=5),--ISNUMBER(MATCH(C14:AG14,{"DM","CS1","CS2","SB1","AE","CS/B"},0)))</f>
        <v>1</v>
      </c>
      <c r="AX14" s="238">
        <f>SUMPRODUCT(--(WEEKDAY(C$3:AG$3,2)&gt;5),--ISNUMBER(MATCH(C14:AG14,{"DM","CS1","CS2","SB1","AE","CS/B"},0)))</f>
        <v>1</v>
      </c>
      <c r="AY14" s="238"/>
      <c r="AZ14" s="238">
        <f t="shared" si="3"/>
        <v>6</v>
      </c>
      <c r="BA14" s="238">
        <f t="shared" si="4"/>
        <v>4</v>
      </c>
      <c r="BB14" s="238">
        <f t="shared" si="5"/>
        <v>0</v>
      </c>
      <c r="BC14" s="239">
        <f t="shared" si="6"/>
        <v>6</v>
      </c>
      <c r="BD14" s="238">
        <f t="shared" si="7"/>
        <v>0</v>
      </c>
      <c r="BE14" s="238">
        <f t="shared" si="8"/>
        <v>0</v>
      </c>
      <c r="BF14" s="238">
        <f t="shared" si="9"/>
        <v>0</v>
      </c>
      <c r="BG14" s="238">
        <f t="shared" si="10"/>
        <v>0</v>
      </c>
      <c r="BH14" s="238">
        <f t="shared" si="11"/>
        <v>0</v>
      </c>
      <c r="BI14" s="238">
        <f t="shared" si="12"/>
        <v>0</v>
      </c>
      <c r="BJ14" s="238">
        <f t="shared" si="13"/>
        <v>0</v>
      </c>
      <c r="BK14" s="238">
        <f t="shared" si="14"/>
        <v>0</v>
      </c>
      <c r="BL14" s="238">
        <f t="shared" si="15"/>
        <v>0</v>
      </c>
      <c r="BM14" s="238">
        <f t="shared" si="16"/>
        <v>0</v>
      </c>
      <c r="BN14" s="238">
        <f t="shared" si="17"/>
        <v>0</v>
      </c>
      <c r="BO14" s="238">
        <f t="shared" si="18"/>
        <v>0</v>
      </c>
      <c r="BP14" s="238">
        <f t="shared" si="19"/>
        <v>1</v>
      </c>
      <c r="BQ14" s="238">
        <f t="shared" si="20"/>
        <v>0</v>
      </c>
      <c r="BR14" s="240"/>
    </row>
    <row r="15" ht="45" customHeight="1" spans="1:70">
      <c r="A15" s="233"/>
      <c r="B15" s="191" t="s">
        <v>585</v>
      </c>
      <c r="C15" s="137"/>
      <c r="D15" s="137"/>
      <c r="E15" s="137"/>
      <c r="F15" s="137" t="s">
        <v>677</v>
      </c>
      <c r="G15" s="137" t="s">
        <v>678</v>
      </c>
      <c r="H15" s="137"/>
      <c r="I15" s="244"/>
      <c r="J15" s="75"/>
      <c r="K15" s="137"/>
      <c r="L15" s="137" t="s">
        <v>56</v>
      </c>
      <c r="M15" s="137"/>
      <c r="N15" s="137"/>
      <c r="O15" s="244" t="s">
        <v>253</v>
      </c>
      <c r="P15" s="137"/>
      <c r="Q15" s="137" t="s">
        <v>56</v>
      </c>
      <c r="R15" s="137"/>
      <c r="T15" s="137"/>
      <c r="U15" s="137"/>
      <c r="V15" s="137" t="s">
        <v>59</v>
      </c>
      <c r="W15" s="137"/>
      <c r="X15" s="137"/>
      <c r="Y15" s="244" t="s">
        <v>261</v>
      </c>
      <c r="Z15" s="137" t="s">
        <v>679</v>
      </c>
      <c r="AA15" s="75" t="s">
        <v>65</v>
      </c>
      <c r="AB15" s="137"/>
      <c r="AD15" s="137"/>
      <c r="AE15" s="137"/>
      <c r="AF15" s="137" t="s">
        <v>354</v>
      </c>
      <c r="AH15" s="197"/>
      <c r="AI15" s="237">
        <f t="shared" ref="AI15:AQ15" si="30">COUNTIF($C15:$AF15,AI$4)</f>
        <v>0</v>
      </c>
      <c r="AJ15" s="237">
        <f t="shared" si="30"/>
        <v>2</v>
      </c>
      <c r="AK15" s="237">
        <f t="shared" si="30"/>
        <v>1</v>
      </c>
      <c r="AL15" s="237">
        <f t="shared" si="30"/>
        <v>0</v>
      </c>
      <c r="AM15" s="237">
        <f t="shared" si="30"/>
        <v>0</v>
      </c>
      <c r="AN15" s="237">
        <f t="shared" si="30"/>
        <v>0</v>
      </c>
      <c r="AO15" s="237">
        <f t="shared" si="30"/>
        <v>1</v>
      </c>
      <c r="AP15" s="237">
        <f t="shared" si="30"/>
        <v>0</v>
      </c>
      <c r="AQ15" s="237">
        <f t="shared" si="30"/>
        <v>0</v>
      </c>
      <c r="AR15" s="238"/>
      <c r="AS15" s="239"/>
      <c r="AT15" s="239"/>
      <c r="AU15" s="238">
        <f>SUMPRODUCT(--(WEEKDAY(C$3:AG$3,2)&lt;5),--ISNUMBER(MATCH(C15:AG15,{"DM","CS1","CS2","SB1","AE","CS/B"},0)))</f>
        <v>2</v>
      </c>
      <c r="AV15" s="238"/>
      <c r="AW15" s="238">
        <f>SUMPRODUCT(--(WEEKDAY(C$3:AG$3,2)=5),--ISNUMBER(MATCH(C15:AG15,{"DM","CS1","CS2","SB1","AE","CS/B"},0)))</f>
        <v>1</v>
      </c>
      <c r="AX15" s="238">
        <f>SUMPRODUCT(--(WEEKDAY(C$3:AG$3,2)&gt;5),--ISNUMBER(MATCH(C15:AG15,{"DM","CS1","CS2","SB1","AE","CS/B"},0)))</f>
        <v>1</v>
      </c>
      <c r="AY15" s="238"/>
      <c r="AZ15" s="238">
        <f t="shared" si="3"/>
        <v>5.5</v>
      </c>
      <c r="BA15" s="238">
        <f t="shared" si="4"/>
        <v>4</v>
      </c>
      <c r="BB15" s="238">
        <f t="shared" si="5"/>
        <v>3</v>
      </c>
      <c r="BC15" s="239">
        <f t="shared" si="6"/>
        <v>7</v>
      </c>
      <c r="BD15" s="238">
        <f t="shared" si="7"/>
        <v>1.5</v>
      </c>
      <c r="BE15" s="238">
        <f t="shared" si="8"/>
        <v>0</v>
      </c>
      <c r="BF15" s="238">
        <f t="shared" si="9"/>
        <v>0</v>
      </c>
      <c r="BG15" s="238">
        <f t="shared" si="10"/>
        <v>0</v>
      </c>
      <c r="BH15" s="238">
        <f t="shared" si="11"/>
        <v>0</v>
      </c>
      <c r="BI15" s="238">
        <f t="shared" si="12"/>
        <v>1</v>
      </c>
      <c r="BJ15" s="238">
        <f t="shared" si="13"/>
        <v>0.5</v>
      </c>
      <c r="BK15" s="238">
        <f t="shared" si="14"/>
        <v>2</v>
      </c>
      <c r="BL15" s="238">
        <f t="shared" si="15"/>
        <v>1</v>
      </c>
      <c r="BM15" s="238">
        <f t="shared" si="16"/>
        <v>0</v>
      </c>
      <c r="BN15" s="238">
        <f t="shared" si="17"/>
        <v>0</v>
      </c>
      <c r="BO15" s="238">
        <f t="shared" si="18"/>
        <v>0</v>
      </c>
      <c r="BP15" s="238">
        <f t="shared" si="19"/>
        <v>0</v>
      </c>
      <c r="BQ15" s="238">
        <f t="shared" si="20"/>
        <v>0</v>
      </c>
      <c r="BR15" s="240"/>
    </row>
    <row r="16" ht="47.25" customHeight="1" spans="1:70">
      <c r="A16" s="233"/>
      <c r="B16" s="185" t="s">
        <v>591</v>
      </c>
      <c r="C16" s="75" t="s">
        <v>409</v>
      </c>
      <c r="D16" s="75" t="s">
        <v>409</v>
      </c>
      <c r="E16" s="75" t="s">
        <v>409</v>
      </c>
      <c r="F16" s="75" t="s">
        <v>409</v>
      </c>
      <c r="G16" s="75" t="s">
        <v>409</v>
      </c>
      <c r="H16" s="75" t="s">
        <v>409</v>
      </c>
      <c r="I16" s="75" t="s">
        <v>409</v>
      </c>
      <c r="J16" s="75" t="s">
        <v>409</v>
      </c>
      <c r="K16" s="75" t="s">
        <v>409</v>
      </c>
      <c r="L16" s="75" t="s">
        <v>409</v>
      </c>
      <c r="M16" s="75" t="s">
        <v>409</v>
      </c>
      <c r="N16" s="75" t="s">
        <v>409</v>
      </c>
      <c r="O16" s="75" t="s">
        <v>409</v>
      </c>
      <c r="P16" s="75" t="s">
        <v>409</v>
      </c>
      <c r="Q16" s="75" t="s">
        <v>409</v>
      </c>
      <c r="R16" s="75" t="s">
        <v>409</v>
      </c>
      <c r="S16" s="75" t="s">
        <v>409</v>
      </c>
      <c r="T16" s="75" t="s">
        <v>409</v>
      </c>
      <c r="U16" s="75" t="s">
        <v>409</v>
      </c>
      <c r="V16" s="75" t="s">
        <v>409</v>
      </c>
      <c r="W16" s="75" t="s">
        <v>409</v>
      </c>
      <c r="X16" s="75" t="s">
        <v>409</v>
      </c>
      <c r="Y16" s="75" t="s">
        <v>409</v>
      </c>
      <c r="Z16" s="75" t="s">
        <v>409</v>
      </c>
      <c r="AA16" s="75" t="s">
        <v>409</v>
      </c>
      <c r="AB16" s="75" t="s">
        <v>409</v>
      </c>
      <c r="AC16" s="75" t="s">
        <v>409</v>
      </c>
      <c r="AD16" s="75" t="s">
        <v>409</v>
      </c>
      <c r="AE16" s="75" t="s">
        <v>409</v>
      </c>
      <c r="AF16" s="75" t="s">
        <v>409</v>
      </c>
      <c r="AG16" s="75" t="s">
        <v>409</v>
      </c>
      <c r="AH16" s="137"/>
      <c r="AI16" s="237">
        <f t="shared" ref="AI16:AQ16" si="31">COUNTIF($C16:$AG16,AI$4)</f>
        <v>0</v>
      </c>
      <c r="AJ16" s="237">
        <f t="shared" si="31"/>
        <v>0</v>
      </c>
      <c r="AK16" s="237">
        <f t="shared" si="31"/>
        <v>0</v>
      </c>
      <c r="AL16" s="237">
        <f t="shared" si="31"/>
        <v>0</v>
      </c>
      <c r="AM16" s="237">
        <f t="shared" si="31"/>
        <v>0</v>
      </c>
      <c r="AN16" s="237">
        <f t="shared" si="31"/>
        <v>0</v>
      </c>
      <c r="AO16" s="237">
        <f t="shared" si="31"/>
        <v>0</v>
      </c>
      <c r="AP16" s="237">
        <f t="shared" si="31"/>
        <v>0</v>
      </c>
      <c r="AQ16" s="237">
        <f t="shared" si="31"/>
        <v>0</v>
      </c>
      <c r="AR16" s="238"/>
      <c r="AS16" s="239"/>
      <c r="AT16" s="239"/>
      <c r="AU16" s="238">
        <f>SUMPRODUCT(--(WEEKDAY(C$3:AG$3,2)&lt;5),--ISNUMBER(MATCH(C16:AG16,{"DM","CS1","CS2","SB1","AE","CS/B"},0)))</f>
        <v>0</v>
      </c>
      <c r="AV16" s="238"/>
      <c r="AW16" s="238">
        <f>SUMPRODUCT(--(WEEKDAY(C$3:AG$3,2)=5),--ISNUMBER(MATCH(C16:AG16,{"DM","CS1","CS2","SB1","AE","CS/B"},0)))</f>
        <v>0</v>
      </c>
      <c r="AX16" s="238">
        <f>SUMPRODUCT(--(WEEKDAY(C$3:AG$3,2)&gt;5),--ISNUMBER(MATCH(C16:AG16,{"DM","CS1","CS2","SB1","AE","CS/B"},0)))</f>
        <v>0</v>
      </c>
      <c r="AY16" s="238"/>
      <c r="AZ16" s="238">
        <f t="shared" si="3"/>
        <v>0</v>
      </c>
      <c r="BA16" s="238">
        <f t="shared" si="4"/>
        <v>0</v>
      </c>
      <c r="BB16" s="238">
        <f t="shared" si="5"/>
        <v>0</v>
      </c>
      <c r="BC16" s="239">
        <f t="shared" si="6"/>
        <v>0</v>
      </c>
      <c r="BD16" s="238">
        <f t="shared" si="7"/>
        <v>0</v>
      </c>
      <c r="BE16" s="238">
        <f t="shared" si="8"/>
        <v>0</v>
      </c>
      <c r="BF16" s="238">
        <f t="shared" si="9"/>
        <v>0</v>
      </c>
      <c r="BG16" s="238">
        <f t="shared" si="10"/>
        <v>0</v>
      </c>
      <c r="BH16" s="238">
        <f t="shared" si="11"/>
        <v>0</v>
      </c>
      <c r="BI16" s="238">
        <f t="shared" si="12"/>
        <v>0</v>
      </c>
      <c r="BJ16" s="238">
        <f t="shared" si="13"/>
        <v>0</v>
      </c>
      <c r="BK16" s="238">
        <f t="shared" si="14"/>
        <v>0</v>
      </c>
      <c r="BL16" s="238">
        <f t="shared" si="15"/>
        <v>0</v>
      </c>
      <c r="BM16" s="238">
        <f t="shared" si="16"/>
        <v>0</v>
      </c>
      <c r="BN16" s="238">
        <f t="shared" si="17"/>
        <v>0</v>
      </c>
      <c r="BO16" s="238">
        <f t="shared" si="18"/>
        <v>0</v>
      </c>
      <c r="BP16" s="238">
        <f t="shared" si="19"/>
        <v>0</v>
      </c>
      <c r="BQ16" s="238">
        <f t="shared" si="20"/>
        <v>0</v>
      </c>
      <c r="BR16" s="240"/>
    </row>
    <row r="17" ht="45" customHeight="1" spans="1:70">
      <c r="A17" s="233"/>
      <c r="B17" s="186" t="s">
        <v>592</v>
      </c>
      <c r="C17" s="137"/>
      <c r="D17" s="137" t="s">
        <v>57</v>
      </c>
      <c r="E17" s="137"/>
      <c r="F17" s="137" t="s">
        <v>669</v>
      </c>
      <c r="G17" s="137" t="s">
        <v>57</v>
      </c>
      <c r="H17" s="137"/>
      <c r="I17" s="53"/>
      <c r="J17" s="137" t="s">
        <v>57</v>
      </c>
      <c r="K17" s="137"/>
      <c r="L17" s="137"/>
      <c r="M17" s="137" t="s">
        <v>59</v>
      </c>
      <c r="N17" s="137"/>
      <c r="O17" s="137" t="s">
        <v>57</v>
      </c>
      <c r="P17" s="137"/>
      <c r="Q17" s="137"/>
      <c r="R17" s="75"/>
      <c r="S17" s="75"/>
      <c r="T17" s="75"/>
      <c r="U17" s="75" t="s">
        <v>93</v>
      </c>
      <c r="V17" s="137"/>
      <c r="W17" s="137" t="s">
        <v>57</v>
      </c>
      <c r="X17" s="137"/>
      <c r="Y17" s="137"/>
      <c r="AA17" s="137"/>
      <c r="AB17" s="53" t="s">
        <v>59</v>
      </c>
      <c r="AC17" s="137"/>
      <c r="AD17" s="137"/>
      <c r="AE17" s="137"/>
      <c r="AF17" s="137" t="s">
        <v>350</v>
      </c>
      <c r="AG17" s="137"/>
      <c r="AH17" s="197"/>
      <c r="AI17" s="237">
        <f t="shared" ref="AI17:AQ17" si="32">COUNTIF($C17:$AG17,AI$4)</f>
        <v>5</v>
      </c>
      <c r="AJ17" s="237">
        <f t="shared" si="32"/>
        <v>0</v>
      </c>
      <c r="AK17" s="237">
        <f t="shared" si="32"/>
        <v>2</v>
      </c>
      <c r="AL17" s="237">
        <f t="shared" si="32"/>
        <v>0</v>
      </c>
      <c r="AM17" s="237">
        <f t="shared" si="32"/>
        <v>0</v>
      </c>
      <c r="AN17" s="237">
        <f t="shared" si="32"/>
        <v>1</v>
      </c>
      <c r="AO17" s="237">
        <f t="shared" si="32"/>
        <v>0</v>
      </c>
      <c r="AP17" s="237">
        <f t="shared" si="32"/>
        <v>0</v>
      </c>
      <c r="AQ17" s="237">
        <f t="shared" si="32"/>
        <v>0</v>
      </c>
      <c r="AR17" s="238"/>
      <c r="AS17" s="239">
        <v>0.5</v>
      </c>
      <c r="AT17" s="239"/>
      <c r="AU17" s="238">
        <f>SUMPRODUCT(--(WEEKDAY(C$3:AG$3,2)&lt;5),--ISNUMBER(MATCH(C17:AG17,{"DM","CS1","CS2","SB1","AE","CS/B"},0)))</f>
        <v>4</v>
      </c>
      <c r="AV17" s="238"/>
      <c r="AW17" s="238">
        <f>SUMPRODUCT(--(WEEKDAY(C$3:AG$3,2)=5),--ISNUMBER(MATCH(C17:AG17,{"DM","CS1","CS2","SB1","AE","CS/B"},0)))</f>
        <v>1</v>
      </c>
      <c r="AX17" s="238">
        <f>SUMPRODUCT(--(WEEKDAY(C$3:AG$3,2)&gt;5),--ISNUMBER(MATCH(C17:AG17,{"DM","CS1","CS2","SB1","AE","CS/B"},0)))</f>
        <v>2</v>
      </c>
      <c r="AY17" s="238"/>
      <c r="AZ17" s="238">
        <f t="shared" si="3"/>
        <v>10.5</v>
      </c>
      <c r="BA17" s="238">
        <f t="shared" si="4"/>
        <v>7</v>
      </c>
      <c r="BB17" s="238">
        <f t="shared" si="5"/>
        <v>0</v>
      </c>
      <c r="BC17" s="239">
        <f t="shared" si="6"/>
        <v>10.5</v>
      </c>
      <c r="BD17" s="238">
        <f t="shared" si="7"/>
        <v>0</v>
      </c>
      <c r="BE17" s="238">
        <f t="shared" si="8"/>
        <v>0</v>
      </c>
      <c r="BF17" s="238">
        <f t="shared" si="9"/>
        <v>0</v>
      </c>
      <c r="BG17" s="238">
        <f t="shared" si="10"/>
        <v>0</v>
      </c>
      <c r="BH17" s="238">
        <f t="shared" si="11"/>
        <v>0</v>
      </c>
      <c r="BI17" s="238">
        <f t="shared" si="12"/>
        <v>0</v>
      </c>
      <c r="BJ17" s="238">
        <f t="shared" si="13"/>
        <v>0</v>
      </c>
      <c r="BK17" s="238">
        <f t="shared" si="14"/>
        <v>0</v>
      </c>
      <c r="BL17" s="238">
        <f t="shared" si="15"/>
        <v>0</v>
      </c>
      <c r="BM17" s="238">
        <f t="shared" si="16"/>
        <v>0</v>
      </c>
      <c r="BN17" s="238">
        <f t="shared" si="17"/>
        <v>0</v>
      </c>
      <c r="BO17" s="238">
        <f t="shared" si="18"/>
        <v>0</v>
      </c>
      <c r="BP17" s="238">
        <f t="shared" si="19"/>
        <v>0</v>
      </c>
      <c r="BQ17" s="238">
        <f t="shared" si="20"/>
        <v>0</v>
      </c>
      <c r="BR17" s="240"/>
    </row>
    <row r="18" ht="60.75" customHeight="1" spans="1:70">
      <c r="A18" s="233"/>
      <c r="B18" s="186" t="s">
        <v>594</v>
      </c>
      <c r="D18" s="241"/>
      <c r="E18" s="75" t="s">
        <v>573</v>
      </c>
      <c r="G18" s="75" t="s">
        <v>150</v>
      </c>
      <c r="H18" s="75" t="s">
        <v>150</v>
      </c>
      <c r="I18" s="241" t="s">
        <v>671</v>
      </c>
      <c r="J18" s="241"/>
      <c r="K18" s="75"/>
      <c r="L18" s="136"/>
      <c r="M18" s="75"/>
      <c r="N18" s="75" t="s">
        <v>573</v>
      </c>
      <c r="O18" s="75"/>
      <c r="P18" s="75"/>
      <c r="Q18" s="53"/>
      <c r="R18" s="53"/>
      <c r="S18" s="75"/>
      <c r="U18" s="75"/>
      <c r="V18" s="75"/>
      <c r="W18" s="75"/>
      <c r="X18" s="75"/>
      <c r="Y18" s="75"/>
      <c r="Z18" s="75" t="s">
        <v>59</v>
      </c>
      <c r="AA18" s="75"/>
      <c r="AB18" s="75"/>
      <c r="AC18" s="75" t="s">
        <v>350</v>
      </c>
      <c r="AD18" s="75"/>
      <c r="AE18" s="137" t="s">
        <v>57</v>
      </c>
      <c r="AF18" s="75"/>
      <c r="AH18" s="197"/>
      <c r="AI18" s="237">
        <f t="shared" ref="AI18:AQ18" si="33">COUNTIF($C18:$AG18,AI$4)</f>
        <v>1</v>
      </c>
      <c r="AJ18" s="237">
        <f t="shared" si="33"/>
        <v>0</v>
      </c>
      <c r="AK18" s="237">
        <f t="shared" si="33"/>
        <v>1</v>
      </c>
      <c r="AL18" s="237">
        <f t="shared" si="33"/>
        <v>0</v>
      </c>
      <c r="AM18" s="237">
        <f t="shared" si="33"/>
        <v>0</v>
      </c>
      <c r="AN18" s="237">
        <f t="shared" si="33"/>
        <v>0</v>
      </c>
      <c r="AO18" s="237">
        <f t="shared" si="33"/>
        <v>0</v>
      </c>
      <c r="AP18" s="237">
        <f t="shared" si="33"/>
        <v>0</v>
      </c>
      <c r="AQ18" s="237">
        <f t="shared" si="33"/>
        <v>0</v>
      </c>
      <c r="AR18" s="238"/>
      <c r="AS18" s="239">
        <v>3.5</v>
      </c>
      <c r="AT18" s="239"/>
      <c r="AU18" s="238">
        <f>SUMPRODUCT(--(WEEKDAY(C$3:AG$3,2)&lt;5),--ISNUMBER(MATCH(C18:AG18,{"DM","CS1","CS2","SB1","AE","CS/B"},0)))</f>
        <v>1</v>
      </c>
      <c r="AV18" s="238"/>
      <c r="AW18" s="238">
        <f>SUMPRODUCT(--(WEEKDAY(C$3:AG$3,2)=5),--ISNUMBER(MATCH(C18:AG18,{"DM","CS1","CS2","SB1","AE","CS/B"},0)))</f>
        <v>0</v>
      </c>
      <c r="AX18" s="238">
        <f>SUMPRODUCT(--(WEEKDAY(C$3:AG$3,2)&gt;5),--ISNUMBER(MATCH(C18:AG18,{"DM","CS1","CS2","SB1","AE","CS/B"},0)))</f>
        <v>1</v>
      </c>
      <c r="AY18" s="238"/>
      <c r="AZ18" s="238">
        <f t="shared" si="3"/>
        <v>6.5</v>
      </c>
      <c r="BA18" s="238">
        <f t="shared" si="4"/>
        <v>2</v>
      </c>
      <c r="BB18" s="238">
        <f t="shared" si="5"/>
        <v>1</v>
      </c>
      <c r="BC18" s="239">
        <f t="shared" si="6"/>
        <v>7.5</v>
      </c>
      <c r="BD18" s="238">
        <f t="shared" si="7"/>
        <v>1</v>
      </c>
      <c r="BE18" s="238">
        <f t="shared" si="8"/>
        <v>0</v>
      </c>
      <c r="BF18" s="238">
        <f t="shared" si="9"/>
        <v>0</v>
      </c>
      <c r="BG18" s="238">
        <f t="shared" si="10"/>
        <v>1</v>
      </c>
      <c r="BH18" s="238">
        <f t="shared" si="11"/>
        <v>1</v>
      </c>
      <c r="BI18" s="238">
        <f t="shared" si="12"/>
        <v>0</v>
      </c>
      <c r="BJ18" s="238">
        <f t="shared" si="13"/>
        <v>0</v>
      </c>
      <c r="BK18" s="238">
        <f t="shared" si="14"/>
        <v>0</v>
      </c>
      <c r="BL18" s="238">
        <f t="shared" si="15"/>
        <v>0</v>
      </c>
      <c r="BM18" s="238">
        <f t="shared" si="16"/>
        <v>0</v>
      </c>
      <c r="BN18" s="238">
        <f t="shared" si="17"/>
        <v>0</v>
      </c>
      <c r="BO18" s="238">
        <f t="shared" si="18"/>
        <v>0</v>
      </c>
      <c r="BP18" s="238">
        <f t="shared" si="19"/>
        <v>0</v>
      </c>
      <c r="BQ18" s="238">
        <f t="shared" si="20"/>
        <v>0</v>
      </c>
      <c r="BR18" s="240"/>
    </row>
    <row r="19" ht="53.25" customHeight="1" spans="1:70">
      <c r="A19" s="233"/>
      <c r="B19" s="186" t="s">
        <v>596</v>
      </c>
      <c r="C19" s="137"/>
      <c r="D19" s="137" t="s">
        <v>56</v>
      </c>
      <c r="E19" s="241"/>
      <c r="F19" s="75" t="s">
        <v>573</v>
      </c>
      <c r="G19" s="137" t="s">
        <v>350</v>
      </c>
      <c r="H19" s="137"/>
      <c r="I19" s="137" t="s">
        <v>59</v>
      </c>
      <c r="J19" s="241"/>
      <c r="K19" s="137"/>
      <c r="L19" s="136"/>
      <c r="M19" s="137" t="s">
        <v>54</v>
      </c>
      <c r="N19" s="137" t="s">
        <v>54</v>
      </c>
      <c r="O19" s="137" t="s">
        <v>54</v>
      </c>
      <c r="P19" s="137" t="s">
        <v>54</v>
      </c>
      <c r="Q19" s="137" t="s">
        <v>54</v>
      </c>
      <c r="R19" s="137" t="s">
        <v>253</v>
      </c>
      <c r="S19" s="241"/>
      <c r="T19" s="137"/>
      <c r="U19" s="137" t="s">
        <v>57</v>
      </c>
      <c r="V19" s="241"/>
      <c r="W19" s="137"/>
      <c r="X19" s="137"/>
      <c r="Y19" s="137" t="s">
        <v>56</v>
      </c>
      <c r="Z19" s="241"/>
      <c r="AA19" s="137" t="s">
        <v>56</v>
      </c>
      <c r="AB19" s="75" t="s">
        <v>93</v>
      </c>
      <c r="AC19" s="241" t="s">
        <v>54</v>
      </c>
      <c r="AD19" s="241" t="s">
        <v>54</v>
      </c>
      <c r="AE19" s="241" t="s">
        <v>54</v>
      </c>
      <c r="AF19" s="137" t="s">
        <v>59</v>
      </c>
      <c r="AG19" s="241"/>
      <c r="AH19" s="197"/>
      <c r="AI19" s="237">
        <f t="shared" ref="AI19:AQ19" si="34">COUNTIF($C19:$AG19,AI$4)</f>
        <v>1</v>
      </c>
      <c r="AJ19" s="237">
        <f t="shared" si="34"/>
        <v>3</v>
      </c>
      <c r="AK19" s="237">
        <f t="shared" si="34"/>
        <v>2</v>
      </c>
      <c r="AL19" s="237">
        <f t="shared" si="34"/>
        <v>0</v>
      </c>
      <c r="AM19" s="237">
        <f t="shared" si="34"/>
        <v>0</v>
      </c>
      <c r="AN19" s="237">
        <f t="shared" si="34"/>
        <v>1</v>
      </c>
      <c r="AO19" s="237">
        <f t="shared" si="34"/>
        <v>0</v>
      </c>
      <c r="AP19" s="237">
        <f t="shared" si="34"/>
        <v>0</v>
      </c>
      <c r="AQ19" s="237">
        <f t="shared" si="34"/>
        <v>0</v>
      </c>
      <c r="AR19" s="238"/>
      <c r="AS19" s="239"/>
      <c r="AT19" s="239">
        <v>2</v>
      </c>
      <c r="AU19" s="238">
        <f>SUMPRODUCT(--(WEEKDAY(C$3:AG$3,2)&lt;5),--ISNUMBER(MATCH(C19:AG19,{"DM","CS1","CS2","SB1","AE","CS/B"},0)))</f>
        <v>5</v>
      </c>
      <c r="AV19" s="238"/>
      <c r="AW19" s="238">
        <f>SUMPRODUCT(--(WEEKDAY(C$3:AG$3,2)=5),--ISNUMBER(MATCH(C19:AG19,{"DM","CS1","CS2","SB1","AE","CS/B"},0)))</f>
        <v>0</v>
      </c>
      <c r="AX19" s="238">
        <f>SUMPRODUCT(--(WEEKDAY(C$3:AG$3,2)&gt;5),--ISNUMBER(MATCH(C19:AG19,{"DM","CS1","CS2","SB1","AE","CS/B"},0)))</f>
        <v>1</v>
      </c>
      <c r="AY19" s="238"/>
      <c r="AZ19" s="238">
        <f t="shared" si="3"/>
        <v>5.5</v>
      </c>
      <c r="BA19" s="238">
        <f t="shared" si="4"/>
        <v>6</v>
      </c>
      <c r="BB19" s="238">
        <f t="shared" si="5"/>
        <v>0</v>
      </c>
      <c r="BC19" s="239">
        <f t="shared" si="6"/>
        <v>5.5</v>
      </c>
      <c r="BD19" s="238">
        <f t="shared" si="7"/>
        <v>0</v>
      </c>
      <c r="BE19" s="238">
        <f t="shared" si="8"/>
        <v>0</v>
      </c>
      <c r="BF19" s="238">
        <f t="shared" si="9"/>
        <v>0</v>
      </c>
      <c r="BG19" s="238">
        <f t="shared" si="10"/>
        <v>0</v>
      </c>
      <c r="BH19" s="238">
        <f t="shared" si="11"/>
        <v>0</v>
      </c>
      <c r="BI19" s="238">
        <f t="shared" si="12"/>
        <v>0</v>
      </c>
      <c r="BJ19" s="238">
        <f t="shared" si="13"/>
        <v>0</v>
      </c>
      <c r="BK19" s="238">
        <f t="shared" si="14"/>
        <v>0</v>
      </c>
      <c r="BL19" s="238">
        <f t="shared" si="15"/>
        <v>0</v>
      </c>
      <c r="BM19" s="238">
        <f t="shared" si="16"/>
        <v>0</v>
      </c>
      <c r="BN19" s="238">
        <f t="shared" si="17"/>
        <v>0</v>
      </c>
      <c r="BO19" s="238">
        <f t="shared" si="18"/>
        <v>0</v>
      </c>
      <c r="BP19" s="238">
        <f t="shared" si="19"/>
        <v>1</v>
      </c>
      <c r="BQ19" s="238">
        <f t="shared" si="20"/>
        <v>0</v>
      </c>
      <c r="BR19" s="240"/>
    </row>
    <row r="20" ht="51" customHeight="1" spans="1:70">
      <c r="A20" s="233"/>
      <c r="B20" s="186" t="s">
        <v>598</v>
      </c>
      <c r="C20" s="75"/>
      <c r="D20" s="75"/>
      <c r="E20" s="75" t="s">
        <v>350</v>
      </c>
      <c r="F20" s="137" t="s">
        <v>680</v>
      </c>
      <c r="G20" s="137" t="s">
        <v>678</v>
      </c>
      <c r="H20" s="241"/>
      <c r="I20" s="241" t="s">
        <v>681</v>
      </c>
      <c r="J20" s="75"/>
      <c r="K20" s="75"/>
      <c r="L20" s="75"/>
      <c r="N20" s="75" t="s">
        <v>253</v>
      </c>
      <c r="O20" s="241"/>
      <c r="P20" s="75"/>
      <c r="Q20" s="75"/>
      <c r="R20" s="75"/>
      <c r="S20" s="241"/>
      <c r="T20" s="75" t="s">
        <v>57</v>
      </c>
      <c r="U20" s="75"/>
      <c r="V20" s="241"/>
      <c r="W20" s="75"/>
      <c r="X20" s="75"/>
      <c r="Y20" s="99" t="s">
        <v>59</v>
      </c>
      <c r="Z20" s="75"/>
      <c r="AA20" s="53"/>
      <c r="AB20" s="75" t="s">
        <v>56</v>
      </c>
      <c r="AC20" s="241"/>
      <c r="AD20" s="75"/>
      <c r="AE20" s="75" t="s">
        <v>56</v>
      </c>
      <c r="AF20" s="75"/>
      <c r="AG20" s="75" t="s">
        <v>682</v>
      </c>
      <c r="AH20" s="197"/>
      <c r="AI20" s="237">
        <f t="shared" ref="AI20:AQ20" si="35">COUNTIF($C20:$AG20,AI$4)</f>
        <v>1</v>
      </c>
      <c r="AJ20" s="237">
        <f t="shared" si="35"/>
        <v>2</v>
      </c>
      <c r="AK20" s="237">
        <f t="shared" si="35"/>
        <v>1</v>
      </c>
      <c r="AL20" s="237">
        <f t="shared" si="35"/>
        <v>0</v>
      </c>
      <c r="AM20" s="237">
        <f t="shared" si="35"/>
        <v>0</v>
      </c>
      <c r="AN20" s="237">
        <f t="shared" si="35"/>
        <v>0</v>
      </c>
      <c r="AO20" s="237">
        <f t="shared" si="35"/>
        <v>0</v>
      </c>
      <c r="AP20" s="237">
        <f t="shared" si="35"/>
        <v>0</v>
      </c>
      <c r="AQ20" s="237">
        <f t="shared" si="35"/>
        <v>0</v>
      </c>
      <c r="AR20" s="238"/>
      <c r="AS20" s="239">
        <v>1</v>
      </c>
      <c r="AT20" s="239"/>
      <c r="AU20" s="238">
        <f>SUMPRODUCT(--(WEEKDAY(C$3:AG$3,2)&lt;5),--ISNUMBER(MATCH(C20:AG20,{"DM","CS1","CS2","SB1","AE","CS/B"},0)))</f>
        <v>3</v>
      </c>
      <c r="AV20" s="238"/>
      <c r="AW20" s="238">
        <f>SUMPRODUCT(--(WEEKDAY(C$3:AG$3,2)=5),--ISNUMBER(MATCH(C20:AG20,{"DM","CS1","CS2","SB1","AE","CS/B"},0)))</f>
        <v>0</v>
      </c>
      <c r="AX20" s="238">
        <f>SUMPRODUCT(--(WEEKDAY(C$3:AG$3,2)&gt;5),--ISNUMBER(MATCH(C20:AG20,{"DM","CS1","CS2","SB1","AE","CS/B"},0)))</f>
        <v>1</v>
      </c>
      <c r="AY20" s="238"/>
      <c r="AZ20" s="238">
        <f t="shared" si="3"/>
        <v>6</v>
      </c>
      <c r="BA20" s="238">
        <f t="shared" si="4"/>
        <v>4</v>
      </c>
      <c r="BB20" s="238">
        <f t="shared" si="5"/>
        <v>2</v>
      </c>
      <c r="BC20" s="239">
        <f t="shared" si="6"/>
        <v>8</v>
      </c>
      <c r="BD20" s="238">
        <f t="shared" si="7"/>
        <v>2</v>
      </c>
      <c r="BE20" s="238">
        <f t="shared" si="8"/>
        <v>0</v>
      </c>
      <c r="BF20" s="238">
        <f t="shared" si="9"/>
        <v>0</v>
      </c>
      <c r="BG20" s="238">
        <f t="shared" si="10"/>
        <v>2</v>
      </c>
      <c r="BH20" s="238">
        <f t="shared" si="11"/>
        <v>2</v>
      </c>
      <c r="BI20" s="238">
        <f t="shared" si="12"/>
        <v>0</v>
      </c>
      <c r="BJ20" s="238">
        <f t="shared" si="13"/>
        <v>0</v>
      </c>
      <c r="BK20" s="238">
        <f t="shared" si="14"/>
        <v>0</v>
      </c>
      <c r="BL20" s="238">
        <f t="shared" si="15"/>
        <v>0</v>
      </c>
      <c r="BM20" s="238">
        <f t="shared" si="16"/>
        <v>0</v>
      </c>
      <c r="BN20" s="238">
        <f t="shared" si="17"/>
        <v>0</v>
      </c>
      <c r="BO20" s="238">
        <f t="shared" si="18"/>
        <v>0</v>
      </c>
      <c r="BP20" s="238">
        <f t="shared" si="19"/>
        <v>1</v>
      </c>
      <c r="BQ20" s="238">
        <f t="shared" si="20"/>
        <v>0</v>
      </c>
      <c r="BR20" s="240"/>
    </row>
    <row r="21" ht="68.25" customHeight="1" spans="1:70">
      <c r="A21" s="233"/>
      <c r="B21" s="186" t="s">
        <v>600</v>
      </c>
      <c r="C21" s="244"/>
      <c r="D21" s="137"/>
      <c r="E21" s="137"/>
      <c r="F21" s="137" t="s">
        <v>680</v>
      </c>
      <c r="G21" s="137" t="s">
        <v>678</v>
      </c>
      <c r="H21" s="244"/>
      <c r="I21" s="137"/>
      <c r="J21" s="137"/>
      <c r="K21" s="137"/>
      <c r="L21" s="137"/>
      <c r="N21" s="137"/>
      <c r="O21" s="244"/>
      <c r="P21" s="137"/>
      <c r="Q21" s="137" t="s">
        <v>57</v>
      </c>
      <c r="R21" s="137"/>
      <c r="S21" s="137"/>
      <c r="T21" s="137"/>
      <c r="U21" s="137"/>
      <c r="V21" s="244"/>
      <c r="W21" s="137"/>
      <c r="X21" s="137" t="s">
        <v>57</v>
      </c>
      <c r="Y21" s="137"/>
      <c r="Z21" s="137"/>
      <c r="AA21" s="137"/>
      <c r="AB21" s="137" t="s">
        <v>57</v>
      </c>
      <c r="AC21" s="244"/>
      <c r="AD21" s="137"/>
      <c r="AE21" s="137"/>
      <c r="AF21" s="137" t="s">
        <v>57</v>
      </c>
      <c r="AG21" s="137"/>
      <c r="AH21" s="197"/>
      <c r="AI21" s="237">
        <f t="shared" ref="AI21:AQ21" si="36">COUNTIF($C21:$AG21,AI$4)</f>
        <v>4</v>
      </c>
      <c r="AJ21" s="237">
        <f t="shared" si="36"/>
        <v>0</v>
      </c>
      <c r="AK21" s="237">
        <f t="shared" si="36"/>
        <v>0</v>
      </c>
      <c r="AL21" s="237">
        <f t="shared" si="36"/>
        <v>0</v>
      </c>
      <c r="AM21" s="237">
        <f t="shared" si="36"/>
        <v>0</v>
      </c>
      <c r="AN21" s="237">
        <f t="shared" si="36"/>
        <v>0</v>
      </c>
      <c r="AO21" s="237">
        <f t="shared" si="36"/>
        <v>0</v>
      </c>
      <c r="AP21" s="237">
        <f t="shared" si="36"/>
        <v>0</v>
      </c>
      <c r="AQ21" s="237">
        <f t="shared" si="36"/>
        <v>0</v>
      </c>
      <c r="AR21" s="238"/>
      <c r="AS21" s="239"/>
      <c r="AT21" s="239"/>
      <c r="AU21" s="238">
        <f>SUMPRODUCT(--(WEEKDAY(C$3:AG$3,2)&lt;5),--ISNUMBER(MATCH(C21:AG21,{"DM","CS1","CS2","SB1","AE","CS/B"},0)))</f>
        <v>2</v>
      </c>
      <c r="AV21" s="238"/>
      <c r="AW21" s="238">
        <f>SUMPRODUCT(--(WEEKDAY(C$3:AG$3,2)=5),--ISNUMBER(MATCH(C21:AG21,{"DM","CS1","CS2","SB1","AE","CS/B"},0)))</f>
        <v>0</v>
      </c>
      <c r="AX21" s="238">
        <f>SUMPRODUCT(--(WEEKDAY(C$3:AG$3,2)&gt;5),--ISNUMBER(MATCH(C21:AG21,{"DM","CS1","CS2","SB1","AE","CS/B"},0)))</f>
        <v>2</v>
      </c>
      <c r="AY21" s="238"/>
      <c r="AZ21" s="238">
        <f t="shared" si="3"/>
        <v>6</v>
      </c>
      <c r="BA21" s="238">
        <f t="shared" si="4"/>
        <v>4</v>
      </c>
      <c r="BB21" s="238">
        <f t="shared" si="5"/>
        <v>1</v>
      </c>
      <c r="BC21" s="239">
        <f t="shared" si="6"/>
        <v>7</v>
      </c>
      <c r="BD21" s="238">
        <f t="shared" si="7"/>
        <v>1</v>
      </c>
      <c r="BE21" s="238">
        <f t="shared" si="8"/>
        <v>0</v>
      </c>
      <c r="BF21" s="238">
        <f t="shared" si="9"/>
        <v>0</v>
      </c>
      <c r="BG21" s="238">
        <f t="shared" si="10"/>
        <v>1</v>
      </c>
      <c r="BH21" s="238">
        <f t="shared" si="11"/>
        <v>1</v>
      </c>
      <c r="BI21" s="238">
        <f t="shared" si="12"/>
        <v>0</v>
      </c>
      <c r="BJ21" s="238">
        <f t="shared" si="13"/>
        <v>0</v>
      </c>
      <c r="BK21" s="238">
        <f t="shared" si="14"/>
        <v>0</v>
      </c>
      <c r="BL21" s="238">
        <f t="shared" si="15"/>
        <v>0</v>
      </c>
      <c r="BM21" s="238">
        <f t="shared" si="16"/>
        <v>0</v>
      </c>
      <c r="BN21" s="238">
        <f t="shared" si="17"/>
        <v>0</v>
      </c>
      <c r="BO21" s="238">
        <f t="shared" si="18"/>
        <v>0</v>
      </c>
      <c r="BP21" s="238">
        <f t="shared" si="19"/>
        <v>0</v>
      </c>
      <c r="BQ21" s="238">
        <f t="shared" si="20"/>
        <v>0</v>
      </c>
      <c r="BR21" s="240"/>
    </row>
    <row r="22" ht="19.5" customHeight="1" spans="1:70">
      <c r="A22" s="233"/>
      <c r="B22" s="186" t="s">
        <v>604</v>
      </c>
      <c r="C22" s="75"/>
      <c r="D22" s="75" t="s">
        <v>566</v>
      </c>
      <c r="E22" s="53"/>
      <c r="F22" s="137" t="s">
        <v>573</v>
      </c>
      <c r="G22" s="75"/>
      <c r="H22" s="75"/>
      <c r="I22" s="75" t="s">
        <v>57</v>
      </c>
      <c r="J22" s="75"/>
      <c r="K22" s="75"/>
      <c r="L22" s="75" t="s">
        <v>672</v>
      </c>
      <c r="M22" s="75" t="s">
        <v>71</v>
      </c>
      <c r="N22" s="75" t="s">
        <v>71</v>
      </c>
      <c r="O22" s="75" t="s">
        <v>71</v>
      </c>
      <c r="P22" s="75" t="s">
        <v>71</v>
      </c>
      <c r="Q22" s="75" t="s">
        <v>71</v>
      </c>
      <c r="R22" s="75" t="s">
        <v>71</v>
      </c>
      <c r="S22" s="75" t="s">
        <v>71</v>
      </c>
      <c r="T22" s="75"/>
      <c r="U22" s="75"/>
      <c r="V22" s="137" t="s">
        <v>57</v>
      </c>
      <c r="W22" s="75"/>
      <c r="X22" s="75"/>
      <c r="Y22" s="137"/>
      <c r="Z22" s="75" t="s">
        <v>57</v>
      </c>
      <c r="AA22" s="75"/>
      <c r="AB22" s="75"/>
      <c r="AC22" s="75" t="s">
        <v>54</v>
      </c>
      <c r="AD22" s="75" t="s">
        <v>54</v>
      </c>
      <c r="AE22" s="75" t="s">
        <v>54</v>
      </c>
      <c r="AF22" s="75" t="s">
        <v>54</v>
      </c>
      <c r="AG22" s="75"/>
      <c r="AH22" s="197"/>
      <c r="AI22" s="237">
        <f t="shared" ref="AI22:AQ22" si="37">COUNTIF($C22:$AG22,AI$4)</f>
        <v>3</v>
      </c>
      <c r="AJ22" s="237">
        <f t="shared" si="37"/>
        <v>0</v>
      </c>
      <c r="AK22" s="237">
        <f t="shared" si="37"/>
        <v>0</v>
      </c>
      <c r="AL22" s="237">
        <f t="shared" si="37"/>
        <v>1</v>
      </c>
      <c r="AM22" s="237">
        <f t="shared" si="37"/>
        <v>0</v>
      </c>
      <c r="AN22" s="237">
        <f t="shared" si="37"/>
        <v>0</v>
      </c>
      <c r="AO22" s="237">
        <f t="shared" si="37"/>
        <v>0</v>
      </c>
      <c r="AP22" s="237">
        <f t="shared" si="37"/>
        <v>0</v>
      </c>
      <c r="AQ22" s="237">
        <f t="shared" si="37"/>
        <v>0</v>
      </c>
      <c r="AR22" s="238"/>
      <c r="AS22" s="239"/>
      <c r="AT22" s="239">
        <v>0.5</v>
      </c>
      <c r="AU22" s="238">
        <f>SUMPRODUCT(--(WEEKDAY(C$3:AG$3,2)&lt;5),--ISNUMBER(MATCH(C22:AG22,{"DM","CS1","CS2","SB1","AE","CS/B"},0)))</f>
        <v>2</v>
      </c>
      <c r="AV22" s="238"/>
      <c r="AW22" s="238">
        <f>SUMPRODUCT(--(WEEKDAY(C$3:AG$3,2)=5),--ISNUMBER(MATCH(C22:AG22,{"DM","CS1","CS2","SB1","AE","CS/B"},0)))</f>
        <v>1</v>
      </c>
      <c r="AX22" s="238">
        <f>SUMPRODUCT(--(WEEKDAY(C$3:AG$3,2)&gt;5),--ISNUMBER(MATCH(C22:AG22,{"DM","CS1","CS2","SB1","AE","CS/B"},0)))</f>
        <v>1</v>
      </c>
      <c r="AY22" s="238"/>
      <c r="AZ22" s="238">
        <f t="shared" si="3"/>
        <v>5</v>
      </c>
      <c r="BA22" s="238">
        <f t="shared" si="4"/>
        <v>4</v>
      </c>
      <c r="BB22" s="238">
        <f t="shared" si="5"/>
        <v>0</v>
      </c>
      <c r="BC22" s="239">
        <f t="shared" si="6"/>
        <v>5</v>
      </c>
      <c r="BD22" s="238">
        <f t="shared" si="7"/>
        <v>0</v>
      </c>
      <c r="BE22" s="238">
        <f t="shared" si="8"/>
        <v>0</v>
      </c>
      <c r="BF22" s="238">
        <f t="shared" si="9"/>
        <v>0</v>
      </c>
      <c r="BG22" s="238">
        <f t="shared" si="10"/>
        <v>0</v>
      </c>
      <c r="BH22" s="238">
        <f t="shared" si="11"/>
        <v>0</v>
      </c>
      <c r="BI22" s="238">
        <f t="shared" si="12"/>
        <v>0</v>
      </c>
      <c r="BJ22" s="238">
        <f t="shared" si="13"/>
        <v>0</v>
      </c>
      <c r="BK22" s="238">
        <f t="shared" si="14"/>
        <v>0</v>
      </c>
      <c r="BL22" s="238">
        <f t="shared" si="15"/>
        <v>0</v>
      </c>
      <c r="BM22" s="238">
        <f t="shared" si="16"/>
        <v>0</v>
      </c>
      <c r="BN22" s="238">
        <f t="shared" si="17"/>
        <v>0</v>
      </c>
      <c r="BO22" s="238">
        <f t="shared" si="18"/>
        <v>0</v>
      </c>
      <c r="BP22" s="238">
        <f t="shared" si="19"/>
        <v>0</v>
      </c>
      <c r="BQ22" s="238">
        <f t="shared" si="20"/>
        <v>0</v>
      </c>
      <c r="BR22" s="240"/>
    </row>
    <row r="23" ht="48" customHeight="1" spans="1:70">
      <c r="A23" s="233"/>
      <c r="B23" s="186" t="s">
        <v>609</v>
      </c>
      <c r="C23" s="137"/>
      <c r="D23" s="137"/>
      <c r="G23" s="137"/>
      <c r="H23" s="137"/>
      <c r="I23" s="137"/>
      <c r="J23" s="137"/>
      <c r="K23" s="137"/>
      <c r="L23" s="137"/>
      <c r="N23" s="137"/>
      <c r="P23" s="137"/>
      <c r="R23" s="137"/>
      <c r="S23" s="137"/>
      <c r="T23" s="137"/>
      <c r="U23" s="137"/>
      <c r="W23" s="137"/>
      <c r="Y23" s="137"/>
      <c r="Z23" s="137"/>
      <c r="AA23" s="137"/>
      <c r="AB23" s="137"/>
      <c r="AD23" s="137"/>
      <c r="AF23" s="137"/>
      <c r="AG23" s="137"/>
      <c r="AH23" s="197"/>
      <c r="AI23" s="237">
        <f t="shared" ref="AI23:AQ23" si="38">COUNTIF($C23:$AG23,AI$4)</f>
        <v>0</v>
      </c>
      <c r="AJ23" s="237">
        <f t="shared" si="38"/>
        <v>0</v>
      </c>
      <c r="AK23" s="237">
        <f t="shared" si="38"/>
        <v>0</v>
      </c>
      <c r="AL23" s="237">
        <f t="shared" si="38"/>
        <v>0</v>
      </c>
      <c r="AM23" s="237">
        <f t="shared" si="38"/>
        <v>0</v>
      </c>
      <c r="AN23" s="237">
        <f t="shared" si="38"/>
        <v>0</v>
      </c>
      <c r="AO23" s="237">
        <f t="shared" si="38"/>
        <v>0</v>
      </c>
      <c r="AP23" s="237">
        <f t="shared" si="38"/>
        <v>0</v>
      </c>
      <c r="AQ23" s="237">
        <f t="shared" si="38"/>
        <v>0</v>
      </c>
      <c r="AR23" s="238"/>
      <c r="AS23" s="239"/>
      <c r="AT23" s="239">
        <v>9</v>
      </c>
      <c r="AU23" s="238">
        <f>SUMPRODUCT(--(WEEKDAY(C$3:AG$3,2)&lt;5),--ISNUMBER(MATCH(C23:AG23,{"DM","CS1","CS2","SB1","AE","CS/B"},0)))</f>
        <v>0</v>
      </c>
      <c r="AV23" s="238"/>
      <c r="AW23" s="238">
        <f>SUMPRODUCT(--(WEEKDAY(C$3:AG$3,2)=5),--ISNUMBER(MATCH(C23:AG23,{"DM","CS1","CS2","SB1","AE","CS/B"},0)))</f>
        <v>0</v>
      </c>
      <c r="AX23" s="238">
        <f>SUMPRODUCT(--(WEEKDAY(C$3:AG$3,2)&gt;5),--ISNUMBER(MATCH(C23:AG23,{"DM","CS1","CS2","SB1","AE","CS/B"},0)))</f>
        <v>0</v>
      </c>
      <c r="AY23" s="238"/>
      <c r="AZ23" s="238">
        <f t="shared" si="3"/>
        <v>-9</v>
      </c>
      <c r="BA23" s="238">
        <f t="shared" si="4"/>
        <v>0</v>
      </c>
      <c r="BB23" s="238">
        <f t="shared" si="5"/>
        <v>0</v>
      </c>
      <c r="BC23" s="239">
        <f t="shared" si="6"/>
        <v>-9</v>
      </c>
      <c r="BD23" s="238">
        <f t="shared" si="7"/>
        <v>0</v>
      </c>
      <c r="BE23" s="238">
        <f t="shared" si="8"/>
        <v>0</v>
      </c>
      <c r="BF23" s="238">
        <f t="shared" si="9"/>
        <v>0</v>
      </c>
      <c r="BG23" s="238">
        <f t="shared" si="10"/>
        <v>0</v>
      </c>
      <c r="BH23" s="238">
        <f t="shared" si="11"/>
        <v>0</v>
      </c>
      <c r="BI23" s="238">
        <f t="shared" si="12"/>
        <v>0</v>
      </c>
      <c r="BJ23" s="238">
        <f t="shared" si="13"/>
        <v>0</v>
      </c>
      <c r="BK23" s="238">
        <f t="shared" si="14"/>
        <v>0</v>
      </c>
      <c r="BL23" s="238">
        <f t="shared" si="15"/>
        <v>0</v>
      </c>
      <c r="BM23" s="238">
        <f t="shared" si="16"/>
        <v>0</v>
      </c>
      <c r="BN23" s="238">
        <f t="shared" si="17"/>
        <v>0</v>
      </c>
      <c r="BO23" s="238">
        <f t="shared" si="18"/>
        <v>0</v>
      </c>
      <c r="BP23" s="238">
        <f t="shared" si="19"/>
        <v>0</v>
      </c>
      <c r="BQ23" s="238">
        <f t="shared" si="20"/>
        <v>0</v>
      </c>
      <c r="BR23" s="240"/>
    </row>
    <row r="24" ht="48.75" customHeight="1" spans="1:70">
      <c r="A24" s="233"/>
      <c r="B24" s="186" t="s">
        <v>610</v>
      </c>
      <c r="D24" s="75"/>
      <c r="E24" s="137" t="s">
        <v>683</v>
      </c>
      <c r="F24" s="1" t="s">
        <v>65</v>
      </c>
      <c r="G24" s="75"/>
      <c r="H24" s="245" t="s">
        <v>58</v>
      </c>
      <c r="I24" s="75"/>
      <c r="J24" s="241"/>
      <c r="K24" s="75"/>
      <c r="L24" s="75" t="s">
        <v>581</v>
      </c>
      <c r="M24" s="75"/>
      <c r="N24" s="75"/>
      <c r="O24" s="241"/>
      <c r="P24" s="241"/>
      <c r="Q24" s="241"/>
      <c r="R24" s="75" t="s">
        <v>573</v>
      </c>
      <c r="S24" s="75"/>
      <c r="T24" s="75"/>
      <c r="U24" s="75"/>
      <c r="V24" s="75" t="s">
        <v>164</v>
      </c>
      <c r="W24" s="234" t="s">
        <v>348</v>
      </c>
      <c r="X24" s="234" t="s">
        <v>348</v>
      </c>
      <c r="Y24" s="75"/>
      <c r="Z24" s="75" t="s">
        <v>354</v>
      </c>
      <c r="AA24" s="75" t="s">
        <v>93</v>
      </c>
      <c r="AB24" s="136" t="s">
        <v>684</v>
      </c>
      <c r="AC24" s="137" t="s">
        <v>685</v>
      </c>
      <c r="AD24" s="75"/>
      <c r="AE24" s="75"/>
      <c r="AF24" s="75"/>
      <c r="AG24" s="75"/>
      <c r="AH24" s="197"/>
      <c r="AI24" s="237">
        <f t="shared" ref="AI24:AQ24" si="39">COUNTIF($C24:$AG24,AI$4)</f>
        <v>0</v>
      </c>
      <c r="AJ24" s="237">
        <f t="shared" si="39"/>
        <v>0</v>
      </c>
      <c r="AK24" s="237">
        <f t="shared" si="39"/>
        <v>0</v>
      </c>
      <c r="AL24" s="237">
        <f t="shared" si="39"/>
        <v>0</v>
      </c>
      <c r="AM24" s="237">
        <f t="shared" si="39"/>
        <v>1</v>
      </c>
      <c r="AN24" s="237">
        <f t="shared" si="39"/>
        <v>1</v>
      </c>
      <c r="AO24" s="237">
        <f t="shared" si="39"/>
        <v>1</v>
      </c>
      <c r="AP24" s="237">
        <f t="shared" si="39"/>
        <v>0</v>
      </c>
      <c r="AQ24" s="237">
        <f t="shared" si="39"/>
        <v>0</v>
      </c>
      <c r="AR24" s="238"/>
      <c r="AS24" s="239">
        <v>1.5</v>
      </c>
      <c r="AT24" s="239"/>
      <c r="AU24" s="238">
        <f>SUMPRODUCT(--(WEEKDAY(C$3:AG$3,2)&lt;5),--ISNUMBER(MATCH(C24:AG24,{"DM","CS1","CS2","SB1","AE","CS/B"},0)))</f>
        <v>1</v>
      </c>
      <c r="AV24" s="238"/>
      <c r="AW24" s="238">
        <f>SUMPRODUCT(--(WEEKDAY(C$3:AG$3,2)=5),--ISNUMBER(MATCH(C24:AG24,{"DM","CS1","CS2","SB1","AE","CS/B"},0)))</f>
        <v>1</v>
      </c>
      <c r="AX24" s="238">
        <f>SUMPRODUCT(--(WEEKDAY(C$3:AG$3,2)&gt;5),--ISNUMBER(MATCH(C24:AG24,{"DM","CS1","CS2","SB1","AE","CS/B"},0)))</f>
        <v>0</v>
      </c>
      <c r="AY24" s="238"/>
      <c r="AZ24" s="238">
        <f t="shared" si="3"/>
        <v>4.5</v>
      </c>
      <c r="BA24" s="238">
        <f t="shared" si="4"/>
        <v>2</v>
      </c>
      <c r="BB24" s="238">
        <f t="shared" si="5"/>
        <v>4</v>
      </c>
      <c r="BC24" s="239">
        <f t="shared" si="6"/>
        <v>7</v>
      </c>
      <c r="BD24" s="238">
        <f t="shared" si="7"/>
        <v>2.5</v>
      </c>
      <c r="BE24" s="238">
        <f t="shared" si="8"/>
        <v>0</v>
      </c>
      <c r="BF24" s="238">
        <f t="shared" si="9"/>
        <v>0</v>
      </c>
      <c r="BG24" s="238">
        <f t="shared" si="10"/>
        <v>1</v>
      </c>
      <c r="BH24" s="238">
        <f t="shared" si="11"/>
        <v>1</v>
      </c>
      <c r="BI24" s="238">
        <f t="shared" si="12"/>
        <v>0</v>
      </c>
      <c r="BJ24" s="238">
        <f t="shared" si="13"/>
        <v>0</v>
      </c>
      <c r="BK24" s="238">
        <f t="shared" si="14"/>
        <v>3</v>
      </c>
      <c r="BL24" s="238">
        <f t="shared" si="15"/>
        <v>1.5</v>
      </c>
      <c r="BM24" s="238">
        <f t="shared" si="16"/>
        <v>0</v>
      </c>
      <c r="BN24" s="238">
        <f t="shared" si="17"/>
        <v>0</v>
      </c>
      <c r="BO24" s="238">
        <f t="shared" si="18"/>
        <v>0</v>
      </c>
      <c r="BP24" s="238">
        <f t="shared" si="19"/>
        <v>0</v>
      </c>
      <c r="BQ24" s="238">
        <f t="shared" si="20"/>
        <v>0</v>
      </c>
      <c r="BR24" s="240"/>
    </row>
    <row r="25" ht="51" customHeight="1" spans="1:70">
      <c r="A25" s="233"/>
      <c r="B25" s="186" t="s">
        <v>613</v>
      </c>
      <c r="C25" s="137"/>
      <c r="D25" s="137" t="s">
        <v>672</v>
      </c>
      <c r="E25" s="137" t="s">
        <v>71</v>
      </c>
      <c r="F25" s="137" t="s">
        <v>71</v>
      </c>
      <c r="G25" s="137" t="s">
        <v>71</v>
      </c>
      <c r="H25" s="137" t="s">
        <v>71</v>
      </c>
      <c r="I25" s="137" t="s">
        <v>71</v>
      </c>
      <c r="J25" s="137"/>
      <c r="K25" s="137" t="s">
        <v>57</v>
      </c>
      <c r="L25" s="187"/>
      <c r="M25" s="75" t="s">
        <v>57</v>
      </c>
      <c r="N25" s="137"/>
      <c r="O25" s="137"/>
      <c r="P25" s="137"/>
      <c r="Q25" s="137"/>
      <c r="R25" s="75" t="s">
        <v>57</v>
      </c>
      <c r="T25" s="75" t="s">
        <v>56</v>
      </c>
      <c r="U25" s="137"/>
      <c r="V25" s="137"/>
      <c r="W25" s="137"/>
      <c r="X25" s="137"/>
      <c r="Y25" s="137"/>
      <c r="Z25" s="137" t="s">
        <v>56</v>
      </c>
      <c r="AA25" s="137"/>
      <c r="AB25" s="137"/>
      <c r="AC25" s="137"/>
      <c r="AD25" s="137"/>
      <c r="AE25" s="137"/>
      <c r="AF25" s="137"/>
      <c r="AG25" s="137"/>
      <c r="AH25" s="197"/>
      <c r="AI25" s="237">
        <f t="shared" ref="AI25:AQ25" si="40">COUNTIF($C25:$AG25,AI$4)</f>
        <v>3</v>
      </c>
      <c r="AJ25" s="237">
        <f t="shared" si="40"/>
        <v>2</v>
      </c>
      <c r="AK25" s="237">
        <f t="shared" si="40"/>
        <v>0</v>
      </c>
      <c r="AL25" s="237">
        <f t="shared" si="40"/>
        <v>0</v>
      </c>
      <c r="AM25" s="237">
        <f t="shared" si="40"/>
        <v>0</v>
      </c>
      <c r="AN25" s="237">
        <f t="shared" si="40"/>
        <v>0</v>
      </c>
      <c r="AO25" s="237">
        <f t="shared" si="40"/>
        <v>0</v>
      </c>
      <c r="AP25" s="237">
        <f t="shared" si="40"/>
        <v>0</v>
      </c>
      <c r="AQ25" s="237">
        <f t="shared" si="40"/>
        <v>0</v>
      </c>
      <c r="AR25" s="246"/>
      <c r="AS25" s="239"/>
      <c r="AT25" s="239">
        <v>4</v>
      </c>
      <c r="AU25" s="238">
        <f>SUMPRODUCT(--(WEEKDAY(C$3:AG$3,2)&lt;5),--ISNUMBER(MATCH(C25:AG25,{"DM","CS1","CS2","SB1","AE","CS/B"},0)))</f>
        <v>5</v>
      </c>
      <c r="AV25" s="238"/>
      <c r="AW25" s="238">
        <f>SUMPRODUCT(--(WEEKDAY(C$3:AG$3,2)=5),--ISNUMBER(MATCH(C25:AG25,{"DM","CS1","CS2","SB1","AE","CS/B"},0)))</f>
        <v>0</v>
      </c>
      <c r="AX25" s="238">
        <f>SUMPRODUCT(--(WEEKDAY(C$3:AG$3,2)&gt;5),--ISNUMBER(MATCH(C25:AG25,{"DM","CS1","CS2","SB1","AE","CS/B"},0)))</f>
        <v>0</v>
      </c>
      <c r="AY25" s="246"/>
      <c r="AZ25" s="238">
        <f t="shared" si="3"/>
        <v>1</v>
      </c>
      <c r="BA25" s="238">
        <f t="shared" si="4"/>
        <v>5</v>
      </c>
      <c r="BB25" s="238">
        <f t="shared" si="5"/>
        <v>0</v>
      </c>
      <c r="BC25" s="239">
        <f t="shared" si="6"/>
        <v>1</v>
      </c>
      <c r="BD25" s="238">
        <f t="shared" si="7"/>
        <v>0</v>
      </c>
      <c r="BE25" s="238">
        <f t="shared" si="8"/>
        <v>0</v>
      </c>
      <c r="BF25" s="238">
        <f t="shared" si="9"/>
        <v>0</v>
      </c>
      <c r="BG25" s="238">
        <f t="shared" si="10"/>
        <v>0</v>
      </c>
      <c r="BH25" s="238">
        <f t="shared" si="11"/>
        <v>0</v>
      </c>
      <c r="BI25" s="238">
        <f t="shared" si="12"/>
        <v>0</v>
      </c>
      <c r="BJ25" s="238">
        <f t="shared" si="13"/>
        <v>0</v>
      </c>
      <c r="BK25" s="238">
        <f t="shared" si="14"/>
        <v>0</v>
      </c>
      <c r="BL25" s="238">
        <f t="shared" si="15"/>
        <v>0</v>
      </c>
      <c r="BM25" s="238">
        <f t="shared" si="16"/>
        <v>0</v>
      </c>
      <c r="BN25" s="238">
        <f t="shared" si="17"/>
        <v>0</v>
      </c>
      <c r="BO25" s="238">
        <f t="shared" si="18"/>
        <v>0</v>
      </c>
      <c r="BP25" s="238">
        <f t="shared" si="19"/>
        <v>0</v>
      </c>
      <c r="BQ25" s="238">
        <f t="shared" si="20"/>
        <v>0</v>
      </c>
      <c r="BR25" s="247"/>
    </row>
    <row r="26" ht="19.5" customHeight="1" spans="1:70">
      <c r="A26" s="233"/>
      <c r="B26" s="186" t="s">
        <v>614</v>
      </c>
      <c r="C26" s="75" t="s">
        <v>566</v>
      </c>
      <c r="D26" s="75"/>
      <c r="E26" s="75" t="s">
        <v>93</v>
      </c>
      <c r="F26" s="137" t="s">
        <v>686</v>
      </c>
      <c r="G26" s="75"/>
      <c r="H26" s="75" t="s">
        <v>54</v>
      </c>
      <c r="I26" s="75" t="s">
        <v>54</v>
      </c>
      <c r="J26" s="75" t="s">
        <v>54</v>
      </c>
      <c r="K26" s="75" t="s">
        <v>54</v>
      </c>
      <c r="L26" s="75" t="s">
        <v>54</v>
      </c>
      <c r="M26" s="75" t="s">
        <v>54</v>
      </c>
      <c r="N26" s="75" t="s">
        <v>54</v>
      </c>
      <c r="O26" s="75"/>
      <c r="P26" s="75"/>
      <c r="Q26" s="75"/>
      <c r="R26" s="75"/>
      <c r="S26" s="75"/>
      <c r="T26" s="75"/>
      <c r="U26" s="75"/>
      <c r="V26" s="137"/>
      <c r="W26" s="75" t="s">
        <v>59</v>
      </c>
      <c r="X26" s="75"/>
      <c r="Y26" s="75"/>
      <c r="Z26" s="75"/>
      <c r="AA26" s="75" t="s">
        <v>573</v>
      </c>
      <c r="AB26" s="75"/>
      <c r="AC26" s="136"/>
      <c r="AD26" s="75" t="s">
        <v>350</v>
      </c>
      <c r="AE26" s="75"/>
      <c r="AF26" s="75"/>
      <c r="AG26" s="75" t="s">
        <v>59</v>
      </c>
      <c r="AH26" s="197"/>
      <c r="AI26" s="237">
        <f t="shared" ref="AI26:AQ26" si="41">COUNTIF($C26:$AG26,AI$4)</f>
        <v>0</v>
      </c>
      <c r="AJ26" s="237">
        <f t="shared" si="41"/>
        <v>0</v>
      </c>
      <c r="AK26" s="237">
        <f t="shared" si="41"/>
        <v>2</v>
      </c>
      <c r="AL26" s="237">
        <f t="shared" si="41"/>
        <v>1</v>
      </c>
      <c r="AM26" s="237">
        <f t="shared" si="41"/>
        <v>0</v>
      </c>
      <c r="AN26" s="237">
        <f t="shared" si="41"/>
        <v>1</v>
      </c>
      <c r="AO26" s="237">
        <f t="shared" si="41"/>
        <v>0</v>
      </c>
      <c r="AP26" s="237">
        <f t="shared" si="41"/>
        <v>0</v>
      </c>
      <c r="AQ26" s="237">
        <f t="shared" si="41"/>
        <v>0</v>
      </c>
      <c r="AR26" s="246"/>
      <c r="AS26" s="239">
        <v>1</v>
      </c>
      <c r="AT26" s="239"/>
      <c r="AU26" s="238">
        <f>SUMPRODUCT(--(WEEKDAY(C$3:AG$3,2)&lt;5),--ISNUMBER(MATCH(C26:AG26,{"DM","CS1","CS2","SB1","AE","CS/B"},0)))</f>
        <v>1</v>
      </c>
      <c r="AV26" s="246"/>
      <c r="AW26" s="238">
        <f>SUMPRODUCT(--(WEEKDAY(C$3:AG$3,2)=5),--ISNUMBER(MATCH(C26:AG26,{"DM","CS1","CS2","SB1","AE","CS/B"},0)))</f>
        <v>0</v>
      </c>
      <c r="AX26" s="238">
        <f>SUMPRODUCT(--(WEEKDAY(C$3:AG$3,2)&gt;5),--ISNUMBER(MATCH(C26:AG26,{"DM","CS1","CS2","SB1","AE","CS/B"},0)))</f>
        <v>2</v>
      </c>
      <c r="AY26" s="246"/>
      <c r="AZ26" s="238">
        <f t="shared" si="3"/>
        <v>6.5</v>
      </c>
      <c r="BA26" s="238">
        <f t="shared" si="4"/>
        <v>3</v>
      </c>
      <c r="BB26" s="238">
        <f t="shared" si="5"/>
        <v>1</v>
      </c>
      <c r="BC26" s="239">
        <f t="shared" si="6"/>
        <v>7</v>
      </c>
      <c r="BD26" s="238">
        <f t="shared" si="7"/>
        <v>0.5</v>
      </c>
      <c r="BE26" s="238">
        <f t="shared" si="8"/>
        <v>0</v>
      </c>
      <c r="BF26" s="238">
        <f t="shared" si="9"/>
        <v>0</v>
      </c>
      <c r="BG26" s="238">
        <f t="shared" si="10"/>
        <v>0</v>
      </c>
      <c r="BH26" s="238">
        <f t="shared" si="11"/>
        <v>0</v>
      </c>
      <c r="BI26" s="238">
        <f t="shared" si="12"/>
        <v>0</v>
      </c>
      <c r="BJ26" s="238">
        <f t="shared" si="13"/>
        <v>0</v>
      </c>
      <c r="BK26" s="238">
        <f t="shared" si="14"/>
        <v>1</v>
      </c>
      <c r="BL26" s="238">
        <f t="shared" si="15"/>
        <v>0.5</v>
      </c>
      <c r="BM26" s="238">
        <f t="shared" si="16"/>
        <v>0</v>
      </c>
      <c r="BN26" s="238">
        <f t="shared" si="17"/>
        <v>0</v>
      </c>
      <c r="BO26" s="238">
        <f t="shared" si="18"/>
        <v>0</v>
      </c>
      <c r="BP26" s="238">
        <f t="shared" si="19"/>
        <v>0</v>
      </c>
      <c r="BQ26" s="238">
        <f t="shared" si="20"/>
        <v>0</v>
      </c>
      <c r="BR26" s="247"/>
    </row>
    <row r="27" ht="19.5" customHeight="1" spans="1:70">
      <c r="A27" s="233"/>
      <c r="B27" s="186" t="s">
        <v>618</v>
      </c>
      <c r="C27" s="137"/>
      <c r="D27" s="137" t="s">
        <v>261</v>
      </c>
      <c r="E27" s="137"/>
      <c r="F27" s="75" t="s">
        <v>687</v>
      </c>
      <c r="G27" s="137" t="s">
        <v>150</v>
      </c>
      <c r="H27" s="137" t="s">
        <v>150</v>
      </c>
      <c r="I27" s="137" t="s">
        <v>671</v>
      </c>
      <c r="J27" s="137"/>
      <c r="K27" s="137"/>
      <c r="L27" s="137" t="s">
        <v>350</v>
      </c>
      <c r="M27" s="137"/>
      <c r="N27" s="75"/>
      <c r="O27" s="137" t="s">
        <v>59</v>
      </c>
      <c r="P27" s="137"/>
      <c r="Q27" s="137"/>
      <c r="R27" s="137" t="s">
        <v>59</v>
      </c>
      <c r="S27" s="137"/>
      <c r="T27" s="137" t="s">
        <v>59</v>
      </c>
      <c r="V27" s="136"/>
      <c r="W27" s="137"/>
      <c r="X27" s="137"/>
      <c r="Y27" s="137"/>
      <c r="Z27" s="137"/>
      <c r="AA27" s="137"/>
      <c r="AB27" s="137" t="s">
        <v>350</v>
      </c>
      <c r="AC27" s="137"/>
      <c r="AD27" s="137" t="s">
        <v>56</v>
      </c>
      <c r="AE27" s="137"/>
      <c r="AF27" s="137" t="s">
        <v>93</v>
      </c>
      <c r="AG27" s="136" t="s">
        <v>56</v>
      </c>
      <c r="AH27" s="197"/>
      <c r="AI27" s="237">
        <f t="shared" ref="AI27:AQ27" si="42">COUNTIF($C27:$AG27,AI$4)</f>
        <v>0</v>
      </c>
      <c r="AJ27" s="237">
        <f t="shared" si="42"/>
        <v>2</v>
      </c>
      <c r="AK27" s="237">
        <f t="shared" si="42"/>
        <v>3</v>
      </c>
      <c r="AL27" s="237">
        <f t="shared" si="42"/>
        <v>0</v>
      </c>
      <c r="AM27" s="237">
        <f t="shared" si="42"/>
        <v>0</v>
      </c>
      <c r="AN27" s="237">
        <f t="shared" si="42"/>
        <v>1</v>
      </c>
      <c r="AO27" s="237">
        <f t="shared" si="42"/>
        <v>0</v>
      </c>
      <c r="AP27" s="237">
        <f t="shared" si="42"/>
        <v>0</v>
      </c>
      <c r="AQ27" s="237">
        <f t="shared" si="42"/>
        <v>0</v>
      </c>
      <c r="AR27" s="246"/>
      <c r="AS27" s="239"/>
      <c r="AT27" s="239">
        <v>2</v>
      </c>
      <c r="AU27" s="238">
        <f>SUMPRODUCT(--(WEEKDAY(C$3:AG$3,2)&lt;5),--ISNUMBER(MATCH(C27:AG27,{"DM","CS1","CS2","SB1","AE","CS/B"},0)))</f>
        <v>3</v>
      </c>
      <c r="AV27" s="246"/>
      <c r="AW27" s="238">
        <f>SUMPRODUCT(--(WEEKDAY(C$3:AG$3,2)=5),--ISNUMBER(MATCH(C27:AG27,{"DM","CS1","CS2","SB1","AE","CS/B"},0)))</f>
        <v>1</v>
      </c>
      <c r="AX27" s="238">
        <f>SUMPRODUCT(--(WEEKDAY(C$3:AG$3,2)&gt;5),--ISNUMBER(MATCH(C27:AG27,{"DM","CS1","CS2","SB1","AE","CS/B"},0)))</f>
        <v>1</v>
      </c>
      <c r="AY27" s="246"/>
      <c r="AZ27" s="238">
        <f t="shared" si="3"/>
        <v>5</v>
      </c>
      <c r="BA27" s="238">
        <f t="shared" si="4"/>
        <v>5</v>
      </c>
      <c r="BB27" s="238">
        <f t="shared" si="5"/>
        <v>2</v>
      </c>
      <c r="BC27" s="239">
        <f t="shared" si="6"/>
        <v>6.5</v>
      </c>
      <c r="BD27" s="238">
        <f t="shared" si="7"/>
        <v>1.5</v>
      </c>
      <c r="BE27" s="238">
        <f t="shared" si="8"/>
        <v>0</v>
      </c>
      <c r="BF27" s="238">
        <f t="shared" si="9"/>
        <v>0</v>
      </c>
      <c r="BG27" s="238">
        <f t="shared" si="10"/>
        <v>1</v>
      </c>
      <c r="BH27" s="238">
        <f t="shared" si="11"/>
        <v>1</v>
      </c>
      <c r="BI27" s="238">
        <f t="shared" si="12"/>
        <v>0</v>
      </c>
      <c r="BJ27" s="238">
        <f t="shared" si="13"/>
        <v>0</v>
      </c>
      <c r="BK27" s="238">
        <f t="shared" si="14"/>
        <v>1</v>
      </c>
      <c r="BL27" s="238">
        <f t="shared" si="15"/>
        <v>0.5</v>
      </c>
      <c r="BM27" s="238">
        <f t="shared" si="16"/>
        <v>0</v>
      </c>
      <c r="BN27" s="238">
        <f t="shared" si="17"/>
        <v>0</v>
      </c>
      <c r="BO27" s="238">
        <f t="shared" si="18"/>
        <v>0</v>
      </c>
      <c r="BP27" s="238">
        <f t="shared" si="19"/>
        <v>1</v>
      </c>
      <c r="BQ27" s="238">
        <f t="shared" si="20"/>
        <v>0</v>
      </c>
      <c r="BR27" s="247"/>
    </row>
    <row r="28" ht="19.5" customHeight="1" spans="1:70">
      <c r="A28" s="233"/>
      <c r="B28" s="186" t="s">
        <v>442</v>
      </c>
      <c r="C28" s="75"/>
      <c r="D28" s="75"/>
      <c r="E28" s="75" t="s">
        <v>57</v>
      </c>
      <c r="F28" s="137" t="s">
        <v>669</v>
      </c>
      <c r="G28" s="75" t="s">
        <v>566</v>
      </c>
      <c r="H28" s="75"/>
      <c r="I28" s="241"/>
      <c r="J28" s="137" t="s">
        <v>59</v>
      </c>
      <c r="K28" s="75"/>
      <c r="L28" s="53" t="s">
        <v>57</v>
      </c>
      <c r="M28" s="75"/>
      <c r="N28" s="136"/>
      <c r="O28" s="75" t="s">
        <v>350</v>
      </c>
      <c r="P28" s="75"/>
      <c r="Q28" s="75"/>
      <c r="S28" s="137" t="s">
        <v>57</v>
      </c>
      <c r="T28" s="75"/>
      <c r="U28" s="75"/>
      <c r="V28" s="241"/>
      <c r="W28" s="241"/>
      <c r="X28" s="241"/>
      <c r="Y28" s="75"/>
      <c r="Z28" s="75"/>
      <c r="AA28" s="136"/>
      <c r="AB28" s="137" t="s">
        <v>245</v>
      </c>
      <c r="AC28" s="75" t="s">
        <v>59</v>
      </c>
      <c r="AD28" s="75"/>
      <c r="AE28" s="75"/>
      <c r="AF28" s="75"/>
      <c r="AG28" s="75"/>
      <c r="AH28" s="53"/>
      <c r="AI28" s="237">
        <f t="shared" ref="AI28:AQ28" si="43">COUNTIF($C28:$AG28,AI$4)</f>
        <v>3</v>
      </c>
      <c r="AJ28" s="237">
        <f t="shared" si="43"/>
        <v>0</v>
      </c>
      <c r="AK28" s="237">
        <f t="shared" si="43"/>
        <v>2</v>
      </c>
      <c r="AL28" s="237">
        <f t="shared" si="43"/>
        <v>1</v>
      </c>
      <c r="AM28" s="237">
        <f t="shared" si="43"/>
        <v>0</v>
      </c>
      <c r="AN28" s="237">
        <f t="shared" si="43"/>
        <v>0</v>
      </c>
      <c r="AO28" s="237">
        <f t="shared" si="43"/>
        <v>0</v>
      </c>
      <c r="AP28" s="237">
        <f t="shared" si="43"/>
        <v>0</v>
      </c>
      <c r="AQ28" s="237">
        <f t="shared" si="43"/>
        <v>0</v>
      </c>
      <c r="AR28" s="246"/>
      <c r="AS28" s="239"/>
      <c r="AT28" s="239">
        <v>1</v>
      </c>
      <c r="AU28" s="238">
        <f>SUMPRODUCT(--(WEEKDAY(C$3:AG$3,2)&lt;5),--ISNUMBER(MATCH(C28:AG28,{"DM","CS1","CS2","SB1","AE","CS/B"},0)))</f>
        <v>4</v>
      </c>
      <c r="AV28" s="246"/>
      <c r="AW28" s="238">
        <f>SUMPRODUCT(--(WEEKDAY(C$3:AG$3,2)=5),--ISNUMBER(MATCH(C28:AG28,{"DM","CS1","CS2","SB1","AE","CS/B"},0)))</f>
        <v>1</v>
      </c>
      <c r="AX28" s="238">
        <f>SUMPRODUCT(--(WEEKDAY(C$3:AG$3,2)&gt;5),--ISNUMBER(MATCH(C28:AG28,{"DM","CS1","CS2","SB1","AE","CS/B"},0)))</f>
        <v>1</v>
      </c>
      <c r="AY28" s="246"/>
      <c r="AZ28" s="238">
        <f t="shared" si="3"/>
        <v>6.5</v>
      </c>
      <c r="BA28" s="238">
        <f t="shared" si="4"/>
        <v>6</v>
      </c>
      <c r="BB28" s="238">
        <f t="shared" si="5"/>
        <v>1</v>
      </c>
      <c r="BC28" s="239">
        <f t="shared" si="6"/>
        <v>7</v>
      </c>
      <c r="BD28" s="238">
        <f t="shared" si="7"/>
        <v>0.5</v>
      </c>
      <c r="BE28" s="238">
        <f t="shared" si="8"/>
        <v>0</v>
      </c>
      <c r="BF28" s="238">
        <f t="shared" si="9"/>
        <v>0</v>
      </c>
      <c r="BG28" s="238">
        <f t="shared" si="10"/>
        <v>0</v>
      </c>
      <c r="BH28" s="238">
        <f t="shared" si="11"/>
        <v>0</v>
      </c>
      <c r="BI28" s="238">
        <f t="shared" si="12"/>
        <v>0</v>
      </c>
      <c r="BJ28" s="238">
        <f t="shared" si="13"/>
        <v>0</v>
      </c>
      <c r="BK28" s="238">
        <f t="shared" si="14"/>
        <v>1</v>
      </c>
      <c r="BL28" s="238">
        <f t="shared" si="15"/>
        <v>0.5</v>
      </c>
      <c r="BM28" s="238">
        <f t="shared" si="16"/>
        <v>0</v>
      </c>
      <c r="BN28" s="238">
        <f t="shared" si="17"/>
        <v>0</v>
      </c>
      <c r="BO28" s="238">
        <f t="shared" si="18"/>
        <v>0</v>
      </c>
      <c r="BP28" s="238">
        <f t="shared" si="19"/>
        <v>1</v>
      </c>
      <c r="BQ28" s="238">
        <f t="shared" si="20"/>
        <v>0</v>
      </c>
      <c r="BR28" s="247"/>
    </row>
    <row r="29" ht="19.5" customHeight="1" spans="1:70">
      <c r="A29" s="233"/>
      <c r="B29" s="186" t="s">
        <v>623</v>
      </c>
      <c r="C29" s="137"/>
      <c r="D29" s="137" t="s">
        <v>683</v>
      </c>
      <c r="E29" s="1"/>
      <c r="F29" s="137" t="s">
        <v>680</v>
      </c>
      <c r="G29" s="137" t="s">
        <v>678</v>
      </c>
      <c r="H29" s="137"/>
      <c r="I29" s="137" t="s">
        <v>65</v>
      </c>
      <c r="J29" s="137"/>
      <c r="L29" s="137"/>
      <c r="M29" s="137" t="s">
        <v>350</v>
      </c>
      <c r="N29" s="137"/>
      <c r="O29" s="137" t="s">
        <v>688</v>
      </c>
      <c r="P29" s="137"/>
      <c r="Q29" s="137"/>
      <c r="R29" s="75" t="s">
        <v>573</v>
      </c>
      <c r="S29" s="137"/>
      <c r="T29" s="137"/>
      <c r="U29" s="137"/>
      <c r="V29" s="137" t="s">
        <v>56</v>
      </c>
      <c r="W29" s="137"/>
      <c r="X29" s="137"/>
      <c r="Y29" s="137"/>
      <c r="Z29" s="137" t="s">
        <v>689</v>
      </c>
      <c r="AA29" s="137"/>
      <c r="AC29" s="75"/>
      <c r="AD29" s="137"/>
      <c r="AE29" s="137" t="s">
        <v>65</v>
      </c>
      <c r="AF29" s="137"/>
      <c r="AG29" s="136" t="s">
        <v>573</v>
      </c>
      <c r="AH29" s="197"/>
      <c r="AI29" s="237">
        <f t="shared" ref="AI29:AQ29" si="44">COUNTIF($C29:$AG29,AI$4)</f>
        <v>0</v>
      </c>
      <c r="AJ29" s="237">
        <f t="shared" si="44"/>
        <v>1</v>
      </c>
      <c r="AK29" s="237">
        <f t="shared" si="44"/>
        <v>0</v>
      </c>
      <c r="AL29" s="237">
        <f t="shared" si="44"/>
        <v>0</v>
      </c>
      <c r="AM29" s="237">
        <f t="shared" si="44"/>
        <v>0</v>
      </c>
      <c r="AN29" s="237">
        <f t="shared" si="44"/>
        <v>0</v>
      </c>
      <c r="AO29" s="237">
        <f t="shared" si="44"/>
        <v>2</v>
      </c>
      <c r="AP29" s="237">
        <f t="shared" si="44"/>
        <v>0</v>
      </c>
      <c r="AQ29" s="237">
        <f t="shared" si="44"/>
        <v>0</v>
      </c>
      <c r="AR29" s="246"/>
      <c r="AS29" s="239"/>
      <c r="AT29" s="239">
        <v>1.5</v>
      </c>
      <c r="AU29" s="238">
        <f>SUMPRODUCT(--(WEEKDAY(C$3:AG$3,2)&lt;5),--ISNUMBER(MATCH(C29:AG29,{"DM","CS1","CS2","SB1","AE","CS/B"},0)))</f>
        <v>0</v>
      </c>
      <c r="AV29" s="246"/>
      <c r="AW29" s="238">
        <f>SUMPRODUCT(--(WEEKDAY(C$3:AG$3,2)=5),--ISNUMBER(MATCH(C29:AG29,{"DM","CS1","CS2","SB1","AE","CS/B"},0)))</f>
        <v>1</v>
      </c>
      <c r="AX29" s="238">
        <f>SUMPRODUCT(--(WEEKDAY(C$3:AG$3,2)&gt;5),--ISNUMBER(MATCH(C29:AG29,{"DM","CS1","CS2","SB1","AE","CS/B"},0)))</f>
        <v>2</v>
      </c>
      <c r="AY29" s="246"/>
      <c r="AZ29" s="238">
        <f t="shared" si="3"/>
        <v>4</v>
      </c>
      <c r="BA29" s="238">
        <f t="shared" si="4"/>
        <v>3</v>
      </c>
      <c r="BB29" s="238">
        <f t="shared" si="5"/>
        <v>4</v>
      </c>
      <c r="BC29" s="239">
        <f t="shared" si="6"/>
        <v>7.5</v>
      </c>
      <c r="BD29" s="238">
        <f t="shared" si="7"/>
        <v>3.5</v>
      </c>
      <c r="BE29" s="238">
        <f t="shared" si="8"/>
        <v>0</v>
      </c>
      <c r="BF29" s="238">
        <f t="shared" si="9"/>
        <v>0</v>
      </c>
      <c r="BG29" s="238">
        <f t="shared" si="10"/>
        <v>3</v>
      </c>
      <c r="BH29" s="238">
        <f t="shared" si="11"/>
        <v>3</v>
      </c>
      <c r="BI29" s="238">
        <f t="shared" si="12"/>
        <v>1</v>
      </c>
      <c r="BJ29" s="238">
        <f t="shared" si="13"/>
        <v>0.5</v>
      </c>
      <c r="BK29" s="238">
        <f t="shared" si="14"/>
        <v>0</v>
      </c>
      <c r="BL29" s="238">
        <f t="shared" si="15"/>
        <v>0</v>
      </c>
      <c r="BM29" s="238">
        <f t="shared" si="16"/>
        <v>0</v>
      </c>
      <c r="BN29" s="238">
        <f t="shared" si="17"/>
        <v>0</v>
      </c>
      <c r="BO29" s="238">
        <f t="shared" si="18"/>
        <v>0</v>
      </c>
      <c r="BP29" s="238">
        <f t="shared" si="19"/>
        <v>1</v>
      </c>
      <c r="BQ29" s="238">
        <f t="shared" si="20"/>
        <v>0</v>
      </c>
      <c r="BR29" s="247"/>
    </row>
    <row r="30" ht="47.25" customHeight="1" spans="1:70">
      <c r="A30" s="233"/>
      <c r="B30" s="186" t="s">
        <v>625</v>
      </c>
      <c r="C30" s="241"/>
      <c r="D30" s="241" t="s">
        <v>690</v>
      </c>
      <c r="E30" s="241" t="s">
        <v>691</v>
      </c>
      <c r="F30" s="1" t="s">
        <v>56</v>
      </c>
      <c r="G30" s="75"/>
      <c r="H30" s="75" t="s">
        <v>670</v>
      </c>
      <c r="I30" s="75" t="s">
        <v>671</v>
      </c>
      <c r="J30" s="241"/>
      <c r="K30" s="137" t="s">
        <v>56</v>
      </c>
      <c r="L30" s="75"/>
      <c r="M30" s="75" t="s">
        <v>261</v>
      </c>
      <c r="N30" s="75"/>
      <c r="O30" s="75" t="s">
        <v>261</v>
      </c>
      <c r="P30" s="75" t="s">
        <v>65</v>
      </c>
      <c r="Q30" s="241"/>
      <c r="R30" s="75"/>
      <c r="S30" s="75" t="s">
        <v>65</v>
      </c>
      <c r="T30" s="75"/>
      <c r="U30" s="75"/>
      <c r="V30" s="241"/>
      <c r="W30" s="75" t="s">
        <v>65</v>
      </c>
      <c r="X30" s="241"/>
      <c r="Y30" s="75"/>
      <c r="Z30" s="137" t="s">
        <v>65</v>
      </c>
      <c r="AA30" s="75"/>
      <c r="AB30" s="53"/>
      <c r="AC30" s="241"/>
      <c r="AD30" s="241"/>
      <c r="AE30" s="241"/>
      <c r="AF30" s="75" t="s">
        <v>56</v>
      </c>
      <c r="AG30" s="75"/>
      <c r="AH30" s="197"/>
      <c r="AI30" s="237">
        <f t="shared" ref="AI30:AQ30" si="45">COUNTIF($C30:$AG30,AI$4)</f>
        <v>0</v>
      </c>
      <c r="AJ30" s="237">
        <f t="shared" si="45"/>
        <v>3</v>
      </c>
      <c r="AK30" s="237">
        <f t="shared" si="45"/>
        <v>0</v>
      </c>
      <c r="AL30" s="237">
        <f t="shared" si="45"/>
        <v>0</v>
      </c>
      <c r="AM30" s="237">
        <f t="shared" si="45"/>
        <v>0</v>
      </c>
      <c r="AN30" s="237">
        <f t="shared" si="45"/>
        <v>0</v>
      </c>
      <c r="AO30" s="237">
        <f t="shared" si="45"/>
        <v>4</v>
      </c>
      <c r="AP30" s="237">
        <f t="shared" si="45"/>
        <v>0</v>
      </c>
      <c r="AQ30" s="237">
        <f t="shared" si="45"/>
        <v>0</v>
      </c>
      <c r="AR30" s="246"/>
      <c r="AS30" s="239"/>
      <c r="AT30" s="239">
        <v>0.5</v>
      </c>
      <c r="AU30" s="238">
        <f>SUMPRODUCT(--(WEEKDAY(C$3:AG$3,2)&lt;5),--ISNUMBER(MATCH(C30:AG30,{"DM","CS1","CS2","SB1","AE","CS/B"},0)))</f>
        <v>5</v>
      </c>
      <c r="AV30" s="246"/>
      <c r="AW30" s="238">
        <f>SUMPRODUCT(--(WEEKDAY(C$3:AG$3,2)=5),--ISNUMBER(MATCH(C30:AG30,{"DM","CS1","CS2","SB1","AE","CS/B"},0)))</f>
        <v>0</v>
      </c>
      <c r="AX30" s="238">
        <f>SUMPRODUCT(--(WEEKDAY(C$3:AG$3,2)&gt;5),--ISNUMBER(MATCH(C30:AG30,{"DM","CS1","CS2","SB1","AE","CS/B"},0)))</f>
        <v>2</v>
      </c>
      <c r="AY30" s="246"/>
      <c r="AZ30" s="238">
        <f t="shared" si="3"/>
        <v>8.5</v>
      </c>
      <c r="BA30" s="238">
        <f t="shared" si="4"/>
        <v>7</v>
      </c>
      <c r="BB30" s="238">
        <f t="shared" si="5"/>
        <v>1</v>
      </c>
      <c r="BC30" s="239">
        <f t="shared" si="6"/>
        <v>9.5</v>
      </c>
      <c r="BD30" s="238">
        <f t="shared" si="7"/>
        <v>1</v>
      </c>
      <c r="BE30" s="238">
        <f t="shared" si="8"/>
        <v>0</v>
      </c>
      <c r="BF30" s="238">
        <f t="shared" si="9"/>
        <v>0</v>
      </c>
      <c r="BG30" s="238">
        <f t="shared" si="10"/>
        <v>1</v>
      </c>
      <c r="BH30" s="238">
        <f t="shared" si="11"/>
        <v>1</v>
      </c>
      <c r="BI30" s="238">
        <f t="shared" si="12"/>
        <v>0</v>
      </c>
      <c r="BJ30" s="238">
        <f t="shared" si="13"/>
        <v>0</v>
      </c>
      <c r="BK30" s="238">
        <f t="shared" si="14"/>
        <v>0</v>
      </c>
      <c r="BL30" s="238">
        <f t="shared" si="15"/>
        <v>0</v>
      </c>
      <c r="BM30" s="238">
        <f t="shared" si="16"/>
        <v>0</v>
      </c>
      <c r="BN30" s="238">
        <f t="shared" si="17"/>
        <v>0</v>
      </c>
      <c r="BO30" s="238">
        <f t="shared" si="18"/>
        <v>0</v>
      </c>
      <c r="BP30" s="238">
        <f t="shared" si="19"/>
        <v>0</v>
      </c>
      <c r="BQ30" s="238">
        <f t="shared" si="20"/>
        <v>0</v>
      </c>
      <c r="BR30" s="247"/>
    </row>
    <row r="31" ht="19.5" customHeight="1" spans="1:70">
      <c r="A31" s="233"/>
      <c r="B31" s="186" t="s">
        <v>627</v>
      </c>
      <c r="C31" s="137" t="s">
        <v>350</v>
      </c>
      <c r="D31" s="137"/>
      <c r="E31" s="187" t="s">
        <v>144</v>
      </c>
      <c r="F31" s="1" t="s">
        <v>59</v>
      </c>
      <c r="G31" s="137"/>
      <c r="H31" s="137"/>
      <c r="I31" s="137"/>
      <c r="J31" s="137" t="s">
        <v>56</v>
      </c>
      <c r="K31" s="137"/>
      <c r="L31" s="137" t="s">
        <v>93</v>
      </c>
      <c r="M31" s="137"/>
      <c r="N31" s="137" t="s">
        <v>293</v>
      </c>
      <c r="O31" s="137"/>
      <c r="P31" s="137"/>
      <c r="Q31" s="137" t="s">
        <v>59</v>
      </c>
      <c r="R31" s="137"/>
      <c r="S31" s="137" t="s">
        <v>350</v>
      </c>
      <c r="T31" s="137"/>
      <c r="U31" s="137"/>
      <c r="V31" s="234" t="s">
        <v>348</v>
      </c>
      <c r="W31" s="234" t="s">
        <v>348</v>
      </c>
      <c r="X31" s="234" t="s">
        <v>348</v>
      </c>
      <c r="Y31" s="137" t="s">
        <v>351</v>
      </c>
      <c r="Z31" s="137"/>
      <c r="AA31" s="75" t="s">
        <v>692</v>
      </c>
      <c r="AB31" s="75"/>
      <c r="AC31" s="137" t="s">
        <v>56</v>
      </c>
      <c r="AD31" s="137" t="s">
        <v>693</v>
      </c>
      <c r="AE31" s="137" t="s">
        <v>693</v>
      </c>
      <c r="AF31" s="137"/>
      <c r="AG31" s="137"/>
      <c r="AH31" s="197"/>
      <c r="AI31" s="237">
        <f t="shared" ref="AI31:AQ31" si="46">COUNTIF($C31:$AG31,AI$4)</f>
        <v>0</v>
      </c>
      <c r="AJ31" s="237">
        <f t="shared" si="46"/>
        <v>2</v>
      </c>
      <c r="AK31" s="237">
        <f t="shared" si="46"/>
        <v>2</v>
      </c>
      <c r="AL31" s="237">
        <f t="shared" si="46"/>
        <v>0</v>
      </c>
      <c r="AM31" s="237">
        <f t="shared" si="46"/>
        <v>0</v>
      </c>
      <c r="AN31" s="237">
        <f t="shared" si="46"/>
        <v>1</v>
      </c>
      <c r="AO31" s="237">
        <f t="shared" si="46"/>
        <v>0</v>
      </c>
      <c r="AP31" s="237">
        <f t="shared" si="46"/>
        <v>0</v>
      </c>
      <c r="AQ31" s="237">
        <f t="shared" si="46"/>
        <v>0</v>
      </c>
      <c r="AR31" s="246"/>
      <c r="AS31" s="239"/>
      <c r="AT31" s="239">
        <v>2</v>
      </c>
      <c r="AU31" s="238">
        <f>SUMPRODUCT(--(WEEKDAY(C$3:AG$3,2)&lt;5),--ISNUMBER(MATCH(C31:AG31,{"DM","CS1","CS2","SB1","AE","CS/B"},0)))</f>
        <v>1</v>
      </c>
      <c r="AV31" s="246"/>
      <c r="AW31" s="238">
        <f>SUMPRODUCT(--(WEEKDAY(C$3:AG$3,2)=5),--ISNUMBER(MATCH(C31:AG31,{"DM","CS1","CS2","SB1","AE","CS/B"},0)))</f>
        <v>1</v>
      </c>
      <c r="AX31" s="238">
        <f>SUMPRODUCT(--(WEEKDAY(C$3:AG$3,2)&gt;5),--ISNUMBER(MATCH(C31:AG31,{"DM","CS1","CS2","SB1","AE","CS/B"},0)))</f>
        <v>2</v>
      </c>
      <c r="AY31" s="246"/>
      <c r="AZ31" s="238">
        <f t="shared" si="3"/>
        <v>5</v>
      </c>
      <c r="BA31" s="238">
        <f t="shared" si="4"/>
        <v>4</v>
      </c>
      <c r="BB31" s="238">
        <f t="shared" si="5"/>
        <v>3</v>
      </c>
      <c r="BC31" s="239">
        <f t="shared" si="6"/>
        <v>8</v>
      </c>
      <c r="BD31" s="238">
        <f t="shared" si="7"/>
        <v>3</v>
      </c>
      <c r="BE31" s="238">
        <f t="shared" si="8"/>
        <v>1</v>
      </c>
      <c r="BF31" s="238">
        <f t="shared" si="9"/>
        <v>1.5</v>
      </c>
      <c r="BG31" s="238">
        <f t="shared" si="10"/>
        <v>1</v>
      </c>
      <c r="BH31" s="238">
        <f t="shared" si="11"/>
        <v>1</v>
      </c>
      <c r="BI31" s="238">
        <f t="shared" si="12"/>
        <v>0</v>
      </c>
      <c r="BJ31" s="238">
        <f t="shared" si="13"/>
        <v>0</v>
      </c>
      <c r="BK31" s="238">
        <f t="shared" si="14"/>
        <v>1</v>
      </c>
      <c r="BL31" s="238">
        <f t="shared" si="15"/>
        <v>0.5</v>
      </c>
      <c r="BM31" s="238">
        <f t="shared" si="16"/>
        <v>0</v>
      </c>
      <c r="BN31" s="238">
        <f t="shared" si="17"/>
        <v>0</v>
      </c>
      <c r="BO31" s="238">
        <f>COUNTIF($D31:$Z31,BO$4)</f>
        <v>0</v>
      </c>
      <c r="BP31" s="238">
        <f>COUNTIF($D31:$Z31,BP$4)</f>
        <v>1</v>
      </c>
      <c r="BQ31" s="238">
        <f>COUNTIF($D31:$Z31,BQ$4)</f>
        <v>0</v>
      </c>
      <c r="BR31" s="247"/>
    </row>
    <row r="32" ht="19.5" customHeight="1" spans="1:70">
      <c r="A32" s="233"/>
      <c r="B32" s="186" t="s">
        <v>633</v>
      </c>
      <c r="C32" s="75"/>
      <c r="D32" s="75" t="s">
        <v>578</v>
      </c>
      <c r="E32" s="75" t="s">
        <v>65</v>
      </c>
      <c r="F32" s="53" t="s">
        <v>578</v>
      </c>
      <c r="G32" s="75" t="s">
        <v>93</v>
      </c>
      <c r="H32" s="75" t="s">
        <v>56</v>
      </c>
      <c r="I32" s="75"/>
      <c r="J32" s="75"/>
      <c r="K32" s="75"/>
      <c r="L32" s="53"/>
      <c r="M32" s="75"/>
      <c r="N32" s="75" t="s">
        <v>56</v>
      </c>
      <c r="O32" s="137" t="s">
        <v>93</v>
      </c>
      <c r="P32" s="75"/>
      <c r="Q32" s="75"/>
      <c r="R32" s="53" t="s">
        <v>75</v>
      </c>
      <c r="S32" s="75"/>
      <c r="T32" s="75" t="s">
        <v>350</v>
      </c>
      <c r="U32" s="75"/>
      <c r="V32" s="75"/>
      <c r="W32" s="75"/>
      <c r="X32" s="75" t="s">
        <v>56</v>
      </c>
      <c r="Y32" s="75"/>
      <c r="Z32" s="75"/>
      <c r="AA32" s="75" t="s">
        <v>275</v>
      </c>
      <c r="AB32" s="75"/>
      <c r="AC32" s="75" t="s">
        <v>54</v>
      </c>
      <c r="AD32" s="75" t="s">
        <v>54</v>
      </c>
      <c r="AE32" s="75" t="s">
        <v>54</v>
      </c>
      <c r="AF32" s="75" t="s">
        <v>54</v>
      </c>
      <c r="AG32" s="75"/>
      <c r="AH32" s="197"/>
      <c r="AI32" s="237">
        <f t="shared" ref="AI32:AQ32" si="47">COUNTIF($C32:$AG32,AI$4)</f>
        <v>0</v>
      </c>
      <c r="AJ32" s="237">
        <f t="shared" si="47"/>
        <v>3</v>
      </c>
      <c r="AK32" s="237">
        <f t="shared" si="47"/>
        <v>0</v>
      </c>
      <c r="AL32" s="237">
        <f t="shared" si="47"/>
        <v>0</v>
      </c>
      <c r="AM32" s="237">
        <f t="shared" si="47"/>
        <v>0</v>
      </c>
      <c r="AN32" s="237">
        <f t="shared" si="47"/>
        <v>2</v>
      </c>
      <c r="AO32" s="237">
        <f t="shared" si="47"/>
        <v>1</v>
      </c>
      <c r="AP32" s="237">
        <f t="shared" si="47"/>
        <v>0</v>
      </c>
      <c r="AQ32" s="237">
        <f t="shared" si="47"/>
        <v>0</v>
      </c>
      <c r="AR32" s="246"/>
      <c r="AS32" s="239"/>
      <c r="AT32" s="239"/>
      <c r="AU32" s="238">
        <f>SUMPRODUCT(--(WEEKDAY(C$3:AG$3,2)&lt;5),--ISNUMBER(MATCH(C32:AG32,{"DM","CS1","CS2","SB1","AE","CS/B"},0)))</f>
        <v>2</v>
      </c>
      <c r="AV32" s="246"/>
      <c r="AW32" s="238">
        <f>SUMPRODUCT(--(WEEKDAY(C$3:AG$3,2)=5),--ISNUMBER(MATCH(C32:AG32,{"DM","CS1","CS2","SB1","AE","CS/B"},0)))</f>
        <v>1</v>
      </c>
      <c r="AX32" s="238">
        <f>SUMPRODUCT(--(WEEKDAY(C$3:AG$3,2)&gt;5),--ISNUMBER(MATCH(C32:AG32,{"DM","CS1","CS2","SB1","AE","CS/B"},0)))</f>
        <v>1</v>
      </c>
      <c r="AY32" s="246"/>
      <c r="AZ32" s="238">
        <f t="shared" si="3"/>
        <v>6.5</v>
      </c>
      <c r="BA32" s="238">
        <f t="shared" si="4"/>
        <v>4</v>
      </c>
      <c r="BB32" s="238">
        <f t="shared" si="5"/>
        <v>2</v>
      </c>
      <c r="BC32" s="239">
        <f t="shared" si="6"/>
        <v>8</v>
      </c>
      <c r="BD32" s="238">
        <f t="shared" si="7"/>
        <v>1.5</v>
      </c>
      <c r="BE32" s="238">
        <f t="shared" si="8"/>
        <v>0</v>
      </c>
      <c r="BF32" s="238">
        <f t="shared" si="9"/>
        <v>0</v>
      </c>
      <c r="BG32" s="238">
        <f t="shared" si="10"/>
        <v>1</v>
      </c>
      <c r="BH32" s="238">
        <f t="shared" si="11"/>
        <v>1</v>
      </c>
      <c r="BI32" s="238">
        <f t="shared" si="12"/>
        <v>0</v>
      </c>
      <c r="BJ32" s="238">
        <f t="shared" si="13"/>
        <v>0</v>
      </c>
      <c r="BK32" s="238">
        <f t="shared" si="14"/>
        <v>1</v>
      </c>
      <c r="BL32" s="238">
        <f t="shared" si="15"/>
        <v>0.5</v>
      </c>
      <c r="BM32" s="238">
        <f t="shared" si="16"/>
        <v>0</v>
      </c>
      <c r="BN32" s="238">
        <f t="shared" si="17"/>
        <v>0</v>
      </c>
      <c r="BO32" s="238">
        <f>COUNTIF($D32:$Z32,BO$4)</f>
        <v>0</v>
      </c>
      <c r="BP32" s="238">
        <f>COUNTIF($D32:$Z32,BP$4)</f>
        <v>1</v>
      </c>
      <c r="BQ32" s="238">
        <f>COUNTIF($D32:$Z32,BQ$4)</f>
        <v>0</v>
      </c>
      <c r="BR32" s="247"/>
    </row>
    <row r="33" ht="19.5" customHeight="1" spans="1:70">
      <c r="A33" s="233"/>
      <c r="B33" s="186" t="s">
        <v>637</v>
      </c>
      <c r="C33" s="137" t="s">
        <v>56</v>
      </c>
      <c r="D33" s="137"/>
      <c r="E33" s="137"/>
      <c r="F33" s="137" t="s">
        <v>680</v>
      </c>
      <c r="G33" s="137" t="s">
        <v>678</v>
      </c>
      <c r="H33" s="137"/>
      <c r="I33" s="137"/>
      <c r="J33" s="53"/>
      <c r="K33" s="137" t="s">
        <v>59</v>
      </c>
      <c r="L33" s="53"/>
      <c r="M33" s="137"/>
      <c r="N33" s="137"/>
      <c r="O33" s="137"/>
      <c r="P33" s="137"/>
      <c r="Q33" s="137"/>
      <c r="R33" s="137" t="s">
        <v>350</v>
      </c>
      <c r="S33" s="137"/>
      <c r="U33" s="137"/>
      <c r="V33" s="137" t="s">
        <v>573</v>
      </c>
      <c r="W33" s="137"/>
      <c r="X33" s="137"/>
      <c r="Y33" s="137" t="s">
        <v>65</v>
      </c>
      <c r="Z33" s="137"/>
      <c r="AB33" s="136" t="s">
        <v>573</v>
      </c>
      <c r="AD33" s="137"/>
      <c r="AE33" s="137"/>
      <c r="AF33" s="137"/>
      <c r="AG33" s="137"/>
      <c r="AH33" s="197"/>
      <c r="AI33" s="237">
        <f t="shared" ref="AI33:AQ33" si="48">COUNTIF($C33:$AG33,AI$4)</f>
        <v>0</v>
      </c>
      <c r="AJ33" s="237">
        <f t="shared" si="48"/>
        <v>1</v>
      </c>
      <c r="AK33" s="237">
        <f t="shared" si="48"/>
        <v>1</v>
      </c>
      <c r="AL33" s="237">
        <f t="shared" si="48"/>
        <v>0</v>
      </c>
      <c r="AM33" s="237">
        <f t="shared" si="48"/>
        <v>0</v>
      </c>
      <c r="AN33" s="237">
        <f t="shared" si="48"/>
        <v>0</v>
      </c>
      <c r="AO33" s="237">
        <f t="shared" si="48"/>
        <v>1</v>
      </c>
      <c r="AP33" s="237">
        <f t="shared" si="48"/>
        <v>0</v>
      </c>
      <c r="AQ33" s="237">
        <f t="shared" si="48"/>
        <v>0</v>
      </c>
      <c r="AR33" s="246"/>
      <c r="AS33" s="239">
        <v>2.5</v>
      </c>
      <c r="AT33" s="239"/>
      <c r="AU33" s="238">
        <f>SUMPRODUCT(--(WEEKDAY(C$3:AG$3,2)&lt;5),--ISNUMBER(MATCH(C33:AG33,{"DM","CS1","CS2","SB1","AE","CS/B"},0)))</f>
        <v>2</v>
      </c>
      <c r="AV33" s="246"/>
      <c r="AW33" s="238">
        <f>SUMPRODUCT(--(WEEKDAY(C$3:AG$3,2)=5),--ISNUMBER(MATCH(C33:AG33,{"DM","CS1","CS2","SB1","AE","CS/B"},0)))</f>
        <v>0</v>
      </c>
      <c r="AX33" s="238">
        <f>SUMPRODUCT(--(WEEKDAY(C$3:AG$3,2)&gt;5),--ISNUMBER(MATCH(C33:AG33,{"DM","CS1","CS2","SB1","AE","CS/B"},0)))</f>
        <v>1</v>
      </c>
      <c r="AY33" s="246"/>
      <c r="AZ33" s="238">
        <f t="shared" si="3"/>
        <v>6.5</v>
      </c>
      <c r="BA33" s="238">
        <f t="shared" si="4"/>
        <v>3</v>
      </c>
      <c r="BB33" s="238">
        <f t="shared" si="5"/>
        <v>1</v>
      </c>
      <c r="BC33" s="239">
        <f t="shared" si="6"/>
        <v>7.5</v>
      </c>
      <c r="BD33" s="238">
        <f t="shared" si="7"/>
        <v>1</v>
      </c>
      <c r="BE33" s="238">
        <f t="shared" si="8"/>
        <v>0</v>
      </c>
      <c r="BF33" s="238">
        <f t="shared" si="9"/>
        <v>0</v>
      </c>
      <c r="BG33" s="238">
        <f t="shared" si="10"/>
        <v>1</v>
      </c>
      <c r="BH33" s="238">
        <f t="shared" si="11"/>
        <v>1</v>
      </c>
      <c r="BI33" s="238">
        <f t="shared" si="12"/>
        <v>0</v>
      </c>
      <c r="BJ33" s="238">
        <f t="shared" si="13"/>
        <v>0</v>
      </c>
      <c r="BK33" s="238">
        <f t="shared" si="14"/>
        <v>0</v>
      </c>
      <c r="BL33" s="238">
        <f t="shared" si="15"/>
        <v>0</v>
      </c>
      <c r="BM33" s="238">
        <f t="shared" si="16"/>
        <v>0</v>
      </c>
      <c r="BN33" s="238">
        <f t="shared" si="17"/>
        <v>0</v>
      </c>
      <c r="BO33" s="238">
        <f>COUNTIF($H33:$AA33,BO$4)</f>
        <v>0</v>
      </c>
      <c r="BP33" s="238">
        <f>COUNTIF($H33:$AA33,BP$4)</f>
        <v>1</v>
      </c>
      <c r="BQ33" s="238">
        <f>COUNTIF($H33:$AA33,BQ$4)</f>
        <v>0</v>
      </c>
      <c r="BR33" s="247"/>
    </row>
    <row r="34" ht="51.75" customHeight="1" spans="1:70">
      <c r="A34" s="233"/>
      <c r="B34" s="186" t="s">
        <v>639</v>
      </c>
      <c r="C34" s="75"/>
      <c r="D34" s="137" t="s">
        <v>694</v>
      </c>
      <c r="E34" s="75" t="s">
        <v>573</v>
      </c>
      <c r="F34" s="75" t="s">
        <v>573</v>
      </c>
      <c r="G34" s="75" t="s">
        <v>65</v>
      </c>
      <c r="I34" s="75" t="s">
        <v>350</v>
      </c>
      <c r="J34" s="75"/>
      <c r="K34" s="75"/>
      <c r="L34" s="75" t="s">
        <v>65</v>
      </c>
      <c r="M34" s="75"/>
      <c r="N34" s="75"/>
      <c r="P34" s="75"/>
      <c r="Q34" s="137" t="s">
        <v>65</v>
      </c>
      <c r="S34" s="75"/>
      <c r="T34" s="137" t="s">
        <v>93</v>
      </c>
      <c r="U34" s="75" t="s">
        <v>65</v>
      </c>
      <c r="V34" s="75"/>
      <c r="W34" s="234" t="s">
        <v>348</v>
      </c>
      <c r="X34" s="234" t="s">
        <v>348</v>
      </c>
      <c r="Y34" s="75"/>
      <c r="AA34" s="75" t="s">
        <v>581</v>
      </c>
      <c r="AB34" s="75" t="s">
        <v>65</v>
      </c>
      <c r="AC34" s="75"/>
      <c r="AD34" s="75"/>
      <c r="AE34" s="75"/>
      <c r="AF34" s="75" t="s">
        <v>65</v>
      </c>
      <c r="AG34" s="75"/>
      <c r="AH34" s="197"/>
      <c r="AI34" s="237">
        <f t="shared" ref="AI34:AQ34" si="49">COUNTIF($C34:$AG34,AI$4)</f>
        <v>0</v>
      </c>
      <c r="AJ34" s="237">
        <f t="shared" si="49"/>
        <v>0</v>
      </c>
      <c r="AK34" s="237">
        <f t="shared" si="49"/>
        <v>0</v>
      </c>
      <c r="AL34" s="237">
        <f t="shared" si="49"/>
        <v>0</v>
      </c>
      <c r="AM34" s="237">
        <f t="shared" si="49"/>
        <v>0</v>
      </c>
      <c r="AN34" s="237">
        <f t="shared" si="49"/>
        <v>1</v>
      </c>
      <c r="AO34" s="237">
        <f t="shared" si="49"/>
        <v>6</v>
      </c>
      <c r="AP34" s="237">
        <f t="shared" si="49"/>
        <v>0</v>
      </c>
      <c r="AQ34" s="237">
        <f t="shared" si="49"/>
        <v>0</v>
      </c>
      <c r="AR34" s="246"/>
      <c r="AS34" s="239"/>
      <c r="AT34" s="239">
        <v>0.5</v>
      </c>
      <c r="AU34" s="238">
        <f>SUMPRODUCT(--(WEEKDAY(C$3:AG$3,2)&lt;5),--ISNUMBER(MATCH(C34:AG34,{"DM","CS1","CS2","SB1","AE","CS/B"},0)))</f>
        <v>5</v>
      </c>
      <c r="AV34" s="246"/>
      <c r="AW34" s="238">
        <f>SUMPRODUCT(--(WEEKDAY(C$3:AG$3,2)=5),--ISNUMBER(MATCH(C34:AG34,{"DM","CS1","CS2","SB1","AE","CS/B"},0)))</f>
        <v>0</v>
      </c>
      <c r="AX34" s="238">
        <f>SUMPRODUCT(--(WEEKDAY(C$3:AG$3,2)&gt;5),--ISNUMBER(MATCH(C34:AG34,{"DM","CS1","CS2","SB1","AE","CS/B"},0)))</f>
        <v>1</v>
      </c>
      <c r="AY34" s="246"/>
      <c r="AZ34" s="238">
        <f t="shared" si="3"/>
        <v>7</v>
      </c>
      <c r="BA34" s="238">
        <f t="shared" si="4"/>
        <v>6</v>
      </c>
      <c r="BB34" s="238">
        <f t="shared" si="5"/>
        <v>2</v>
      </c>
      <c r="BC34" s="239">
        <f t="shared" si="6"/>
        <v>8</v>
      </c>
      <c r="BD34" s="238">
        <f t="shared" si="7"/>
        <v>1</v>
      </c>
      <c r="BE34" s="238">
        <f t="shared" si="8"/>
        <v>0</v>
      </c>
      <c r="BF34" s="238">
        <f t="shared" si="9"/>
        <v>0</v>
      </c>
      <c r="BG34" s="238">
        <f t="shared" si="10"/>
        <v>0</v>
      </c>
      <c r="BH34" s="238">
        <f t="shared" si="11"/>
        <v>0</v>
      </c>
      <c r="BI34" s="238">
        <f t="shared" si="12"/>
        <v>0</v>
      </c>
      <c r="BJ34" s="238">
        <f t="shared" si="13"/>
        <v>0</v>
      </c>
      <c r="BK34" s="238">
        <f t="shared" si="14"/>
        <v>2</v>
      </c>
      <c r="BL34" s="238">
        <f t="shared" si="15"/>
        <v>1</v>
      </c>
      <c r="BM34" s="238">
        <f t="shared" si="16"/>
        <v>0</v>
      </c>
      <c r="BN34" s="238">
        <f t="shared" si="17"/>
        <v>0</v>
      </c>
      <c r="BO34" s="238">
        <f>COUNTIF($D34:$Z34,BO$4)</f>
        <v>0</v>
      </c>
      <c r="BP34" s="238">
        <f>COUNTIF($D34:$Z34,BP$4)</f>
        <v>1</v>
      </c>
      <c r="BQ34" s="238">
        <f>COUNTIF($D34:$Z34,BQ$4)</f>
        <v>0</v>
      </c>
      <c r="BR34" s="247"/>
    </row>
    <row r="35" ht="19.5" customHeight="1" spans="1:70">
      <c r="A35" s="233"/>
      <c r="B35" s="186" t="s">
        <v>641</v>
      </c>
      <c r="D35" s="137" t="s">
        <v>573</v>
      </c>
      <c r="E35" s="137"/>
      <c r="F35" s="137" t="s">
        <v>680</v>
      </c>
      <c r="G35" s="137" t="s">
        <v>678</v>
      </c>
      <c r="H35" s="137"/>
      <c r="I35" s="137"/>
      <c r="J35" s="137"/>
      <c r="K35" s="136" t="s">
        <v>573</v>
      </c>
      <c r="L35" s="137"/>
      <c r="M35" s="75" t="s">
        <v>695</v>
      </c>
      <c r="N35" s="75" t="s">
        <v>93</v>
      </c>
      <c r="O35" s="137"/>
      <c r="P35" s="137"/>
      <c r="R35" s="137" t="s">
        <v>694</v>
      </c>
      <c r="S35" s="137" t="s">
        <v>93</v>
      </c>
      <c r="T35" s="137"/>
      <c r="U35" s="137"/>
      <c r="V35" s="137"/>
      <c r="W35" s="137"/>
      <c r="X35" s="137" t="s">
        <v>65</v>
      </c>
      <c r="AA35" s="137"/>
      <c r="AB35" s="137"/>
      <c r="AC35" s="137" t="s">
        <v>93</v>
      </c>
      <c r="AD35" s="137" t="s">
        <v>65</v>
      </c>
      <c r="AE35" s="137"/>
      <c r="AF35" s="137"/>
      <c r="AH35" s="197"/>
      <c r="AI35" s="237">
        <f t="shared" ref="AI35:AQ35" si="50">COUNTIF($C35:$AG35,AI$4)</f>
        <v>0</v>
      </c>
      <c r="AJ35" s="237">
        <f t="shared" si="50"/>
        <v>0</v>
      </c>
      <c r="AK35" s="237">
        <f t="shared" si="50"/>
        <v>0</v>
      </c>
      <c r="AL35" s="237">
        <f t="shared" si="50"/>
        <v>0</v>
      </c>
      <c r="AM35" s="237">
        <f t="shared" si="50"/>
        <v>0</v>
      </c>
      <c r="AN35" s="237">
        <f t="shared" si="50"/>
        <v>3</v>
      </c>
      <c r="AO35" s="237">
        <f t="shared" si="50"/>
        <v>2</v>
      </c>
      <c r="AP35" s="237">
        <f t="shared" si="50"/>
        <v>0</v>
      </c>
      <c r="AQ35" s="237">
        <f t="shared" si="50"/>
        <v>0</v>
      </c>
      <c r="AR35" s="246"/>
      <c r="AS35" s="239">
        <v>1</v>
      </c>
      <c r="AT35" s="239"/>
      <c r="AU35" s="238">
        <f>SUMPRODUCT(--(WEEKDAY(C$3:AG$3,2)&lt;5),--ISNUMBER(MATCH(C35:AG35,{"DM","CS1","CS2","SB1","AE","CS/B"},0)))</f>
        <v>0</v>
      </c>
      <c r="AV35" s="246"/>
      <c r="AW35" s="238">
        <f>SUMPRODUCT(--(WEEKDAY(C$3:AG$3,2)=5),--ISNUMBER(MATCH(C35:AG35,{"DM","CS1","CS2","SB1","AE","CS/B"},0)))</f>
        <v>0</v>
      </c>
      <c r="AX35" s="238">
        <f>SUMPRODUCT(--(WEEKDAY(C$3:AG$3,2)&gt;5),--ISNUMBER(MATCH(C35:AG35,{"DM","CS1","CS2","SB1","AE","CS/B"},0)))</f>
        <v>2</v>
      </c>
      <c r="AY35" s="246"/>
      <c r="AZ35" s="238">
        <f t="shared" si="3"/>
        <v>6.5</v>
      </c>
      <c r="BA35" s="238">
        <f t="shared" si="4"/>
        <v>2</v>
      </c>
      <c r="BB35" s="238">
        <f t="shared" si="5"/>
        <v>3</v>
      </c>
      <c r="BC35" s="239">
        <f t="shared" si="6"/>
        <v>8.5</v>
      </c>
      <c r="BD35" s="238">
        <f t="shared" si="7"/>
        <v>2</v>
      </c>
      <c r="BE35" s="238">
        <f t="shared" si="8"/>
        <v>0</v>
      </c>
      <c r="BF35" s="238">
        <f t="shared" si="9"/>
        <v>0</v>
      </c>
      <c r="BG35" s="238">
        <f t="shared" si="10"/>
        <v>1</v>
      </c>
      <c r="BH35" s="238">
        <f t="shared" si="11"/>
        <v>1</v>
      </c>
      <c r="BI35" s="238">
        <f t="shared" si="12"/>
        <v>1</v>
      </c>
      <c r="BJ35" s="238">
        <f t="shared" si="13"/>
        <v>0.5</v>
      </c>
      <c r="BK35" s="238">
        <f t="shared" si="14"/>
        <v>1</v>
      </c>
      <c r="BL35" s="238">
        <f t="shared" si="15"/>
        <v>0.5</v>
      </c>
      <c r="BM35" s="238">
        <f t="shared" si="16"/>
        <v>0</v>
      </c>
      <c r="BN35" s="238">
        <f t="shared" si="17"/>
        <v>0</v>
      </c>
      <c r="BO35" s="238">
        <f>COUNTIF($D35:$AA35,BO$4)</f>
        <v>0</v>
      </c>
      <c r="BP35" s="238">
        <f>COUNTIF($D35:$AA35,BP$4)</f>
        <v>0</v>
      </c>
      <c r="BQ35" s="238">
        <f>COUNTIF($D35:$AA35,BQ$4)</f>
        <v>0</v>
      </c>
      <c r="BR35" s="247"/>
    </row>
    <row r="36" ht="19.5" customHeight="1" spans="1:70">
      <c r="A36" s="233"/>
      <c r="B36" s="186" t="s">
        <v>646</v>
      </c>
      <c r="D36" s="75"/>
      <c r="E36" s="137" t="s">
        <v>581</v>
      </c>
      <c r="G36" s="136"/>
      <c r="H36" s="75" t="s">
        <v>65</v>
      </c>
      <c r="I36" s="136"/>
      <c r="J36" s="75"/>
      <c r="K36" s="75"/>
      <c r="L36" s="75"/>
      <c r="M36" s="75"/>
      <c r="N36" s="75"/>
      <c r="O36" s="75" t="s">
        <v>573</v>
      </c>
      <c r="P36" s="75"/>
      <c r="Q36" s="75"/>
      <c r="R36" s="75" t="s">
        <v>65</v>
      </c>
      <c r="S36" s="75"/>
      <c r="T36" s="75"/>
      <c r="U36" s="75"/>
      <c r="V36" s="75"/>
      <c r="W36" s="234" t="s">
        <v>348</v>
      </c>
      <c r="X36" s="234" t="s">
        <v>348</v>
      </c>
      <c r="Y36" s="75"/>
      <c r="Z36" s="75"/>
      <c r="AA36" s="75"/>
      <c r="AB36" s="136" t="s">
        <v>573</v>
      </c>
      <c r="AD36" s="75"/>
      <c r="AE36" s="137"/>
      <c r="AF36" s="75" t="s">
        <v>573</v>
      </c>
      <c r="AG36" s="137" t="s">
        <v>65</v>
      </c>
      <c r="AH36" s="197"/>
      <c r="AI36" s="237">
        <f t="shared" ref="AI36:AQ36" si="51">COUNTIF($C36:$AG36,AI$4)</f>
        <v>0</v>
      </c>
      <c r="AJ36" s="237">
        <f t="shared" si="51"/>
        <v>0</v>
      </c>
      <c r="AK36" s="237">
        <f t="shared" si="51"/>
        <v>0</v>
      </c>
      <c r="AL36" s="237">
        <f t="shared" si="51"/>
        <v>0</v>
      </c>
      <c r="AM36" s="237">
        <f t="shared" si="51"/>
        <v>0</v>
      </c>
      <c r="AN36" s="237">
        <f t="shared" si="51"/>
        <v>0</v>
      </c>
      <c r="AO36" s="237">
        <f t="shared" si="51"/>
        <v>3</v>
      </c>
      <c r="AP36" s="237">
        <f t="shared" si="51"/>
        <v>0</v>
      </c>
      <c r="AQ36" s="237">
        <f t="shared" si="51"/>
        <v>0</v>
      </c>
      <c r="AR36" s="246"/>
      <c r="AS36" s="239">
        <v>2</v>
      </c>
      <c r="AT36" s="239"/>
      <c r="AU36" s="238">
        <f>SUMPRODUCT(--(WEEKDAY(C$3:AG$3,2)&lt;5),--ISNUMBER(MATCH(C36:AG36,{"DM","CS1","CS2","SB1","AE","CS/B"},0)))</f>
        <v>2</v>
      </c>
      <c r="AV36" s="246"/>
      <c r="AW36" s="238">
        <f>SUMPRODUCT(--(WEEKDAY(C$3:AG$3,2)=5),--ISNUMBER(MATCH(C36:AG36,{"DM","CS1","CS2","SB1","AE","CS/B"},0)))</f>
        <v>1</v>
      </c>
      <c r="AX36" s="238">
        <f>SUMPRODUCT(--(WEEKDAY(C$3:AG$3,2)&gt;5),--ISNUMBER(MATCH(C36:AG36,{"DM","CS1","CS2","SB1","AE","CS/B"},0)))</f>
        <v>0</v>
      </c>
      <c r="AY36" s="246"/>
      <c r="AZ36" s="238">
        <f t="shared" si="3"/>
        <v>5.5</v>
      </c>
      <c r="BA36" s="238">
        <f t="shared" si="4"/>
        <v>3</v>
      </c>
      <c r="BB36" s="238">
        <f t="shared" si="5"/>
        <v>1</v>
      </c>
      <c r="BC36" s="239">
        <f t="shared" si="6"/>
        <v>6</v>
      </c>
      <c r="BD36" s="238">
        <f t="shared" si="7"/>
        <v>0.5</v>
      </c>
      <c r="BE36" s="238">
        <f t="shared" si="8"/>
        <v>0</v>
      </c>
      <c r="BF36" s="238">
        <f t="shared" si="9"/>
        <v>0</v>
      </c>
      <c r="BG36" s="238">
        <f t="shared" si="10"/>
        <v>0</v>
      </c>
      <c r="BH36" s="238">
        <f t="shared" si="11"/>
        <v>0</v>
      </c>
      <c r="BI36" s="238">
        <f t="shared" si="12"/>
        <v>0</v>
      </c>
      <c r="BJ36" s="238">
        <f t="shared" si="13"/>
        <v>0</v>
      </c>
      <c r="BK36" s="238">
        <f t="shared" si="14"/>
        <v>1</v>
      </c>
      <c r="BL36" s="238">
        <f t="shared" si="15"/>
        <v>0.5</v>
      </c>
      <c r="BM36" s="238">
        <f t="shared" si="16"/>
        <v>0</v>
      </c>
      <c r="BN36" s="238">
        <f t="shared" si="17"/>
        <v>0</v>
      </c>
      <c r="BO36" s="238">
        <f>COUNTIF($D36:$AA36,BO$4)</f>
        <v>0</v>
      </c>
      <c r="BP36" s="238">
        <f>COUNTIF($D36:$AA36,BP$4)</f>
        <v>0</v>
      </c>
      <c r="BQ36" s="238">
        <f>COUNTIF($D36:$AA36,BQ$4)</f>
        <v>0</v>
      </c>
      <c r="BR36" s="247"/>
    </row>
    <row r="37" ht="19.5" customHeight="1" spans="1:70">
      <c r="A37" s="233"/>
      <c r="B37" s="186" t="s">
        <v>649</v>
      </c>
      <c r="C37" s="137" t="s">
        <v>683</v>
      </c>
      <c r="D37" s="137" t="s">
        <v>65</v>
      </c>
      <c r="E37" s="137"/>
      <c r="F37" s="137" t="s">
        <v>677</v>
      </c>
      <c r="G37" s="137" t="s">
        <v>678</v>
      </c>
      <c r="H37" s="137"/>
      <c r="I37" s="137"/>
      <c r="J37" s="137"/>
      <c r="K37" s="137" t="s">
        <v>694</v>
      </c>
      <c r="L37" s="137"/>
      <c r="M37" s="137"/>
      <c r="N37" s="137" t="s">
        <v>65</v>
      </c>
      <c r="O37" s="137"/>
      <c r="P37" s="137"/>
      <c r="Q37" s="137"/>
      <c r="R37" s="137"/>
      <c r="S37" s="137"/>
      <c r="T37" s="137"/>
      <c r="U37" s="137"/>
      <c r="V37" s="137" t="s">
        <v>65</v>
      </c>
      <c r="W37" s="137"/>
      <c r="X37" s="137"/>
      <c r="Y37" s="137"/>
      <c r="Z37" s="137" t="s">
        <v>573</v>
      </c>
      <c r="AA37" s="53"/>
      <c r="AB37" s="137"/>
      <c r="AC37" s="137"/>
      <c r="AE37" s="53"/>
      <c r="AF37" s="137"/>
      <c r="AG37" s="137"/>
      <c r="AH37" s="197"/>
      <c r="AI37" s="237">
        <f t="shared" ref="AI37:AQ37" si="52">COUNTIF($C37:$AG37,AI$4)</f>
        <v>0</v>
      </c>
      <c r="AJ37" s="237">
        <f t="shared" si="52"/>
        <v>0</v>
      </c>
      <c r="AK37" s="237">
        <f t="shared" si="52"/>
        <v>0</v>
      </c>
      <c r="AL37" s="237">
        <f t="shared" si="52"/>
        <v>0</v>
      </c>
      <c r="AM37" s="237">
        <f t="shared" si="52"/>
        <v>0</v>
      </c>
      <c r="AN37" s="237">
        <f t="shared" si="52"/>
        <v>0</v>
      </c>
      <c r="AO37" s="237">
        <f t="shared" si="52"/>
        <v>3</v>
      </c>
      <c r="AP37" s="237">
        <f t="shared" si="52"/>
        <v>0</v>
      </c>
      <c r="AQ37" s="237">
        <f t="shared" si="52"/>
        <v>0</v>
      </c>
      <c r="AR37" s="246"/>
      <c r="AS37" s="239">
        <v>2</v>
      </c>
      <c r="AT37" s="239"/>
      <c r="AU37" s="238">
        <f>SUMPRODUCT(--(WEEKDAY(C$3:AG$3,2)&lt;5),--ISNUMBER(MATCH(C37:AG37,{"DM","CS1","CS2","SB1","AE","CS/B"},0)))</f>
        <v>2</v>
      </c>
      <c r="AV37" s="246"/>
      <c r="AW37" s="238">
        <f>SUMPRODUCT(--(WEEKDAY(C$3:AG$3,2)=5),--ISNUMBER(MATCH(C37:AG37,{"DM","CS1","CS2","SB1","AE","CS/B"},0)))</f>
        <v>1</v>
      </c>
      <c r="AX37" s="238">
        <f>SUMPRODUCT(--(WEEKDAY(C$3:AG$3,2)&gt;5),--ISNUMBER(MATCH(C37:AG37,{"DM","CS1","CS2","SB1","AE","CS/B"},0)))</f>
        <v>0</v>
      </c>
      <c r="AY37" s="246"/>
      <c r="AZ37" s="238">
        <f t="shared" si="3"/>
        <v>5.5</v>
      </c>
      <c r="BA37" s="238">
        <f t="shared" si="4"/>
        <v>3</v>
      </c>
      <c r="BB37" s="238">
        <f t="shared" si="5"/>
        <v>3</v>
      </c>
      <c r="BC37" s="239">
        <f t="shared" si="6"/>
        <v>7.5</v>
      </c>
      <c r="BD37" s="238">
        <f t="shared" si="7"/>
        <v>2</v>
      </c>
      <c r="BE37" s="238">
        <f t="shared" si="8"/>
        <v>0</v>
      </c>
      <c r="BF37" s="238">
        <f t="shared" si="9"/>
        <v>0</v>
      </c>
      <c r="BG37" s="238">
        <f t="shared" si="10"/>
        <v>1</v>
      </c>
      <c r="BH37" s="238">
        <f t="shared" si="11"/>
        <v>1</v>
      </c>
      <c r="BI37" s="238">
        <f t="shared" si="12"/>
        <v>1</v>
      </c>
      <c r="BJ37" s="238">
        <f t="shared" si="13"/>
        <v>0.5</v>
      </c>
      <c r="BK37" s="238">
        <f t="shared" si="14"/>
        <v>1</v>
      </c>
      <c r="BL37" s="238">
        <f t="shared" si="15"/>
        <v>0.5</v>
      </c>
      <c r="BM37" s="238">
        <f t="shared" si="16"/>
        <v>0</v>
      </c>
      <c r="BN37" s="238">
        <f t="shared" si="17"/>
        <v>0</v>
      </c>
      <c r="BO37" s="238">
        <f>COUNTIF($D37:$Z37,BO$4)</f>
        <v>0</v>
      </c>
      <c r="BP37" s="238">
        <f>COUNTIF($D37:$Z37,BP$4)</f>
        <v>0</v>
      </c>
      <c r="BQ37" s="238">
        <f>COUNTIF($D37:$Z37,BQ$4)</f>
        <v>0</v>
      </c>
      <c r="BR37" s="247"/>
    </row>
    <row r="38" ht="19.5" customHeight="1" spans="1:70">
      <c r="A38" s="233"/>
      <c r="B38" s="186" t="s">
        <v>657</v>
      </c>
      <c r="C38" s="53"/>
      <c r="D38" s="53"/>
      <c r="E38" s="137"/>
      <c r="F38" s="137" t="s">
        <v>677</v>
      </c>
      <c r="G38" s="137" t="s">
        <v>678</v>
      </c>
      <c r="H38" s="53"/>
      <c r="I38" s="53"/>
      <c r="J38" s="53" t="s">
        <v>65</v>
      </c>
      <c r="K38" s="53"/>
      <c r="L38" s="53"/>
      <c r="M38" s="53" t="s">
        <v>65</v>
      </c>
      <c r="N38" s="53"/>
      <c r="O38" s="53"/>
      <c r="P38" s="53"/>
      <c r="Q38" s="53"/>
      <c r="R38" s="75" t="s">
        <v>581</v>
      </c>
      <c r="S38" s="53"/>
      <c r="T38" s="53" t="s">
        <v>65</v>
      </c>
      <c r="U38" s="53"/>
      <c r="V38" s="53"/>
      <c r="W38" s="53"/>
      <c r="X38" s="53"/>
      <c r="Y38" s="136" t="s">
        <v>696</v>
      </c>
      <c r="AB38" s="53"/>
      <c r="AC38" s="53" t="s">
        <v>65</v>
      </c>
      <c r="AD38" s="53"/>
      <c r="AE38" s="53"/>
      <c r="AF38" s="53"/>
      <c r="AG38" s="136"/>
      <c r="AH38" s="197"/>
      <c r="AI38" s="237">
        <f t="shared" ref="AI38:AQ38" si="53">COUNTIF($C38:$AG38,AI$4)</f>
        <v>0</v>
      </c>
      <c r="AJ38" s="237">
        <f t="shared" si="53"/>
        <v>0</v>
      </c>
      <c r="AK38" s="237">
        <f t="shared" si="53"/>
        <v>0</v>
      </c>
      <c r="AL38" s="237">
        <f t="shared" si="53"/>
        <v>0</v>
      </c>
      <c r="AM38" s="237">
        <f t="shared" si="53"/>
        <v>0</v>
      </c>
      <c r="AN38" s="237">
        <f t="shared" si="53"/>
        <v>0</v>
      </c>
      <c r="AO38" s="237">
        <f t="shared" si="53"/>
        <v>4</v>
      </c>
      <c r="AP38" s="237">
        <f t="shared" si="53"/>
        <v>0</v>
      </c>
      <c r="AQ38" s="237">
        <f t="shared" si="53"/>
        <v>0</v>
      </c>
      <c r="AR38" s="246"/>
      <c r="AS38" s="239">
        <v>0.5</v>
      </c>
      <c r="AT38" s="239"/>
      <c r="AU38" s="238">
        <f>SUMPRODUCT(--(WEEKDAY(C$3:AG$3,2)&lt;5),--ISNUMBER(MATCH(C38:AG38,{"DM","CS1","CS2","SB1","AE","CS/B"},0)))</f>
        <v>2</v>
      </c>
      <c r="AV38" s="246"/>
      <c r="AW38" s="238">
        <f>SUMPRODUCT(--(WEEKDAY(C$3:AG$3,2)=5),--ISNUMBER(MATCH(C38:AG38,{"DM","CS1","CS2","SB1","AE","CS/B"},0)))</f>
        <v>1</v>
      </c>
      <c r="AX38" s="238">
        <f>SUMPRODUCT(--(WEEKDAY(C$3:AG$3,2)&gt;5),--ISNUMBER(MATCH(C38:AG38,{"DM","CS1","CS2","SB1","AE","CS/B"},0)))</f>
        <v>1</v>
      </c>
      <c r="AY38" s="246"/>
      <c r="AZ38" s="238">
        <f t="shared" si="3"/>
        <v>6</v>
      </c>
      <c r="BA38" s="238">
        <f t="shared" si="4"/>
        <v>4</v>
      </c>
      <c r="BB38" s="238">
        <f t="shared" si="5"/>
        <v>3</v>
      </c>
      <c r="BC38" s="239">
        <f t="shared" si="6"/>
        <v>8</v>
      </c>
      <c r="BD38" s="238">
        <f t="shared" si="7"/>
        <v>2</v>
      </c>
      <c r="BE38" s="238">
        <f t="shared" si="8"/>
        <v>0</v>
      </c>
      <c r="BF38" s="238">
        <f t="shared" si="9"/>
        <v>0</v>
      </c>
      <c r="BG38" s="238">
        <f t="shared" si="10"/>
        <v>0</v>
      </c>
      <c r="BH38" s="238">
        <f t="shared" si="11"/>
        <v>0</v>
      </c>
      <c r="BI38" s="238">
        <f t="shared" si="12"/>
        <v>1</v>
      </c>
      <c r="BJ38" s="238">
        <f t="shared" si="13"/>
        <v>0.5</v>
      </c>
      <c r="BK38" s="238">
        <f t="shared" si="14"/>
        <v>1</v>
      </c>
      <c r="BL38" s="238">
        <f t="shared" si="15"/>
        <v>0.5</v>
      </c>
      <c r="BM38" s="238">
        <f t="shared" si="16"/>
        <v>1</v>
      </c>
      <c r="BN38" s="238">
        <f t="shared" si="17"/>
        <v>1</v>
      </c>
      <c r="BO38" s="238">
        <f>COUNTIF($D38:$AA38,BO$4)</f>
        <v>0</v>
      </c>
      <c r="BP38" s="238">
        <f>COUNTIF($D38:$AA38,BP$4)</f>
        <v>0</v>
      </c>
      <c r="BQ38" s="238">
        <f>COUNTIF($D38:$AA38,BQ$4)</f>
        <v>0</v>
      </c>
      <c r="BR38" s="247"/>
    </row>
    <row r="39" ht="19.5" customHeight="1" spans="1:70">
      <c r="A39" s="233"/>
      <c r="B39" s="186" t="s">
        <v>659</v>
      </c>
      <c r="C39" s="75" t="s">
        <v>65</v>
      </c>
      <c r="D39" s="53" t="s">
        <v>697</v>
      </c>
      <c r="E39" s="53"/>
      <c r="F39" s="1" t="s">
        <v>58</v>
      </c>
      <c r="G39" s="53"/>
      <c r="H39" s="75" t="s">
        <v>93</v>
      </c>
      <c r="I39" s="241"/>
      <c r="J39" s="137"/>
      <c r="K39" s="53" t="s">
        <v>65</v>
      </c>
      <c r="L39" s="53"/>
      <c r="M39" s="53" t="s">
        <v>573</v>
      </c>
      <c r="N39" s="53"/>
      <c r="O39" s="53" t="s">
        <v>65</v>
      </c>
      <c r="P39" s="53"/>
      <c r="Q39" s="53"/>
      <c r="S39" s="137"/>
      <c r="T39" s="137" t="s">
        <v>573</v>
      </c>
      <c r="U39" s="137"/>
      <c r="V39" s="137"/>
      <c r="W39" s="234" t="s">
        <v>348</v>
      </c>
      <c r="X39" s="234" t="s">
        <v>348</v>
      </c>
      <c r="Z39" s="75" t="s">
        <v>93</v>
      </c>
      <c r="AA39" s="137"/>
      <c r="AB39" s="137"/>
      <c r="AC39" s="137"/>
      <c r="AD39" s="137"/>
      <c r="AE39" s="137"/>
      <c r="AF39" s="137"/>
      <c r="AG39" s="136"/>
      <c r="AH39" s="197"/>
      <c r="AI39" s="237">
        <f t="shared" ref="AI39:AQ39" si="54">COUNTIF($C39:$AG39,AI$4)</f>
        <v>0</v>
      </c>
      <c r="AJ39" s="237">
        <f t="shared" si="54"/>
        <v>0</v>
      </c>
      <c r="AK39" s="237">
        <f t="shared" si="54"/>
        <v>0</v>
      </c>
      <c r="AL39" s="237">
        <f t="shared" si="54"/>
        <v>0</v>
      </c>
      <c r="AM39" s="237">
        <f t="shared" si="54"/>
        <v>1</v>
      </c>
      <c r="AN39" s="237">
        <f t="shared" si="54"/>
        <v>2</v>
      </c>
      <c r="AO39" s="237">
        <f t="shared" si="54"/>
        <v>3</v>
      </c>
      <c r="AP39" s="237">
        <f t="shared" si="54"/>
        <v>0</v>
      </c>
      <c r="AQ39" s="237">
        <f t="shared" si="54"/>
        <v>0</v>
      </c>
      <c r="AR39" s="246"/>
      <c r="AS39" s="239">
        <v>2</v>
      </c>
      <c r="AT39" s="239"/>
      <c r="AU39" s="238">
        <f>SUMPRODUCT(--(WEEKDAY(C$3:AG$3,2)&lt;5),--ISNUMBER(MATCH(C39:AG39,{"DM","CS1","CS2","SB1","AE","CS/B"},0)))</f>
        <v>2</v>
      </c>
      <c r="AV39" s="246"/>
      <c r="AW39" s="238">
        <f>SUMPRODUCT(--(WEEKDAY(C$3:AG$3,2)=5),--ISNUMBER(MATCH(C39:AG39,{"DM","CS1","CS2","SB1","AE","CS/B"},0)))</f>
        <v>1</v>
      </c>
      <c r="AX39" s="238">
        <f>SUMPRODUCT(--(WEEKDAY(C$3:AG$3,2)&gt;5),--ISNUMBER(MATCH(C39:AG39,{"DM","CS1","CS2","SB1","AE","CS/B"},0)))</f>
        <v>1</v>
      </c>
      <c r="AY39" s="246"/>
      <c r="AZ39" s="238">
        <f t="shared" si="3"/>
        <v>8.5</v>
      </c>
      <c r="BA39" s="238">
        <f t="shared" si="4"/>
        <v>4</v>
      </c>
      <c r="BB39" s="238">
        <f t="shared" si="5"/>
        <v>0</v>
      </c>
      <c r="BC39" s="239">
        <f t="shared" si="6"/>
        <v>8.5</v>
      </c>
      <c r="BD39" s="238">
        <f t="shared" si="7"/>
        <v>0</v>
      </c>
      <c r="BE39" s="238">
        <f t="shared" si="8"/>
        <v>0</v>
      </c>
      <c r="BF39" s="238">
        <f t="shared" si="9"/>
        <v>0</v>
      </c>
      <c r="BG39" s="238">
        <f t="shared" si="10"/>
        <v>0</v>
      </c>
      <c r="BH39" s="238">
        <f t="shared" si="11"/>
        <v>0</v>
      </c>
      <c r="BI39" s="238">
        <f t="shared" si="12"/>
        <v>0</v>
      </c>
      <c r="BJ39" s="238">
        <f t="shared" si="13"/>
        <v>0</v>
      </c>
      <c r="BK39" s="238">
        <f t="shared" si="14"/>
        <v>0</v>
      </c>
      <c r="BL39" s="238">
        <f t="shared" si="15"/>
        <v>0</v>
      </c>
      <c r="BM39" s="238">
        <f t="shared" si="16"/>
        <v>0</v>
      </c>
      <c r="BN39" s="238">
        <f t="shared" si="17"/>
        <v>0</v>
      </c>
      <c r="BO39" s="238">
        <f>COUNTIF($D39:$AA39,BO$4)</f>
        <v>0</v>
      </c>
      <c r="BP39" s="238">
        <f>COUNTIF($D39:$AA39,BP$4)</f>
        <v>0</v>
      </c>
      <c r="BQ39" s="238">
        <f>COUNTIF($D39:$AA39,BQ$4)</f>
        <v>0</v>
      </c>
      <c r="BR39" s="247"/>
    </row>
    <row r="40" ht="19.5" customHeight="1" spans="1:70">
      <c r="A40" s="233"/>
      <c r="B40" s="195" t="s">
        <v>148</v>
      </c>
      <c r="C40" s="196"/>
      <c r="D40" s="197"/>
      <c r="E40" s="197"/>
      <c r="F40" s="197"/>
      <c r="G40" s="53"/>
      <c r="I40" s="197"/>
      <c r="J40" s="197"/>
      <c r="K40" s="197"/>
      <c r="L40" s="197"/>
      <c r="M40" s="53"/>
      <c r="N40" s="197"/>
      <c r="O40" s="197"/>
      <c r="P40" s="197"/>
      <c r="Q40" s="53"/>
      <c r="R40" s="137"/>
      <c r="S40" s="197"/>
      <c r="T40" s="196"/>
      <c r="U40" s="198"/>
      <c r="V40" s="53"/>
      <c r="W40" s="137"/>
      <c r="X40" s="197"/>
      <c r="Y40" s="197"/>
      <c r="Z40" s="197"/>
      <c r="AA40" s="197"/>
      <c r="AB40" s="197"/>
      <c r="AC40" s="197"/>
      <c r="AD40" s="197"/>
      <c r="AE40" s="197"/>
      <c r="AF40" s="197"/>
      <c r="AG40" s="196"/>
      <c r="AH40" s="197"/>
      <c r="AI40" s="237"/>
      <c r="AJ40" s="248"/>
      <c r="AK40" s="237"/>
      <c r="AL40" s="237"/>
      <c r="AM40" s="246"/>
      <c r="AN40" s="246"/>
      <c r="AO40" s="246"/>
      <c r="AP40" s="246"/>
      <c r="AQ40" s="246"/>
      <c r="AR40" s="246"/>
      <c r="AS40" s="246"/>
      <c r="AT40" s="246"/>
      <c r="AU40" s="238"/>
      <c r="AV40" s="246"/>
      <c r="AW40" s="246"/>
      <c r="AX40" s="238"/>
      <c r="AY40" s="246"/>
      <c r="AZ40" s="246"/>
      <c r="BA40" s="238"/>
      <c r="BB40" s="238"/>
      <c r="BC40" s="238" t="s">
        <v>698</v>
      </c>
      <c r="BD40" s="238"/>
      <c r="BE40" s="238"/>
      <c r="BF40" s="238"/>
      <c r="BG40" s="238"/>
      <c r="BH40" s="238"/>
      <c r="BI40" s="238"/>
      <c r="BJ40" s="238"/>
      <c r="BK40" s="238"/>
      <c r="BL40" s="238"/>
      <c r="BM40" s="238"/>
      <c r="BN40" s="238"/>
      <c r="BO40" s="246"/>
      <c r="BP40" s="246"/>
      <c r="BQ40" s="246"/>
      <c r="BR40" s="247"/>
    </row>
    <row r="41" ht="19.5" customHeight="1" spans="1:70">
      <c r="A41" s="233"/>
      <c r="B41" s="199" t="s">
        <v>664</v>
      </c>
      <c r="C41" s="196"/>
      <c r="D41" s="197"/>
      <c r="E41" s="197"/>
      <c r="F41" s="197"/>
      <c r="G41" s="197"/>
      <c r="I41" s="197"/>
      <c r="J41" s="197"/>
      <c r="K41" s="197"/>
      <c r="L41" s="197"/>
      <c r="M41" s="53"/>
      <c r="N41" s="197"/>
      <c r="O41" s="197"/>
      <c r="P41" s="197"/>
      <c r="Q41" s="53"/>
      <c r="R41" s="53"/>
      <c r="S41" s="197"/>
      <c r="T41" s="196"/>
      <c r="U41" s="198"/>
      <c r="V41" s="200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6"/>
      <c r="AH41" s="197"/>
      <c r="AI41" s="237"/>
      <c r="AJ41" s="248"/>
      <c r="AK41" s="237"/>
      <c r="AL41" s="237"/>
      <c r="AM41" s="246"/>
      <c r="AN41" s="246"/>
      <c r="AO41" s="246"/>
      <c r="AP41" s="246"/>
      <c r="AQ41" s="246"/>
      <c r="AR41" s="246"/>
      <c r="AS41" s="246"/>
      <c r="AT41" s="246"/>
      <c r="AU41" s="238"/>
      <c r="AV41" s="246"/>
      <c r="AW41" s="246"/>
      <c r="AX41" s="238"/>
      <c r="AY41" s="246"/>
      <c r="AZ41" s="246"/>
      <c r="BA41" s="238"/>
      <c r="BB41" s="238"/>
      <c r="BC41" s="238" t="s">
        <v>699</v>
      </c>
      <c r="BD41" s="238"/>
      <c r="BE41" s="238"/>
      <c r="BF41" s="238"/>
      <c r="BG41" s="238"/>
      <c r="BH41" s="238"/>
      <c r="BI41" s="238"/>
      <c r="BJ41" s="238"/>
      <c r="BK41" s="238"/>
      <c r="BL41" s="238"/>
      <c r="BM41" s="238"/>
      <c r="BN41" s="238"/>
      <c r="BO41" s="246"/>
      <c r="BP41" s="246"/>
      <c r="BQ41" s="246"/>
      <c r="BR41" s="247"/>
    </row>
    <row r="42" ht="19.5" customHeight="1" spans="1:70">
      <c r="A42" s="233"/>
      <c r="B42" s="199" t="s">
        <v>667</v>
      </c>
      <c r="C42" s="196"/>
      <c r="D42" s="197"/>
      <c r="E42" s="197"/>
      <c r="F42" s="197"/>
      <c r="G42" s="197"/>
      <c r="H42" s="197"/>
      <c r="I42" s="197"/>
      <c r="J42" s="197"/>
      <c r="K42" s="197"/>
      <c r="L42" s="197"/>
      <c r="M42" s="53"/>
      <c r="N42" s="197"/>
      <c r="O42" s="197"/>
      <c r="P42" s="197"/>
      <c r="Q42" s="53"/>
      <c r="R42" s="53"/>
      <c r="S42" s="197"/>
      <c r="T42" s="196"/>
      <c r="U42" s="198" t="s">
        <v>700</v>
      </c>
      <c r="V42" s="200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6"/>
      <c r="AH42" s="197"/>
      <c r="AI42" s="237"/>
      <c r="AJ42" s="248"/>
      <c r="AK42" s="237"/>
      <c r="AL42" s="237"/>
      <c r="AM42" s="246"/>
      <c r="AN42" s="246"/>
      <c r="AO42" s="246"/>
      <c r="AP42" s="246"/>
      <c r="AQ42" s="246"/>
      <c r="AR42" s="246"/>
      <c r="AS42" s="246"/>
      <c r="AT42" s="246"/>
      <c r="AU42" s="238"/>
      <c r="AV42" s="246"/>
      <c r="AW42" s="246"/>
      <c r="AX42" s="238"/>
      <c r="AY42" s="246"/>
      <c r="AZ42" s="246"/>
      <c r="BA42" s="238"/>
      <c r="BB42" s="238"/>
      <c r="BC42" s="238"/>
      <c r="BD42" s="238"/>
      <c r="BE42" s="238"/>
      <c r="BF42" s="238"/>
      <c r="BG42" s="238"/>
      <c r="BH42" s="238"/>
      <c r="BI42" s="238"/>
      <c r="BJ42" s="238"/>
      <c r="BK42" s="238"/>
      <c r="BL42" s="238"/>
      <c r="BM42" s="238"/>
      <c r="BN42" s="238"/>
      <c r="BO42" s="246"/>
      <c r="BP42" s="246"/>
      <c r="BQ42" s="246"/>
      <c r="BR42" s="247"/>
    </row>
    <row r="43" ht="19.5" customHeight="1" spans="1:70">
      <c r="A43" s="233"/>
      <c r="B43" s="199" t="s">
        <v>668</v>
      </c>
      <c r="C43" s="196"/>
      <c r="D43" s="197"/>
      <c r="E43" s="197"/>
      <c r="F43" s="197"/>
      <c r="G43" s="197"/>
      <c r="H43" s="197"/>
      <c r="I43" s="197"/>
      <c r="J43" s="197"/>
      <c r="K43" s="197"/>
      <c r="L43" s="197"/>
      <c r="M43" s="53"/>
      <c r="N43" s="197"/>
      <c r="O43" s="197"/>
      <c r="P43" s="197"/>
      <c r="Q43" s="53"/>
      <c r="R43" s="53"/>
      <c r="S43" s="197"/>
      <c r="T43" s="196"/>
      <c r="U43" s="198"/>
      <c r="V43" s="200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6"/>
      <c r="AH43" s="197"/>
      <c r="AI43" s="237"/>
      <c r="AJ43" s="248"/>
      <c r="AK43" s="237"/>
      <c r="AL43" s="237"/>
      <c r="AM43" s="246"/>
      <c r="AN43" s="246"/>
      <c r="AO43" s="246"/>
      <c r="AP43" s="246"/>
      <c r="AQ43" s="246"/>
      <c r="AR43" s="246"/>
      <c r="AS43" s="246"/>
      <c r="AT43" s="246"/>
      <c r="AU43" s="238"/>
      <c r="AV43" s="246"/>
      <c r="AW43" s="246"/>
      <c r="AX43" s="238"/>
      <c r="AY43" s="246"/>
      <c r="AZ43" s="246"/>
      <c r="BA43" s="238"/>
      <c r="BB43" s="238"/>
      <c r="BC43" s="238"/>
      <c r="BD43" s="238"/>
      <c r="BE43" s="238"/>
      <c r="BF43" s="238"/>
      <c r="BG43" s="238"/>
      <c r="BH43" s="238"/>
      <c r="BI43" s="238"/>
      <c r="BJ43" s="238"/>
      <c r="BK43" s="238"/>
      <c r="BL43" s="238"/>
      <c r="BM43" s="238"/>
      <c r="BN43" s="238"/>
      <c r="BO43" s="246"/>
      <c r="BP43" s="246"/>
      <c r="BQ43" s="246"/>
      <c r="BR43" s="247"/>
    </row>
    <row r="44" ht="19.5" customHeight="1" spans="1:70">
      <c r="A44" s="233"/>
      <c r="B44" s="201"/>
      <c r="C44" s="202"/>
      <c r="D44" s="249"/>
      <c r="E44" s="249"/>
      <c r="F44" s="249"/>
      <c r="G44" s="249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50"/>
      <c r="AI44" s="251"/>
      <c r="AJ44" s="252"/>
      <c r="AK44" s="251"/>
      <c r="AL44" s="251"/>
      <c r="AM44" s="253"/>
      <c r="AN44" s="253"/>
      <c r="AO44" s="253"/>
      <c r="AP44" s="253"/>
      <c r="AQ44" s="253"/>
      <c r="AR44" s="253"/>
      <c r="AS44" s="253"/>
      <c r="AT44" s="253"/>
      <c r="AU44" s="253"/>
      <c r="AV44" s="253"/>
      <c r="AW44" s="253"/>
      <c r="AX44" s="253">
        <f>SUMPRODUCT(--WEEKDAY(C$3:AG$3,2)&gt;5,--((C44:AG44="DM"))+(C44:AG44="CS1")+((C44:AG44="CS2"))+(C44:AG44="SB1")+(C44:AG44="AE")+(C44:AG44="EM"))</f>
        <v>0</v>
      </c>
      <c r="AY44" s="253"/>
      <c r="AZ44" s="253">
        <f>(AU44-AV44)/2+(AX44-AY44)</f>
        <v>0</v>
      </c>
      <c r="BA44" s="253"/>
      <c r="BB44" s="253"/>
      <c r="BC44" s="253"/>
      <c r="BD44" s="253"/>
      <c r="BE44" s="253"/>
      <c r="BF44" s="253"/>
      <c r="BG44" s="253"/>
      <c r="BH44" s="253"/>
      <c r="BI44" s="253"/>
      <c r="BJ44" s="253"/>
      <c r="BK44" s="253"/>
      <c r="BL44" s="253"/>
      <c r="BM44" s="253"/>
      <c r="BN44" s="253"/>
      <c r="BO44" s="253"/>
      <c r="BP44" s="253"/>
      <c r="BQ44" s="253"/>
      <c r="BR44" s="254"/>
    </row>
    <row r="45" ht="19.5" customHeight="1" spans="1:70">
      <c r="A45" s="233"/>
      <c r="B45" s="205" t="s">
        <v>57</v>
      </c>
      <c r="C45" s="206" t="str">
        <f>VLOOKUP("DM",C5:C40,1,FALSE)</f>
        <v>DM</v>
      </c>
      <c r="D45" s="206" t="str">
        <f>VLOOKUP("DM",D5:D40,1,FALSE)</f>
        <v>DM</v>
      </c>
      <c r="E45" s="206" t="str">
        <f>VLOOKUP("DM",E5:E40,1,FALSE)</f>
        <v>DM</v>
      </c>
      <c r="F45" s="206" t="str">
        <f>VLOOKUP("DM",F5:F40,1,FALSE)</f>
        <v>DM</v>
      </c>
      <c r="G45" s="206" t="str">
        <f>VLOOKUP("DM",G5:G39,1,FALSE)</f>
        <v>DM</v>
      </c>
      <c r="H45" s="206" t="str">
        <f>VLOOKUP("DM",H5:H39,1,FALSE)</f>
        <v>DM</v>
      </c>
      <c r="I45" s="206" t="str">
        <f>VLOOKUP("DM",I5:I40,1,FALSE)</f>
        <v>DM</v>
      </c>
      <c r="J45" s="206" t="str">
        <f>VLOOKUP("DM",J5:J40,1,FALSE)</f>
        <v>DM</v>
      </c>
      <c r="K45" s="206" t="str">
        <f>VLOOKUP("DM",K5:K40,1,FALSE)</f>
        <v>DM</v>
      </c>
      <c r="L45" s="206" t="str">
        <f>VLOOKUP("DM",L6:L40,1,FALSE)</f>
        <v>DM</v>
      </c>
      <c r="M45" s="206" t="str">
        <f t="shared" ref="M45:S45" si="55">VLOOKUP("DM",M5:M40,1,FALSE)</f>
        <v>DM</v>
      </c>
      <c r="N45" s="206" t="str">
        <f t="shared" si="55"/>
        <v>DM</v>
      </c>
      <c r="O45" s="206" t="str">
        <f t="shared" si="55"/>
        <v>DM</v>
      </c>
      <c r="P45" s="206" t="str">
        <f t="shared" si="55"/>
        <v>DM</v>
      </c>
      <c r="Q45" s="206" t="str">
        <f t="shared" si="55"/>
        <v>DM</v>
      </c>
      <c r="R45" s="206" t="str">
        <f t="shared" si="55"/>
        <v>DM</v>
      </c>
      <c r="S45" s="206" t="str">
        <f t="shared" si="55"/>
        <v>DM</v>
      </c>
      <c r="T45" s="206" t="str">
        <f>VLOOKUP("DM",T6:T40,1,FALSE)</f>
        <v>DM</v>
      </c>
      <c r="U45" s="206" t="str">
        <f>VLOOKUP("DM",U5:U40,1,FALSE)</f>
        <v>DM</v>
      </c>
      <c r="V45" s="206" t="str">
        <f>VLOOKUP("DM",V5:V38,1,FALSE)</f>
        <v>DM</v>
      </c>
      <c r="W45" s="206" t="str">
        <f t="shared" ref="W45:AH45" si="56">VLOOKUP("DM",W5:W40,1,FALSE)</f>
        <v>DM</v>
      </c>
      <c r="X45" s="206" t="str">
        <f t="shared" si="56"/>
        <v>DM</v>
      </c>
      <c r="Y45" s="206" t="str">
        <f t="shared" si="56"/>
        <v>DM</v>
      </c>
      <c r="Z45" s="206" t="str">
        <f t="shared" si="56"/>
        <v>DM</v>
      </c>
      <c r="AA45" s="206" t="str">
        <f t="shared" si="56"/>
        <v>DM</v>
      </c>
      <c r="AB45" s="206" t="str">
        <f t="shared" si="56"/>
        <v>DM</v>
      </c>
      <c r="AC45" s="206" t="str">
        <f t="shared" si="56"/>
        <v>DM</v>
      </c>
      <c r="AD45" s="206" t="str">
        <f t="shared" si="56"/>
        <v>DM</v>
      </c>
      <c r="AE45" s="206" t="str">
        <f t="shared" si="56"/>
        <v>DM</v>
      </c>
      <c r="AF45" s="206" t="str">
        <f t="shared" si="56"/>
        <v>DM</v>
      </c>
      <c r="AG45" s="206" t="str">
        <f t="shared" si="56"/>
        <v>DM</v>
      </c>
      <c r="AH45" s="206" t="e">
        <f t="shared" si="56"/>
        <v>#N/A</v>
      </c>
      <c r="AI45" s="237"/>
      <c r="AJ45" s="248"/>
      <c r="AK45" s="237"/>
      <c r="AL45" s="237"/>
      <c r="AM45" s="238"/>
      <c r="AN45" s="238"/>
      <c r="AO45" s="238"/>
      <c r="AP45" s="238"/>
      <c r="AQ45" s="238"/>
      <c r="AR45" s="238"/>
      <c r="AS45" s="238"/>
      <c r="AT45" s="238"/>
      <c r="AU45" s="238"/>
      <c r="AV45" s="238"/>
      <c r="AW45" s="238"/>
      <c r="AX45" s="238"/>
      <c r="AY45" s="238"/>
      <c r="AZ45" s="238"/>
      <c r="BA45" s="238"/>
      <c r="BB45" s="238"/>
      <c r="BC45" s="238"/>
      <c r="BD45" s="238"/>
      <c r="BE45" s="238"/>
      <c r="BF45" s="238"/>
      <c r="BG45" s="238"/>
      <c r="BH45" s="238"/>
      <c r="BI45" s="238"/>
      <c r="BJ45" s="238"/>
      <c r="BK45" s="238"/>
      <c r="BL45" s="238"/>
      <c r="BM45" s="238"/>
      <c r="BN45" s="238"/>
      <c r="BO45" s="238"/>
      <c r="BP45" s="238"/>
      <c r="BQ45" s="238"/>
      <c r="BR45" s="240"/>
    </row>
    <row r="46" ht="19.5" customHeight="1" spans="1:70">
      <c r="A46" s="233" t="e">
        <f>LTE()</f>
        <v>#NAME?</v>
      </c>
      <c r="B46" s="207" t="s">
        <v>56</v>
      </c>
      <c r="C46" s="206" t="str">
        <f>VLOOKUP("CS1",C5:C40,1,FALSE)</f>
        <v>CS1</v>
      </c>
      <c r="D46" s="206" t="str">
        <f>VLOOKUP("CS1",D5:D40,1,FALSE)</f>
        <v>CS1</v>
      </c>
      <c r="E46" s="206" t="str">
        <f>VLOOKUP("CS1",E5:E40,1,FALSE)</f>
        <v>CS1</v>
      </c>
      <c r="F46" s="206" t="str">
        <f>VLOOKUP("CS1",F5:F40,1,FALSE)</f>
        <v>CS1</v>
      </c>
      <c r="G46" s="206" t="str">
        <f>VLOOKUP("CS1",G5:G39,1,FALSE)</f>
        <v>CS1</v>
      </c>
      <c r="H46" s="206" t="str">
        <f>VLOOKUP("CS1",H5:H39,1,FALSE)</f>
        <v>CS1</v>
      </c>
      <c r="I46" s="206" t="str">
        <f>VLOOKUP("CS1",I5:I40,1,FALSE)</f>
        <v>CS1</v>
      </c>
      <c r="J46" s="206" t="str">
        <f>VLOOKUP("CS1",J5:J40,1,FALSE)</f>
        <v>CS1</v>
      </c>
      <c r="K46" s="206" t="str">
        <f>VLOOKUP("CS1",K5:K40,1,FALSE)</f>
        <v>CS1</v>
      </c>
      <c r="L46" s="206" t="str">
        <f>VLOOKUP("CS1",L6:L40,1,FALSE)</f>
        <v>CS1</v>
      </c>
      <c r="M46" s="206" t="str">
        <f>VLOOKUP("CS1",M6:M40,1,FALSE)</f>
        <v>CS1</v>
      </c>
      <c r="N46" s="206" t="str">
        <f t="shared" ref="N46:S46" si="57">VLOOKUP("CS1",N5:N40,1,FALSE)</f>
        <v>CS1</v>
      </c>
      <c r="O46" s="206" t="str">
        <f t="shared" si="57"/>
        <v>CS1</v>
      </c>
      <c r="P46" s="206" t="str">
        <f t="shared" si="57"/>
        <v>CS1</v>
      </c>
      <c r="Q46" s="206" t="str">
        <f t="shared" si="57"/>
        <v>CS1</v>
      </c>
      <c r="R46" s="206" t="str">
        <f t="shared" si="57"/>
        <v>CS1</v>
      </c>
      <c r="S46" s="206" t="str">
        <f t="shared" si="57"/>
        <v>CS1</v>
      </c>
      <c r="T46" s="206" t="str">
        <f>VLOOKUP("CS1",T6:T40,1,FALSE)</f>
        <v>CS1</v>
      </c>
      <c r="U46" s="206" t="str">
        <f>VLOOKUP("CS1",U5:U40,1,FALSE)</f>
        <v>CS1</v>
      </c>
      <c r="V46" s="206" t="str">
        <f>VLOOKUP("CS1",V5:V38,1,FALSE)</f>
        <v>CS1</v>
      </c>
      <c r="W46" s="206" t="str">
        <f>VLOOKUP("CS1",W5:W40,1,FALSE)</f>
        <v>CS1</v>
      </c>
      <c r="X46" s="206" t="str">
        <f>VLOOKUP("CS1",X5:X40,1,FALSE)</f>
        <v>CS1</v>
      </c>
      <c r="Y46" s="206" t="str">
        <f>VLOOKUP("CS1",Y5:Y40,1,FALSE)</f>
        <v>CS1</v>
      </c>
      <c r="Z46" s="206" t="str">
        <f>VLOOKUP("CS1",Z5:Z40,1,FALSE)</f>
        <v>CS1</v>
      </c>
      <c r="AA46" s="206" t="str">
        <f>VLOOKUP("CS1",AA6:AA40,1,FALSE)</f>
        <v>CS1</v>
      </c>
      <c r="AB46" s="206" t="str">
        <f t="shared" ref="AB46:AH46" si="58">VLOOKUP("CS1",AB5:AB40,1,FALSE)</f>
        <v>CS1</v>
      </c>
      <c r="AC46" s="206" t="str">
        <f t="shared" si="58"/>
        <v>CS1</v>
      </c>
      <c r="AD46" s="206" t="str">
        <f t="shared" si="58"/>
        <v>CS1</v>
      </c>
      <c r="AE46" s="206" t="str">
        <f t="shared" si="58"/>
        <v>CS1</v>
      </c>
      <c r="AF46" s="206" t="str">
        <f t="shared" si="58"/>
        <v>CS1</v>
      </c>
      <c r="AG46" s="206" t="str">
        <f t="shared" si="58"/>
        <v>CS1</v>
      </c>
      <c r="AH46" s="206" t="e">
        <f t="shared" si="58"/>
        <v>#N/A</v>
      </c>
      <c r="AI46" s="237"/>
      <c r="AJ46" s="248"/>
      <c r="AK46" s="237"/>
      <c r="AL46" s="237"/>
      <c r="AM46" s="238"/>
      <c r="AN46" s="238"/>
      <c r="AO46" s="238"/>
      <c r="AP46" s="238"/>
      <c r="AQ46" s="238"/>
      <c r="AR46" s="238"/>
      <c r="AS46" s="238"/>
      <c r="AT46" s="238"/>
      <c r="AU46" s="238"/>
      <c r="AV46" s="238"/>
      <c r="AW46" s="238"/>
      <c r="AX46" s="238"/>
      <c r="AY46" s="238"/>
      <c r="AZ46" s="238"/>
      <c r="BA46" s="238"/>
      <c r="BB46" s="238"/>
      <c r="BC46" s="238"/>
      <c r="BD46" s="238"/>
      <c r="BE46" s="238"/>
      <c r="BF46" s="238"/>
      <c r="BG46" s="238"/>
      <c r="BH46" s="238"/>
      <c r="BI46" s="238"/>
      <c r="BJ46" s="238"/>
      <c r="BK46" s="238"/>
      <c r="BL46" s="238"/>
      <c r="BM46" s="238"/>
      <c r="BN46" s="238"/>
      <c r="BO46" s="238"/>
      <c r="BP46" s="238"/>
      <c r="BQ46" s="238"/>
      <c r="BR46" s="240"/>
    </row>
    <row r="47" ht="19.5" customHeight="1" spans="1:70">
      <c r="A47" s="233"/>
      <c r="B47" s="208" t="s">
        <v>59</v>
      </c>
      <c r="C47" s="206" t="e">
        <f>VLOOKUP("CS2",C5:C40,1,FALSE)</f>
        <v>#N/A</v>
      </c>
      <c r="D47" s="206" t="e">
        <f>VLOOKUP("CS2",D5:D40,1,FALSE)</f>
        <v>#N/A</v>
      </c>
      <c r="E47" s="206" t="str">
        <f>VLOOKUP("CS2",E6:E40,1,FALSE)</f>
        <v>CS2</v>
      </c>
      <c r="F47" s="206" t="str">
        <f>VLOOKUP("CS2",F5:F40,1,FALSE)</f>
        <v>CS2</v>
      </c>
      <c r="G47" s="206" t="e">
        <f>VLOOKUP("CS2",G5:G39,1,FALSE)</f>
        <v>#N/A</v>
      </c>
      <c r="H47" s="206" t="str">
        <f>VLOOKUP("CS2",H5:H39,1,FALSE)</f>
        <v>CS2</v>
      </c>
      <c r="I47" s="206" t="str">
        <f>VLOOKUP("CS2",I5:I40,1,FALSE)</f>
        <v>CS2</v>
      </c>
      <c r="J47" s="206" t="str">
        <f>VLOOKUP("CS2",J5:J40,1,FALSE)</f>
        <v>CS2</v>
      </c>
      <c r="K47" s="206" t="str">
        <f>VLOOKUP("CS2",K5:K40,1,FALSE)</f>
        <v>CS2</v>
      </c>
      <c r="L47" s="206" t="str">
        <f>VLOOKUP("CS2",L6:L40,1,FALSE)</f>
        <v>CS2</v>
      </c>
      <c r="M47" s="206" t="str">
        <f>VLOOKUP("CS2",M6:M40,1,FALSE)</f>
        <v>CS2</v>
      </c>
      <c r="N47" s="206" t="str">
        <f t="shared" ref="N47:S47" si="59">VLOOKUP("CS2",N5:N40,1,FALSE)</f>
        <v>CS2</v>
      </c>
      <c r="O47" s="206" t="str">
        <f t="shared" si="59"/>
        <v>CS2</v>
      </c>
      <c r="P47" s="206" t="str">
        <f t="shared" si="59"/>
        <v>CS2</v>
      </c>
      <c r="Q47" s="206" t="str">
        <f t="shared" si="59"/>
        <v>CS2</v>
      </c>
      <c r="R47" s="206" t="str">
        <f t="shared" si="59"/>
        <v>CS2</v>
      </c>
      <c r="S47" s="206" t="str">
        <f t="shared" si="59"/>
        <v>CS2</v>
      </c>
      <c r="T47" s="206" t="str">
        <f>VLOOKUP("CS2",T6:T40,1,FALSE)</f>
        <v>CS2</v>
      </c>
      <c r="U47" s="206" t="str">
        <f>VLOOKUP("CS2",U5:U40,1,FALSE)</f>
        <v>CS2</v>
      </c>
      <c r="V47" s="206" t="str">
        <f>VLOOKUP("CS2",V5:V38,1,FALSE)</f>
        <v>CS2</v>
      </c>
      <c r="W47" s="206" t="str">
        <f>VLOOKUP("CS2",W5:W40,1,FALSE)</f>
        <v>CS2</v>
      </c>
      <c r="X47" s="206" t="str">
        <f>VLOOKUP("CS2",X5:X40,1,FALSE)</f>
        <v>CS2</v>
      </c>
      <c r="Y47" s="206" t="str">
        <f>VLOOKUP("CS2",Y5:Y40,1,FALSE)</f>
        <v>CS2</v>
      </c>
      <c r="Z47" s="206" t="str">
        <f>VLOOKUP("CS2",Z5:Z40,1,FALSE)</f>
        <v>CS2</v>
      </c>
      <c r="AA47" s="206" t="str">
        <f>VLOOKUP("CS2",AA6:AA40,1,FALSE)</f>
        <v>CS2</v>
      </c>
      <c r="AB47" s="206" t="str">
        <f t="shared" ref="AB47:AH47" si="60">VLOOKUP("CS2",AB5:AB40,1,FALSE)</f>
        <v>CS2</v>
      </c>
      <c r="AC47" s="206" t="str">
        <f t="shared" si="60"/>
        <v>CS2</v>
      </c>
      <c r="AD47" s="206" t="str">
        <f t="shared" si="60"/>
        <v>CS2</v>
      </c>
      <c r="AE47" s="206" t="str">
        <f t="shared" si="60"/>
        <v>CS2</v>
      </c>
      <c r="AF47" s="206" t="str">
        <f t="shared" si="60"/>
        <v>CS2</v>
      </c>
      <c r="AG47" s="206" t="str">
        <f t="shared" si="60"/>
        <v>CS2</v>
      </c>
      <c r="AH47" s="206" t="e">
        <f t="shared" si="60"/>
        <v>#N/A</v>
      </c>
      <c r="AI47" s="237"/>
      <c r="AJ47" s="248"/>
      <c r="AK47" s="237"/>
      <c r="AL47" s="237"/>
      <c r="AM47" s="238"/>
      <c r="AN47" s="238"/>
      <c r="AO47" s="238"/>
      <c r="AP47" s="238"/>
      <c r="AQ47" s="238"/>
      <c r="AR47" s="238"/>
      <c r="AS47" s="238"/>
      <c r="AT47" s="238"/>
      <c r="AU47" s="238"/>
      <c r="AV47" s="238"/>
      <c r="AW47" s="238"/>
      <c r="AX47" s="238"/>
      <c r="AY47" s="238"/>
      <c r="AZ47" s="238"/>
      <c r="BA47" s="238"/>
      <c r="BB47" s="238"/>
      <c r="BC47" s="238"/>
      <c r="BD47" s="238"/>
      <c r="BE47" s="238"/>
      <c r="BF47" s="238"/>
      <c r="BG47" s="238"/>
      <c r="BH47" s="238"/>
      <c r="BI47" s="238"/>
      <c r="BJ47" s="238"/>
      <c r="BK47" s="238"/>
      <c r="BL47" s="238"/>
      <c r="BM47" s="238"/>
      <c r="BN47" s="238"/>
      <c r="BO47" s="238"/>
      <c r="BP47" s="238"/>
      <c r="BQ47" s="238"/>
      <c r="BR47" s="240"/>
    </row>
    <row r="48" ht="19.5" customHeight="1" spans="1:70">
      <c r="A48" s="233"/>
      <c r="B48" s="209" t="s">
        <v>566</v>
      </c>
      <c r="C48" s="206" t="str">
        <f>VLOOKUP("CS/B",C5:C40,1,FALSE)</f>
        <v>CS/B</v>
      </c>
      <c r="D48" s="206" t="str">
        <f>VLOOKUP("CS/B",D5:D40,1,FALSE)</f>
        <v>CS/B</v>
      </c>
      <c r="E48" s="206" t="e">
        <f>VLOOKUP("CS/B",E6:E40,1,FALSE)</f>
        <v>#N/A</v>
      </c>
      <c r="F48" s="206" t="e">
        <f>VLOOKUP("CS/B",F5:F40,1,FALSE)</f>
        <v>#N/A</v>
      </c>
      <c r="G48" s="206" t="str">
        <f>VLOOKUP("CS/B",G5:G39,1,FALSE)</f>
        <v>CS/B</v>
      </c>
      <c r="H48" s="206" t="e">
        <f>VLOOKUP("CS/B",H5:H39,1,FALSE)</f>
        <v>#N/A</v>
      </c>
      <c r="I48" s="206" t="e">
        <f>VLOOKUP("CS/B",I5:I40,1,FALSE)</f>
        <v>#N/A</v>
      </c>
      <c r="J48" s="206" t="e">
        <f>VLOOKUP("CS/B",J5:J40,1,FALSE)</f>
        <v>#N/A</v>
      </c>
      <c r="K48" s="206" t="e">
        <f>VLOOKUP("CS/B",K5:K40,1,FALSE)</f>
        <v>#N/A</v>
      </c>
      <c r="L48" s="206" t="e">
        <f>VLOOKUP("CS/B",L6:L40,1,FALSE)</f>
        <v>#N/A</v>
      </c>
      <c r="M48" s="206" t="e">
        <f>VLOOKUP("CS/B",M6:M40,1,FALSE)</f>
        <v>#N/A</v>
      </c>
      <c r="N48" s="206" t="e">
        <f t="shared" ref="N48:S48" si="61">VLOOKUP("CS/B",N5:N40,1,FALSE)</f>
        <v>#N/A</v>
      </c>
      <c r="O48" s="206" t="e">
        <f t="shared" si="61"/>
        <v>#N/A</v>
      </c>
      <c r="P48" s="206" t="e">
        <f t="shared" si="61"/>
        <v>#N/A</v>
      </c>
      <c r="Q48" s="206" t="e">
        <f t="shared" si="61"/>
        <v>#N/A</v>
      </c>
      <c r="R48" s="206" t="e">
        <f t="shared" si="61"/>
        <v>#N/A</v>
      </c>
      <c r="S48" s="206" t="e">
        <f t="shared" si="61"/>
        <v>#N/A</v>
      </c>
      <c r="T48" s="206" t="e">
        <f>VLOOKUP("CS/B",T6:T40,1,FALSE)</f>
        <v>#N/A</v>
      </c>
      <c r="U48" s="206" t="e">
        <f>VLOOKUP("CS/B",U5:U40,1,FALSE)</f>
        <v>#N/A</v>
      </c>
      <c r="V48" s="206" t="e">
        <f>VLOOKUP("CS/B",V5:V38,1,FALSE)</f>
        <v>#N/A</v>
      </c>
      <c r="W48" s="206" t="e">
        <f>VLOOKUP("CS/B",W5:W40,1,FALSE)</f>
        <v>#N/A</v>
      </c>
      <c r="X48" s="206" t="e">
        <f>VLOOKUP("CS/B",X5:X40,1,FALSE)</f>
        <v>#N/A</v>
      </c>
      <c r="Y48" s="206" t="e">
        <f>VLOOKUP("CS/B",Y5:Y40,1,FALSE)</f>
        <v>#N/A</v>
      </c>
      <c r="Z48" s="206" t="e">
        <f>VLOOKUP("CS/B",Z5:Z40,1,FALSE)</f>
        <v>#N/A</v>
      </c>
      <c r="AA48" s="206" t="e">
        <f>VLOOKUP("CS/B",AA6:AA40,1,FALSE)</f>
        <v>#N/A</v>
      </c>
      <c r="AB48" s="206" t="e">
        <f t="shared" ref="AB48:AH48" si="62">VLOOKUP("CS/B",AB5:AB40,1,FALSE)</f>
        <v>#N/A</v>
      </c>
      <c r="AC48" s="206" t="e">
        <f t="shared" si="62"/>
        <v>#N/A</v>
      </c>
      <c r="AD48" s="206" t="e">
        <f t="shared" si="62"/>
        <v>#N/A</v>
      </c>
      <c r="AE48" s="206" t="e">
        <f t="shared" si="62"/>
        <v>#N/A</v>
      </c>
      <c r="AF48" s="206" t="e">
        <f t="shared" si="62"/>
        <v>#N/A</v>
      </c>
      <c r="AG48" s="206" t="e">
        <f t="shared" si="62"/>
        <v>#N/A</v>
      </c>
      <c r="AH48" s="206" t="e">
        <f t="shared" si="62"/>
        <v>#N/A</v>
      </c>
      <c r="AI48" s="237"/>
      <c r="AJ48" s="248"/>
      <c r="AK48" s="237"/>
      <c r="AL48" s="237"/>
      <c r="AM48" s="238"/>
      <c r="AN48" s="238"/>
      <c r="AO48" s="238"/>
      <c r="AP48" s="238"/>
      <c r="AQ48" s="238"/>
      <c r="AR48" s="238"/>
      <c r="AS48" s="238"/>
      <c r="AT48" s="238"/>
      <c r="AU48" s="238"/>
      <c r="AV48" s="238"/>
      <c r="AW48" s="238"/>
      <c r="AX48" s="238"/>
      <c r="AY48" s="238"/>
      <c r="AZ48" s="238"/>
      <c r="BA48" s="238"/>
      <c r="BB48" s="238"/>
      <c r="BC48" s="238"/>
      <c r="BD48" s="238"/>
      <c r="BE48" s="238"/>
      <c r="BF48" s="238"/>
      <c r="BG48" s="238"/>
      <c r="BH48" s="238"/>
      <c r="BI48" s="238"/>
      <c r="BJ48" s="238"/>
      <c r="BK48" s="238"/>
      <c r="BL48" s="238"/>
      <c r="BM48" s="238"/>
      <c r="BN48" s="238"/>
      <c r="BO48" s="238"/>
      <c r="BP48" s="238"/>
      <c r="BQ48" s="238"/>
      <c r="BR48" s="240"/>
    </row>
    <row r="49" ht="19.5" customHeight="1" spans="1:70">
      <c r="A49" s="233"/>
      <c r="B49" s="210" t="s">
        <v>58</v>
      </c>
      <c r="C49" s="206" t="e">
        <f>VLOOKUP("SB1",C5:C40,1,FALSE)</f>
        <v>#N/A</v>
      </c>
      <c r="D49" s="206" t="e">
        <f>VLOOKUP("SB1",D5:D40,1,FALSE)</f>
        <v>#N/A</v>
      </c>
      <c r="E49" s="206" t="str">
        <f>VLOOKUP("SB1",E6:E40,1,FALSE)</f>
        <v>SB1</v>
      </c>
      <c r="F49" s="206" t="str">
        <f>VLOOKUP("SB1",F5:F40,1,FALSE)</f>
        <v>SB1</v>
      </c>
      <c r="G49" s="206" t="e">
        <f>VLOOKUP("SB1",G5:G39,1,FALSE)</f>
        <v>#N/A</v>
      </c>
      <c r="H49" s="206" t="str">
        <f>VLOOKUP("SB1",H5:H39,1,FALSE)</f>
        <v>SB1</v>
      </c>
      <c r="I49" s="206" t="e">
        <f>VLOOKUP("SB1",I5:I40,1,FALSE)</f>
        <v>#N/A</v>
      </c>
      <c r="J49" s="206" t="e">
        <f>VLOOKUP("SB1",J5:J40,1,FALSE)</f>
        <v>#N/A</v>
      </c>
      <c r="K49" s="206" t="e">
        <f>VLOOKUP("SB1",K5:K40,1,FALSE)</f>
        <v>#N/A</v>
      </c>
      <c r="L49" s="206" t="e">
        <f>VLOOKUP("SB1",L6:L40,1,FALSE)</f>
        <v>#N/A</v>
      </c>
      <c r="M49" s="206" t="e">
        <f>VLOOKUP("SB1",M6:M40,1,FALSE)</f>
        <v>#N/A</v>
      </c>
      <c r="N49" s="206" t="e">
        <f t="shared" ref="N49:S49" si="63">VLOOKUP("SB1",N5:N40,1,FALSE)</f>
        <v>#N/A</v>
      </c>
      <c r="O49" s="206" t="e">
        <f t="shared" si="63"/>
        <v>#N/A</v>
      </c>
      <c r="P49" s="206" t="e">
        <f t="shared" si="63"/>
        <v>#N/A</v>
      </c>
      <c r="Q49" s="206" t="e">
        <f t="shared" si="63"/>
        <v>#N/A</v>
      </c>
      <c r="R49" s="206" t="e">
        <f t="shared" si="63"/>
        <v>#N/A</v>
      </c>
      <c r="S49" s="206" t="e">
        <f t="shared" si="63"/>
        <v>#N/A</v>
      </c>
      <c r="T49" s="206" t="e">
        <f>VLOOKUP("SB1",T6:T40,1,FALSE)</f>
        <v>#N/A</v>
      </c>
      <c r="U49" s="206" t="e">
        <f>VLOOKUP("SB1",U5:U40,1,FALSE)</f>
        <v>#N/A</v>
      </c>
      <c r="V49" s="206" t="e">
        <f>VLOOKUP("SB1",V5:V38,1,FALSE)</f>
        <v>#N/A</v>
      </c>
      <c r="W49" s="206" t="e">
        <f>VLOOKUP("SB1",W5:W40,1,FALSE)</f>
        <v>#N/A</v>
      </c>
      <c r="X49" s="206" t="e">
        <f>VLOOKUP("SB1",X5:X40,1,FALSE)</f>
        <v>#N/A</v>
      </c>
      <c r="Y49" s="206" t="e">
        <f>VLOOKUP("SB1",Y5:Y40,1,FALSE)</f>
        <v>#N/A</v>
      </c>
      <c r="Z49" s="206" t="e">
        <f>VLOOKUP("SB1",Z5:Z40,1,FALSE)</f>
        <v>#N/A</v>
      </c>
      <c r="AA49" s="206" t="e">
        <f>VLOOKUP("SB1",AA6:AA40,1,FALSE)</f>
        <v>#N/A</v>
      </c>
      <c r="AB49" s="206" t="e">
        <f t="shared" ref="AB49:AH49" si="64">VLOOKUP("SB1",AB5:AB40,1,FALSE)</f>
        <v>#N/A</v>
      </c>
      <c r="AC49" s="206" t="e">
        <f t="shared" si="64"/>
        <v>#N/A</v>
      </c>
      <c r="AD49" s="206" t="e">
        <f t="shared" si="64"/>
        <v>#N/A</v>
      </c>
      <c r="AE49" s="206" t="e">
        <f t="shared" si="64"/>
        <v>#N/A</v>
      </c>
      <c r="AF49" s="206" t="e">
        <f t="shared" si="64"/>
        <v>#N/A</v>
      </c>
      <c r="AG49" s="206" t="e">
        <f t="shared" si="64"/>
        <v>#N/A</v>
      </c>
      <c r="AH49" s="206" t="e">
        <f t="shared" si="64"/>
        <v>#N/A</v>
      </c>
      <c r="AI49" s="237"/>
      <c r="AJ49" s="248"/>
      <c r="AK49" s="237"/>
      <c r="AL49" s="237"/>
      <c r="AM49" s="238"/>
      <c r="AN49" s="238"/>
      <c r="AO49" s="238"/>
      <c r="AP49" s="238"/>
      <c r="AQ49" s="238"/>
      <c r="AR49" s="238"/>
      <c r="AS49" s="238"/>
      <c r="AT49" s="238"/>
      <c r="AU49" s="238"/>
      <c r="AV49" s="238"/>
      <c r="AW49" s="238"/>
      <c r="AX49" s="238"/>
      <c r="AY49" s="238"/>
      <c r="AZ49" s="238"/>
      <c r="BA49" s="238"/>
      <c r="BB49" s="238"/>
      <c r="BC49" s="238"/>
      <c r="BD49" s="238"/>
      <c r="BE49" s="238"/>
      <c r="BF49" s="238"/>
      <c r="BG49" s="238"/>
      <c r="BH49" s="238"/>
      <c r="BI49" s="238"/>
      <c r="BJ49" s="238"/>
      <c r="BK49" s="238"/>
      <c r="BL49" s="238"/>
      <c r="BM49" s="238"/>
      <c r="BN49" s="238"/>
      <c r="BO49" s="238"/>
      <c r="BP49" s="238"/>
      <c r="BQ49" s="238"/>
      <c r="BR49" s="240"/>
    </row>
    <row r="50" ht="18.75" customHeight="1" spans="1:70">
      <c r="A50" s="233"/>
      <c r="B50" s="211" t="s">
        <v>93</v>
      </c>
      <c r="C50" s="206" t="e">
        <f>VLOOKUP("SB2",C5:C40,1,FALSE)</f>
        <v>#N/A</v>
      </c>
      <c r="D50" s="206" t="str">
        <f>VLOOKUP("SB2",D5:D40,1,FALSE)</f>
        <v>SB2</v>
      </c>
      <c r="E50" s="206" t="str">
        <f>VLOOKUP("SB2",E6:E40,1,FALSE)</f>
        <v>SB2</v>
      </c>
      <c r="F50" s="206" t="str">
        <f>VLOOKUP("SB2",F5:F40,1,FALSE)</f>
        <v>SB2</v>
      </c>
      <c r="G50" s="206" t="str">
        <f>VLOOKUP("SB2",G5:G39,1,FALSE)</f>
        <v>SB2</v>
      </c>
      <c r="H50" s="206" t="str">
        <f>VLOOKUP("SB2",H5:H39,1,FALSE)</f>
        <v>SB2</v>
      </c>
      <c r="I50" s="206" t="e">
        <f>VLOOKUP("SB2",I5:I40,1,FALSE)</f>
        <v>#N/A</v>
      </c>
      <c r="J50" s="206" t="e">
        <f>VLOOKUP("SB2",J5:J40,1,FALSE)</f>
        <v>#N/A</v>
      </c>
      <c r="K50" s="206" t="str">
        <f>VLOOKUP("SB2",K5:K40,1,FALSE)</f>
        <v>SB2</v>
      </c>
      <c r="L50" s="206" t="str">
        <f>VLOOKUP("SB2",L6:L40,1,FALSE)</f>
        <v>SB2</v>
      </c>
      <c r="M50" s="206" t="str">
        <f>VLOOKUP("SB2",M6:M40,1,FALSE)</f>
        <v>SB2</v>
      </c>
      <c r="N50" s="206" t="str">
        <f t="shared" ref="N50:S50" si="65">VLOOKUP("SB2",N5:N40,1,FALSE)</f>
        <v>SB2</v>
      </c>
      <c r="O50" s="206" t="str">
        <f t="shared" si="65"/>
        <v>SB2</v>
      </c>
      <c r="P50" s="206" t="e">
        <f t="shared" si="65"/>
        <v>#N/A</v>
      </c>
      <c r="Q50" s="206" t="e">
        <f t="shared" si="65"/>
        <v>#N/A</v>
      </c>
      <c r="R50" s="206" t="str">
        <f t="shared" si="65"/>
        <v>SB2</v>
      </c>
      <c r="S50" s="206" t="str">
        <f t="shared" si="65"/>
        <v>SB2</v>
      </c>
      <c r="T50" s="206" t="str">
        <f>VLOOKUP("SB2",T6:T40,1,FALSE)</f>
        <v>SB2</v>
      </c>
      <c r="U50" s="206" t="str">
        <f>VLOOKUP("SB2",U5:U40,1,FALSE)</f>
        <v>SB2</v>
      </c>
      <c r="V50" s="206" t="str">
        <f>VLOOKUP("SB2",V5:V38,1,FALSE)</f>
        <v>SB2</v>
      </c>
      <c r="W50" s="206" t="e">
        <f>VLOOKUP("SB2",W5:W40,1,FALSE)</f>
        <v>#N/A</v>
      </c>
      <c r="X50" s="206" t="e">
        <f>VLOOKUP("SB2",X5:X40,1,FALSE)</f>
        <v>#N/A</v>
      </c>
      <c r="Y50" s="206" t="str">
        <f>VLOOKUP("SB2",Y5:Y40,1,FALSE)</f>
        <v>SB2</v>
      </c>
      <c r="Z50" s="206" t="str">
        <f>VLOOKUP("SB2",Z5:Z40,1,FALSE)</f>
        <v>SB2</v>
      </c>
      <c r="AA50" s="206" t="str">
        <f>VLOOKUP("SB2",AA6:AA40,1,FALSE)</f>
        <v>SB2</v>
      </c>
      <c r="AB50" s="206" t="str">
        <f t="shared" ref="AB50:AH50" si="66">VLOOKUP("SB2",AB5:AB40,1,FALSE)</f>
        <v>SB2</v>
      </c>
      <c r="AC50" s="206" t="str">
        <f t="shared" si="66"/>
        <v>SB2</v>
      </c>
      <c r="AD50" s="206" t="e">
        <f t="shared" si="66"/>
        <v>#N/A</v>
      </c>
      <c r="AE50" s="206" t="e">
        <f t="shared" si="66"/>
        <v>#N/A</v>
      </c>
      <c r="AF50" s="206" t="str">
        <f t="shared" si="66"/>
        <v>SB2</v>
      </c>
      <c r="AG50" s="206" t="str">
        <f t="shared" si="66"/>
        <v>SB2</v>
      </c>
      <c r="AH50" s="206" t="e">
        <f t="shared" si="66"/>
        <v>#N/A</v>
      </c>
      <c r="AI50" s="237"/>
      <c r="AJ50" s="248"/>
      <c r="AK50" s="237"/>
      <c r="AL50" s="237"/>
      <c r="AM50" s="238"/>
      <c r="AN50" s="238"/>
      <c r="AO50" s="238"/>
      <c r="AP50" s="238"/>
      <c r="AQ50" s="238"/>
      <c r="AR50" s="238"/>
      <c r="AS50" s="238"/>
      <c r="AT50" s="238"/>
      <c r="AU50" s="238"/>
      <c r="AV50" s="238"/>
      <c r="AW50" s="238"/>
      <c r="AX50" s="238"/>
      <c r="AY50" s="238"/>
      <c r="AZ50" s="238"/>
      <c r="BA50" s="238"/>
      <c r="BB50" s="238"/>
      <c r="BC50" s="238"/>
      <c r="BD50" s="238"/>
      <c r="BE50" s="238"/>
      <c r="BF50" s="238"/>
      <c r="BG50" s="238"/>
      <c r="BH50" s="238"/>
      <c r="BI50" s="238"/>
      <c r="BJ50" s="238"/>
      <c r="BK50" s="238"/>
      <c r="BL50" s="238"/>
      <c r="BM50" s="238"/>
      <c r="BN50" s="238"/>
      <c r="BO50" s="238"/>
      <c r="BP50" s="238"/>
      <c r="BQ50" s="238"/>
      <c r="BR50" s="240"/>
    </row>
    <row r="51" ht="19.5" customHeight="1" spans="1:70">
      <c r="A51" s="233"/>
      <c r="B51" s="212" t="s">
        <v>65</v>
      </c>
      <c r="C51" s="206" t="str">
        <f>VLOOKUP("AE",C5:C40,1,FALSE)</f>
        <v>AE</v>
      </c>
      <c r="D51" s="206" t="str">
        <f>VLOOKUP("AE",D5:D40,1,FALSE)</f>
        <v>AE</v>
      </c>
      <c r="E51" s="206" t="str">
        <f>VLOOKUP("AE",E6:E40,1,FALSE)</f>
        <v>AE</v>
      </c>
      <c r="F51" s="206" t="str">
        <f>VLOOKUP("AE",F5:F40,1,FALSE)</f>
        <v>AE</v>
      </c>
      <c r="G51" s="206" t="str">
        <f>VLOOKUP("AE",G5:G39,1,FALSE)</f>
        <v>AE</v>
      </c>
      <c r="H51" s="206" t="str">
        <f>VLOOKUP("AE",H5:H39,1,FALSE)</f>
        <v>AE</v>
      </c>
      <c r="I51" s="206" t="str">
        <f>VLOOKUP("AE",I5:I40,1,FALSE)</f>
        <v>AE</v>
      </c>
      <c r="J51" s="206" t="str">
        <f>VLOOKUP("AE",J5:J40,1,FALSE)</f>
        <v>AE</v>
      </c>
      <c r="K51" s="206" t="str">
        <f>VLOOKUP("AE",K5:K40,1,FALSE)</f>
        <v>AE</v>
      </c>
      <c r="L51" s="206" t="str">
        <f>VLOOKUP("AE",L6:L40,1,FALSE)</f>
        <v>AE</v>
      </c>
      <c r="M51" s="206" t="str">
        <f>VLOOKUP("AE",M6:M40,1,FALSE)</f>
        <v>AE</v>
      </c>
      <c r="N51" s="206" t="str">
        <f t="shared" ref="N51:S51" si="67">VLOOKUP("AE",N5:N40,1,FALSE)</f>
        <v>AE</v>
      </c>
      <c r="O51" s="206" t="str">
        <f t="shared" si="67"/>
        <v>AE</v>
      </c>
      <c r="P51" s="206" t="str">
        <f t="shared" si="67"/>
        <v>AE</v>
      </c>
      <c r="Q51" s="206" t="str">
        <f t="shared" si="67"/>
        <v>AE</v>
      </c>
      <c r="R51" s="206" t="str">
        <f t="shared" si="67"/>
        <v>AE</v>
      </c>
      <c r="S51" s="206" t="str">
        <f t="shared" si="67"/>
        <v>AE</v>
      </c>
      <c r="T51" s="206" t="str">
        <f>VLOOKUP("AE",T6:T40,1,FALSE)</f>
        <v>AE</v>
      </c>
      <c r="U51" s="206" t="str">
        <f>VLOOKUP("AE",U5:U40,1,FALSE)</f>
        <v>AE</v>
      </c>
      <c r="V51" s="206" t="str">
        <f>VLOOKUP("AE",V5:V39,1,FALSE)</f>
        <v>AE</v>
      </c>
      <c r="W51" s="206" t="str">
        <f>VLOOKUP("AE",W5:W40,1,FALSE)</f>
        <v>AE</v>
      </c>
      <c r="X51" s="206" t="str">
        <f>VLOOKUP("AE",X5:X40,1,FALSE)</f>
        <v>AE</v>
      </c>
      <c r="Y51" s="206" t="str">
        <f>VLOOKUP("AE",Y5:Y40,1,FALSE)</f>
        <v>AE</v>
      </c>
      <c r="Z51" s="206" t="str">
        <f>VLOOKUP("AE",Z5:Z40,1,FALSE)</f>
        <v>AE</v>
      </c>
      <c r="AA51" s="206" t="str">
        <f>VLOOKUP("AE",AA6:AA40,1,FALSE)</f>
        <v>AE</v>
      </c>
      <c r="AB51" s="206" t="str">
        <f t="shared" ref="AB51:AH51" si="68">VLOOKUP("AE",AB5:AB40,1,FALSE)</f>
        <v>AE</v>
      </c>
      <c r="AC51" s="206" t="str">
        <f t="shared" si="68"/>
        <v>AE</v>
      </c>
      <c r="AD51" s="206" t="str">
        <f t="shared" si="68"/>
        <v>AE</v>
      </c>
      <c r="AE51" s="206" t="str">
        <f t="shared" si="68"/>
        <v>AE</v>
      </c>
      <c r="AF51" s="206" t="str">
        <f t="shared" si="68"/>
        <v>AE</v>
      </c>
      <c r="AG51" s="206" t="str">
        <f t="shared" si="68"/>
        <v>AE</v>
      </c>
      <c r="AH51" s="206" t="e">
        <f t="shared" si="68"/>
        <v>#N/A</v>
      </c>
      <c r="AI51" s="237"/>
      <c r="AJ51" s="248"/>
      <c r="AK51" s="237"/>
      <c r="AL51" s="237"/>
      <c r="AM51" s="238"/>
      <c r="AN51" s="238"/>
      <c r="AO51" s="238"/>
      <c r="AP51" s="238"/>
      <c r="AQ51" s="238"/>
      <c r="AR51" s="238"/>
      <c r="AS51" s="238"/>
      <c r="AT51" s="238"/>
      <c r="AU51" s="238"/>
      <c r="AV51" s="238"/>
      <c r="AW51" s="238"/>
      <c r="AX51" s="238"/>
      <c r="AY51" s="238"/>
      <c r="AZ51" s="238"/>
      <c r="BA51" s="238"/>
      <c r="BB51" s="238"/>
      <c r="BC51" s="238"/>
      <c r="BD51" s="238"/>
      <c r="BE51" s="238"/>
      <c r="BF51" s="238"/>
      <c r="BG51" s="238"/>
      <c r="BH51" s="238"/>
      <c r="BI51" s="238"/>
      <c r="BJ51" s="238"/>
      <c r="BK51" s="238"/>
      <c r="BL51" s="238"/>
      <c r="BM51" s="238"/>
      <c r="BN51" s="238"/>
      <c r="BO51" s="238"/>
      <c r="BP51" s="238"/>
      <c r="BQ51" s="238"/>
      <c r="BR51" s="240"/>
    </row>
    <row r="52" ht="19.5" customHeight="1" spans="1:70">
      <c r="A52" s="233"/>
      <c r="B52" s="1" t="s">
        <v>350</v>
      </c>
      <c r="C52" t="str">
        <f t="shared" ref="C52:Q52" si="69">VLOOKUP("RESERVE",C5:C39,1,FALSE)</f>
        <v>RESERVE</v>
      </c>
      <c r="D52" t="str">
        <f t="shared" si="69"/>
        <v>RESERVE</v>
      </c>
      <c r="E52" t="str">
        <f t="shared" si="69"/>
        <v>RESERVE</v>
      </c>
      <c r="F52" t="e">
        <f t="shared" si="69"/>
        <v>#N/A</v>
      </c>
      <c r="G52" t="str">
        <f t="shared" si="69"/>
        <v>RESERVE</v>
      </c>
      <c r="H52" t="e">
        <f t="shared" si="69"/>
        <v>#N/A</v>
      </c>
      <c r="I52" t="str">
        <f t="shared" si="69"/>
        <v>RESERVE</v>
      </c>
      <c r="J52" t="str">
        <f t="shared" si="69"/>
        <v>RESERVE</v>
      </c>
      <c r="K52" t="str">
        <f t="shared" si="69"/>
        <v>RESERVE</v>
      </c>
      <c r="L52" t="str">
        <f t="shared" si="69"/>
        <v>RESERVE</v>
      </c>
      <c r="M52" t="str">
        <f t="shared" si="69"/>
        <v>RESERVE</v>
      </c>
      <c r="N52" t="str">
        <f t="shared" si="69"/>
        <v>RESERVE</v>
      </c>
      <c r="O52" t="str">
        <f t="shared" si="69"/>
        <v>RESERVE</v>
      </c>
      <c r="P52" t="str">
        <f t="shared" si="69"/>
        <v>RESERVE</v>
      </c>
      <c r="Q52" t="str">
        <f t="shared" si="69"/>
        <v>RESERVE</v>
      </c>
      <c r="R52" t="str">
        <f>VLOOKUP("RESERVE",R5:R40,1,FALSE)</f>
        <v>RESERVE</v>
      </c>
      <c r="S52" t="str">
        <f t="shared" ref="S52:X52" si="70">VLOOKUP("RESERVE",S5:S39,1,FALSE)</f>
        <v>RESERVE</v>
      </c>
      <c r="T52" t="str">
        <f t="shared" si="70"/>
        <v>RESERVE</v>
      </c>
      <c r="U52" t="e">
        <f t="shared" si="70"/>
        <v>#N/A</v>
      </c>
      <c r="V52" t="str">
        <f t="shared" si="70"/>
        <v>RESERVE</v>
      </c>
      <c r="W52" t="str">
        <f t="shared" si="70"/>
        <v>RESERVE</v>
      </c>
      <c r="X52" t="str">
        <f t="shared" si="70"/>
        <v>RESERVE</v>
      </c>
      <c r="Y52" t="e">
        <f>VLOOKUP("RESERVE",Y5:Y37,1,FALSE)</f>
        <v>#N/A</v>
      </c>
      <c r="Z52" t="e">
        <f t="shared" ref="Z52:AH52" si="71">VLOOKUP("RESERVE",Z5:Z39,1,FALSE)</f>
        <v>#N/A</v>
      </c>
      <c r="AA52" t="e">
        <f t="shared" si="71"/>
        <v>#N/A</v>
      </c>
      <c r="AB52" t="str">
        <f t="shared" si="71"/>
        <v>RESERVE</v>
      </c>
      <c r="AC52" t="str">
        <f t="shared" si="71"/>
        <v>RESERVE</v>
      </c>
      <c r="AD52" t="str">
        <f t="shared" si="71"/>
        <v>RESERVE</v>
      </c>
      <c r="AE52" t="str">
        <f t="shared" si="71"/>
        <v>RESERVE</v>
      </c>
      <c r="AF52" t="str">
        <f t="shared" si="71"/>
        <v>RESERVE</v>
      </c>
      <c r="AG52" t="str">
        <f t="shared" si="71"/>
        <v>RESERVE</v>
      </c>
      <c r="AH52" t="e">
        <f t="shared" si="71"/>
        <v>#N/A</v>
      </c>
      <c r="AI52" s="237"/>
      <c r="AJ52" s="248"/>
      <c r="AK52" s="237"/>
      <c r="AL52" s="237"/>
      <c r="AM52" s="238"/>
      <c r="AN52" s="238"/>
      <c r="AO52" s="238"/>
      <c r="AP52" s="238"/>
      <c r="AQ52" s="238"/>
      <c r="AR52" s="238"/>
      <c r="AS52" s="238"/>
      <c r="AT52" s="238"/>
      <c r="AU52" s="238"/>
      <c r="AV52" s="238"/>
      <c r="AW52" s="238"/>
      <c r="AX52" s="238"/>
      <c r="AY52" s="238"/>
      <c r="AZ52" s="238"/>
      <c r="BA52" s="238"/>
      <c r="BB52" s="238"/>
      <c r="BC52" s="238"/>
      <c r="BD52" s="238"/>
      <c r="BE52" s="238"/>
      <c r="BF52" s="238"/>
      <c r="BG52" s="238"/>
      <c r="BH52" s="238"/>
      <c r="BI52" s="238"/>
      <c r="BJ52" s="238"/>
      <c r="BK52" s="238"/>
      <c r="BL52" s="238"/>
      <c r="BM52" s="238"/>
      <c r="BN52" s="238"/>
      <c r="BO52" s="238"/>
      <c r="BP52" s="238"/>
      <c r="BQ52" s="238"/>
      <c r="BR52" s="240"/>
    </row>
  </sheetData>
  <mergeCells count="3">
    <mergeCell ref="C1:S1"/>
    <mergeCell ref="AS3:AS4"/>
    <mergeCell ref="AT3:AT4"/>
  </mergeCells>
  <conditionalFormatting sqref="D23">
    <cfRule type="expression" dxfId="136" priority="6">
      <formula>WEEKDAY(G$3,2)&gt;5</formula>
    </cfRule>
    <cfRule type="expression" dxfId="136" priority="7">
      <formula>WEEKDAY(F$3,2)&gt;5</formula>
    </cfRule>
  </conditionalFormatting>
  <conditionalFormatting sqref="AC34">
    <cfRule type="expression" dxfId="136" priority="1">
      <formula>WEEKDAY(AC$3,2)&gt;5</formula>
    </cfRule>
    <cfRule type="expression" dxfId="136" priority="2">
      <formula>WEEKDAY(AB$3,2)&gt;5</formula>
    </cfRule>
  </conditionalFormatting>
  <conditionalFormatting sqref="X35">
    <cfRule type="expression" dxfId="136" priority="9">
      <formula>WEEKDAY(AA$3,2)&gt;5</formula>
    </cfRule>
    <cfRule type="expression" dxfId="136" priority="10">
      <formula>WEEKDAY(Z$3,2)&gt;5</formula>
    </cfRule>
  </conditionalFormatting>
  <conditionalFormatting sqref="O37">
    <cfRule type="expression" dxfId="136" priority="3">
      <formula>WEEKDAY(Q$3,2)&gt;5</formula>
    </cfRule>
  </conditionalFormatting>
  <conditionalFormatting sqref="C21:C22">
    <cfRule type="expression" dxfId="136" priority="11">
      <formula>WEEKDAY(D$3,2)&gt;5</formula>
    </cfRule>
  </conditionalFormatting>
  <conditionalFormatting sqref="R21:R22">
    <cfRule type="expression" dxfId="136" priority="4">
      <formula>WEEKDAY(U$3,2)&gt;5</formula>
    </cfRule>
    <cfRule type="expression" dxfId="136" priority="5">
      <formula>WEEKDAY(V$3,2)&gt;5</formula>
    </cfRule>
  </conditionalFormatting>
  <conditionalFormatting sqref="A1:BR52">
    <cfRule type="cellIs" dxfId="155" priority="78" operator="equal">
      <formula>"RESERVE"</formula>
    </cfRule>
  </conditionalFormatting>
  <conditionalFormatting sqref="T2:X43 C3:S43 Y3:AH43">
    <cfRule type="expression" dxfId="136" priority="71">
      <formula>WEEKDAY(T$3,2)&gt;5</formula>
    </cfRule>
  </conditionalFormatting>
  <conditionalFormatting sqref="J4:J52 AA4:AA52 C5:I52 K5:Z52 AB5:AH52">
    <cfRule type="cellIs" dxfId="137" priority="56" operator="equal">
      <formula>"B"</formula>
    </cfRule>
    <cfRule type="cellIs" dxfId="137" priority="57" operator="equal">
      <formula>"AL"</formula>
    </cfRule>
    <cfRule type="cellIs" dxfId="138" priority="58" operator="equal">
      <formula>"DM"</formula>
    </cfRule>
    <cfRule type="cellIs" dxfId="139" priority="59" operator="equal">
      <formula>"CS1"</formula>
    </cfRule>
    <cfRule type="cellIs" dxfId="140" priority="60" operator="equal">
      <formula>"CS2"</formula>
    </cfRule>
    <cfRule type="cellIs" dxfId="141" priority="61" operator="equal">
      <formula>"SB1"</formula>
    </cfRule>
    <cfRule type="cellIs" dxfId="142" priority="62" operator="equal">
      <formula>"SB2"</formula>
    </cfRule>
    <cfRule type="cellIs" dxfId="143" priority="63" operator="equal">
      <formula>"AE"</formula>
    </cfRule>
  </conditionalFormatting>
  <conditionalFormatting sqref="J4:J43 AA4:AA43 C5:I43 K5:Z43 AB5:AH43">
    <cfRule type="cellIs" dxfId="137" priority="65" operator="equal">
      <formula>"DB"</formula>
    </cfRule>
    <cfRule type="containsText" dxfId="144" priority="66" operator="between" text="$AM">
      <formula>NOT(ISERROR(SEARCH("$AM",C4)))</formula>
    </cfRule>
    <cfRule type="containsText" dxfId="145" priority="67" operator="between" text="$PM">
      <formula>NOT(ISERROR(SEARCH("$PM",C4)))</formula>
    </cfRule>
    <cfRule type="containsText" dxfId="146" priority="68" operator="between" text="$L">
      <formula>NOT(ISERROR(SEARCH("$L",C4)))</formula>
    </cfRule>
    <cfRule type="containsText" dxfId="147" priority="69" operator="between" text="$BTP">
      <formula>NOT(ISERROR(SEARCH("$BTP",C4)))</formula>
    </cfRule>
    <cfRule type="containsText" dxfId="148" priority="70" operator="between" text="$M">
      <formula>NOT(ISERROR(SEARCH("$M",C4)))</formula>
    </cfRule>
    <cfRule type="containsText" dxfId="149" priority="72" operator="between" text="$N">
      <formula>NOT(ISERROR(SEARCH("$N",C4)))</formula>
    </cfRule>
    <cfRule type="containsText" dxfId="150" priority="73" operator="between" text="$FC">
      <formula>NOT(ISERROR(SEARCH("$FC",C4)))</formula>
    </cfRule>
    <cfRule type="containsText" dxfId="151" priority="74" operator="between" text="OAL">
      <formula>NOT(ISERROR(SEARCH("OAL",C4)))</formula>
    </cfRule>
    <cfRule type="containsText" dxfId="152" priority="75" operator="between" text="S+">
      <formula>NOT(ISERROR(SEARCH("S+",C4)))</formula>
    </cfRule>
    <cfRule type="containsText" dxfId="153" priority="76" operator="between" text="EX-D">
      <formula>NOT(ISERROR(SEARCH("EX-D",C4)))</formula>
    </cfRule>
  </conditionalFormatting>
  <conditionalFormatting sqref="J4:J16 C5:C10 E5:E6 G5:G16 H5:H9 I5:I10 K5:K6 M5:M7 N5:O6 P5:P9 Q5:Q17 R5:R6 S5:S14 T5:T6 U5:U8 V5:V14 W5:X22 Y5:Y24 Z5:AC39 AD5:AE29 AF5:AF28 AG5:AG6 AH5:AH25 D6 F6:F10 L6:L9 D8:D10 E8 K8:K13 T8:T17 AG8:AG23 M9:M16 O10:O24 R10:R17 E11:E13 H11 L11:L13 P11:P17 U11:U21 C12:C23 F12:F13 I12:I16 N12:N26 D13:D17 H13:H21 E15:E21 F15:F17 K15:K16 L15:L17 S16:S31 V16 G18:G28 I18:I29 J18:J20 K18:K24 M18:M19 V18:V21 D19:D26 F19:F22 P19:P23 Q19:Q22 R19:R24 T19:T31 L20:L24 J22:J23 M22:M29 H23:H31 U23:U25 V23:V24 E24:E26 Q24 W24:X24 F25:F29 J25:J27 AG25:AG28 C26 K26:L26 O26:Q29 R26:R27 V26:X26 Y26:Y39 U27:U30 D28 E28:E29 K28 V28:V33 W28:W31 X28:X29 C29 J29:J30 L29 N29 R29 D30 K30:K31 E31:F31 L31 M31:M33 N31:N32 Q31:R31 X31 AD31:AF32 AG31:AH31 D32:D33 G32:G33 O32:O34 C33 E33:F33 I33:I34 K33:K35 S33 J34 N34:N35 T34 W34:X36 AG34 E35:G35 H35:H36 L35:L36 M35:M37 P35 R35 V35 I36:J36 O36:O38 E37:E39 F37:G38 K37:K39 N37 U37:U38 V37:V39 D38 H38:I38 J38:J39 R38 C39 L39:M39 W39:X39 R40 U40:U43">
    <cfRule type="containsText" dxfId="154" priority="77" operator="between" text="VACC">
      <formula>NOT(ISERROR(SEARCH("VACC",C4)))</formula>
    </cfRule>
  </conditionalFormatting>
  <conditionalFormatting sqref="C5:C10 E5:E6 G5:G8 H5:H9 I5:I10 J5:J11 K5 M5:M7 N5:O6 P5:P9 Q5:Q11 R5:R6 S5:S8 T5:U6 V5:V13 W5:W11 X5:X9 Y5:Y8 Z5:AC5 AD5:AD11 AF5 AG5:AG6 AH5:AH12 D6 F6:F10 L6:L9 AE6:AE14 AB7 AC7:AC8 D8:D10 E8 T8:T12 U8 AF8:AF11 AG8:AG14 K9:K13 M9:M11 AA9:AA11 G10:G16 O10 R10:R11 S10 Z10:Z12 AB10:AB13 AC10 E11:E13 H11 L11:L13 P11 U11:U14 X11:X17 Y11:Y21 C12:C23 F12:F13 N12 O12:O13 D13:D16 H13:H17 I13:J16 M13:M16 P13:P16 Q13:Q17 S13:S14 W13:W19 AA13:AA16 AC13:AD13 AF13:AF17 N14:N16 R14 T14 Z14 E15:E16 F15:F17 L15:L17 O15:O17 AB15:AB16 K16 R16:R17 S16:S19 T16:T17 U16:U21 V16 Z16 AC16:AC17 AD16:AE19 AG16:AH17 E18:E21 G18:G21 I18:I29 M18 V18:V19 Z18:Z19 AA18:AB18 D19:D20 F19:F22 H19:H21 J19 O19:O28 P19:P23 Q19:Q22 R19:R24 T19:T24 X19 AC19:AC22 AF19:AF20 AG19 N20:N22 AB20:AB22 K21:K22 L21:L24 V21 W21:X22 AA21 AG21:AG23 AH21:AH22 J22:J23 M22:M24 S22:S23 Z22:Z24 AD22 AE22:AE24 AF22 D23 G23:G28 H23:H26 E24:E26 K24 Q24:Q25 U24:U25 V24:V26 W24:X24 AC24 C25:C31 D25:D26 F25:F29 J25:J27 N25:N26 P25:P27 AA25:AB25 AD25 K26:L26 M26:M29 W26 AE26 Q27 S27:S29 T27:U27 Y27 AA27 AC27:AD27 D28 E28:E29 H28:H31 K28 Z28:Z29 J29:J30 N29 R29 T29:W29 AC29:AC30 D30 K30:K31 E31:F31 L31 S31 V31:V33 W31:Z31 AB31 AH31 D32:D33 G32:G33 M32:M33 N32 O32:O34 AA32 C33 E33:F33 K33:K34 AC33:AC35 I34:J34 N34 T34 W34:X36 E35:H35 L35:L36 M35:M37 P35 R35 V35 AB35 O36:O38 E37:E39 F37:G38 N37 U37 Z37 D38 H38:J38 K38:K39 R38 V38 C39 L39:M39 W39:X39 R40">
    <cfRule type="cellIs" dxfId="137" priority="12" operator="equal">
      <formula>"B"</formula>
    </cfRule>
    <cfRule type="cellIs" dxfId="137" priority="13" operator="equal">
      <formula>"AL"</formula>
    </cfRule>
    <cfRule type="cellIs" dxfId="138" priority="14" operator="equal">
      <formula>"DM"</formula>
    </cfRule>
    <cfRule type="cellIs" dxfId="139" priority="15" operator="equal">
      <formula>"CS1"</formula>
    </cfRule>
    <cfRule type="cellIs" dxfId="140" priority="16" operator="equal">
      <formula>"CS2"</formula>
    </cfRule>
    <cfRule type="cellIs" dxfId="141" priority="17" operator="equal">
      <formula>"SB1"</formula>
    </cfRule>
    <cfRule type="cellIs" dxfId="142" priority="18" operator="equal">
      <formula>"SB2"</formula>
    </cfRule>
    <cfRule type="cellIs" dxfId="143" priority="19" operator="equal">
      <formula>"AE"</formula>
    </cfRule>
    <cfRule type="cellIs" dxfId="137" priority="20" operator="equal">
      <formula>"DB"</formula>
    </cfRule>
    <cfRule type="containsText" dxfId="144" priority="21" operator="between" text="$AM">
      <formula>NOT(ISERROR(SEARCH("$AM",C5)))</formula>
    </cfRule>
    <cfRule type="containsText" dxfId="145" priority="22" operator="between" text="$PM">
      <formula>NOT(ISERROR(SEARCH("$PM",C5)))</formula>
    </cfRule>
    <cfRule type="containsText" dxfId="146" priority="23" operator="between" text="$L">
      <formula>NOT(ISERROR(SEARCH("$L",C5)))</formula>
    </cfRule>
    <cfRule type="containsText" dxfId="147" priority="24" operator="between" text="$BTP">
      <formula>NOT(ISERROR(SEARCH("$BTP",C5)))</formula>
    </cfRule>
    <cfRule type="containsText" dxfId="148" priority="25" operator="between" text="$M">
      <formula>NOT(ISERROR(SEARCH("$M",C5)))</formula>
    </cfRule>
    <cfRule type="containsText" dxfId="149" priority="26" operator="between" text="$N">
      <formula>NOT(ISERROR(SEARCH("$N",C5)))</formula>
    </cfRule>
    <cfRule type="containsText" dxfId="150" priority="27" operator="between" text="$FC">
      <formula>NOT(ISERROR(SEARCH("$FC",C5)))</formula>
    </cfRule>
    <cfRule type="containsText" dxfId="151" priority="28" operator="between" text="OAL">
      <formula>NOT(ISERROR(SEARCH("OAL",C5)))</formula>
    </cfRule>
    <cfRule type="containsText" dxfId="152" priority="29" operator="between" text="S+">
      <formula>NOT(ISERROR(SEARCH("S+",C5)))</formula>
    </cfRule>
    <cfRule type="containsText" dxfId="153" priority="30" operator="between" text="EX-D">
      <formula>NOT(ISERROR(SEARCH("EX-D",C5)))</formula>
    </cfRule>
  </conditionalFormatting>
  <conditionalFormatting sqref="C5:C10 E5:E6 G5:G8 H5:H9 I5:I10 J5:J11 K5 M5:O6 P5:P9 Q5:Q11 R5:R6 S5:S8 T5:U6 V5:V8 W5:W11 X5:X9 Y5:Y8 Z5:AC5 AD5:AD11 AF5 AG5:AG6 AH5:AH12 D6 F6:F10 L6 AE6:AE14 AB7 AC7:AC8 D8:D10 E8:E9 L8:L9 T8:T12 U8 AF8:AF11 AG8:AG14 K9:K13 M9:M11 AB9:AB13 G10:G16 O10 R10:R11 S10 V10:V13 Z10:Z12 AA10:AA11 AC10 E11:E13 H11 L11:L13 P11 U11:U14 X11:X17 Y11:Y12 C12:C23 F12:F13 N12:O12 D13:D16 H13:H17 I13:J16 M13:M16 P13:P16 Q13:Q17 S13:S14 W13:W19 AA13:AA16 AC13:AD13 AF13:AF17 N14:N16 O14:O17 R14 T14 Y14:Y17 Z14 E15:E16 F15:F17 L15:L17 AB15:AB16 K16 R16:R17 S16:S19 T16:T17 U16:U21 V16 Z16 AC16:AC17 AD16:AE19 AG16:AH17 E18:E21 G18:G28 I18:I29 M18:N18 V18:V19 Z18:Z19 AA18:AB18 D19:D20 F19:F22 H19:H21 J19 O19:O20 P19:P27 Q19:Q22 R19:R24 T19:T24 X19 Y19:Y21 AC19:AC27 AF19:AF20 AG19 N20:N22 AB20:AB22 K21:K22 L21:L24 V21 W21:X22 AA21:AA22 AG21:AG23 AH21:AH22 J22:J27 M22:M24 O22:O28 S22 Z22:Z24 AD22 AE22:AE26 AF22 D23 E23:E26 H23:H31 K24:K26 Q24:Q25 U24:V25 W24:W26 X24:X25 C25:D26 F25:F29 N25:N26 Y25 AA25:AA27 AB25 AD25 AF25:AG26 AH25 L26 M26:M29 R26 S26:S29 T26:T27 Z26 Q27 U27 Y27 AD27:AD28 D28 E28:E29 K28 Z28:Z31 AB28 C29 J29:J30 L29 N29 P29:R29 T29:Y29 AA29 AC29:AC30 D30 K30:K31 E31:F31 L31 M31:M33 S31 V31:V33 W31:X31 AB31 AH31 D32:D33 G32:G33 N32 O32:O33 Y32 AA32 C33 E33:F33 I33:I34 K33:K34 AC33:AC35 J34 N34 T34 W34:X36 E35:G35 H35:H36 L35:L36 M35:M37 P35 R35 V35 Z35 AB35 I36:J36 O36:O38 Y36 E37:E39 F37:G38 N37 U37 Z37 AB37 D38 H38:J38 K38:K39 R38 V38:V39 C39 L39:M39 W39:X39 AA39 R40">
    <cfRule type="expression" dxfId="136" priority="31">
      <formula>WEEKDAY(#REF!,2)&gt;5</formula>
    </cfRule>
  </conditionalFormatting>
  <conditionalFormatting sqref="G5 W6:X7 W9:W11 X9 S10 Z10:Z11 AA10 V11 X11:Y11 AB11 C13 S13 U13:V13 AA13:AC13 AE13:AG13 T14 W14:Y14 AA15 V18 AB20 Z22 T24:T25 Z24 AE24 AD25 W26 AE26 S28 Z28 AH31 H35">
    <cfRule type="expression" dxfId="136" priority="32">
      <formula>WEEKDAY(I$3,2)&gt;5</formula>
    </cfRule>
  </conditionalFormatting>
  <conditionalFormatting sqref="G5 C9 C13 C19:C20 E19 J19 S19 Z19 AC19:AE19 AG19 C33:G33 H35">
    <cfRule type="expression" dxfId="136" priority="34">
      <formula>WEEKDAY(I$3,2)&gt;5</formula>
    </cfRule>
  </conditionalFormatting>
  <conditionalFormatting sqref="C5:C10 E5:E6 G5:G16 H5:H9 I5:I10 J5:J16 K5:K6 M5:M7 N5:O6 P5:P9 Q5:Q17 R5:R6 S5:S14 T5:T6 U5:U8 V5:V14 W5:X22 Y5:Y24 Z5:AC39 AD5:AE29 AF5:AF28 AG5:AG6 AH5:AH25 D6 F6:F10 L6:L9 D8:D10 E8 K8:K13 T8:T17 AG8:AG23 M9:M16 O10:O24 R10:R17 E11:E13 H11 L11:L13 P11:P17 U11:U21 C12:C23 F12:F13 I12:I16 N12:N26 D13:D17 H13:H21 E15:E21 F15:F17 K15:K16 L15:L17 S16:S31 V16 G18:G28 I18:I29 J18:J20 K18:K24 M18:M19 V18:V21 D19:D26 F19:F22 P19:P23 Q19:Q22 R19:R24 T19:T31 L20:L24 J22:J23 M22:M29 H23:H31 U23:U25 V23:V24 E24:E26 Q24 W24:X24 F25:F29 J25:J27 AG25:AG28 C26 K26:L26 O26:Q29 R26:R27 V26:X26 Y26:Y39 U27:U30 D28 E28:E29 K28 V28:V33 W28:W31 X28:X29 C29 J29:J30 L29 N29 R29 D30 K30:K31 E31:F31 L31 M31:M33 N31:N32 Q31:R31 X31 AD31:AF32 AG31:AH31 D32:D33 G32:G33 O32:O34 C33 E33:F33 I33:I34 K33:K35 S33 J34 N34:N35 T34 W34:X36 AG34 E35:G35 H35:H36 L35:L36 M35:M37 P35 R35 V35 I36:J36 O36:O38 E37:E39 F37:G38 K37:K39 N37 U37:U38 V37:V39 D38 H38:I38 J38:J39 R38 C39 L39:M39 W39:X39 R40 U40:U43">
    <cfRule type="cellIs" dxfId="137" priority="35" operator="equal">
      <formula>"B"</formula>
    </cfRule>
    <cfRule type="cellIs" dxfId="137" priority="36" operator="equal">
      <formula>"AL"</formula>
    </cfRule>
    <cfRule type="cellIs" dxfId="138" priority="37" operator="equal">
      <formula>"DM"</formula>
    </cfRule>
    <cfRule type="cellIs" dxfId="139" priority="38" operator="equal">
      <formula>"CS1"</formula>
    </cfRule>
    <cfRule type="cellIs" dxfId="140" priority="39" operator="equal">
      <formula>"CS2"</formula>
    </cfRule>
    <cfRule type="cellIs" dxfId="141" priority="40" operator="equal">
      <formula>"SB1"</formula>
    </cfRule>
    <cfRule type="cellIs" dxfId="142" priority="41" operator="equal">
      <formula>"SB2"</formula>
    </cfRule>
    <cfRule type="cellIs" dxfId="143" priority="42" operator="equal">
      <formula>"AE"</formula>
    </cfRule>
    <cfRule type="cellIs" dxfId="137" priority="44" operator="equal">
      <formula>"DB"</formula>
    </cfRule>
    <cfRule type="containsText" dxfId="144" priority="45" operator="between" text="$AM">
      <formula>NOT(ISERROR(SEARCH("$AM",C5)))</formula>
    </cfRule>
    <cfRule type="containsText" dxfId="145" priority="46" operator="between" text="$PM">
      <formula>NOT(ISERROR(SEARCH("$PM",C5)))</formula>
    </cfRule>
    <cfRule type="containsText" dxfId="146" priority="47" operator="between" text="$L">
      <formula>NOT(ISERROR(SEARCH("$L",C5)))</formula>
    </cfRule>
    <cfRule type="containsText" dxfId="147" priority="48" operator="between" text="$BTP">
      <formula>NOT(ISERROR(SEARCH("$BTP",C5)))</formula>
    </cfRule>
    <cfRule type="containsText" dxfId="148" priority="49" operator="between" text="$M">
      <formula>NOT(ISERROR(SEARCH("$M",C5)))</formula>
    </cfRule>
    <cfRule type="containsText" dxfId="149" priority="50" operator="between" text="$N">
      <formula>NOT(ISERROR(SEARCH("$N",C5)))</formula>
    </cfRule>
    <cfRule type="containsText" dxfId="150" priority="51" operator="between" text="$FC">
      <formula>NOT(ISERROR(SEARCH("$FC",C5)))</formula>
    </cfRule>
    <cfRule type="containsText" dxfId="151" priority="52" operator="between" text="OAL">
      <formula>NOT(ISERROR(SEARCH("OAL",C5)))</formula>
    </cfRule>
    <cfRule type="containsText" dxfId="152" priority="53" operator="between" text="S+">
      <formula>NOT(ISERROR(SEARCH("S+",C5)))</formula>
    </cfRule>
    <cfRule type="containsText" dxfId="153" priority="54" operator="between" text="EX-D">
      <formula>NOT(ISERROR(SEARCH("EX-D",C5)))</formula>
    </cfRule>
    <cfRule type="expression" dxfId="136" priority="55">
      <formula>WEEKDAY(#REF!,2)&gt;5</formula>
    </cfRule>
  </conditionalFormatting>
  <conditionalFormatting sqref="C5:AH52">
    <cfRule type="containsText" dxfId="1388" priority="43" operator="between" text="CS/B">
      <formula>NOT(ISERROR(SEARCH("CS/B",C5)))</formula>
    </cfRule>
  </conditionalFormatting>
  <conditionalFormatting sqref="BQ5:BR43">
    <cfRule type="cellIs" dxfId="155" priority="64" operator="lessThan">
      <formula>1</formula>
    </cfRule>
  </conditionalFormatting>
  <conditionalFormatting sqref="W6:X7 W9:W11 X9 S10 Z10:Z11 AA10 V11 X11:Y11 AB11 G13 S13 U13:V13 AA13:AC13 AE13:AG13 T14 W14:Y14 AA15 V18 Z18:AB18 AB20 Z22 T24:T25 Z24 AE24 AD25 W26 AE26 S28 Z28 AH31 AC35 U40:U43">
    <cfRule type="expression" dxfId="136" priority="33">
      <formula>WEEKDAY(X$3,2)&gt;5</formula>
    </cfRule>
  </conditionalFormatting>
  <conditionalFormatting sqref="G19 H19:H20 C23 G23 H23:H24 G25 N25 U25 AB25 F29 T29 D30">
    <cfRule type="expression" dxfId="136" priority="8">
      <formula>WEEKDAY(H$3,2)&gt;5</formula>
    </cfRule>
  </conditionalFormatting>
  <dataValidations count="5">
    <dataValidation type="list" allowBlank="1" sqref="B5:C5 G5 J5 R5 AG5:AH5 N6 G13 E20 B21:C21 T35 AG36:AH36 T38 AE38 D39 N39 P39 AD39:AF39 C40:F40 S40:U40 X40:AH40 C41:G41 B6:B12 B14:B20 B22:B27 AH6:AH15 AH17:AH27 AH29:AH35 AH37:AH39 C42:L43 I40:L41 N40:P43 S41:AH43" showDropDown="1">
      <formula1>'Setting key Duty'!$B$7:$B$56</formula1>
    </dataValidation>
    <dataValidation type="list" allowBlank="1" sqref="D5 F5 H5:I5 K5 N5:Q5 S5 U5:AF5 C6:G6 I6:M6 O6:Y6 AA6 AC6:AE6 AG6 C7 F7:J7 L7:Q7 S7 U7:AA7 AD7:AE7 C8:K8 N8:Q8 S8:Y8 AC8:AG8 C9:Q9 S9 U9 W9:X9 AA9 AD9:AG9 C10:D10 F10:G10 O10:Q10 S10:AG10 C11:E11 P11:R11 T11:AG11 C12:AG12 C13:D13 F13 H13:K13 M13:S13 U13:Y13 AA13:AG13 C14:E14 H14:I14 K14:Y14 AA14:AB14 AD14:AG14 C15:D15 H15:R15 T15:AB15 AD15:AF15 C16:AH16 C17:H17 J17:Y17 AA17 AC17:AG17 D18:E18 G18 I18:K18 M18:P18 S18 U18:AF18 C19:K19 M19:AG19 C20:D20 J20:L20 N20:Z20 AB20:AG20 D21 H21:L21 N21:AG21 F22 I22:AG22 G23 I23:J23 L23 N23 P23 R23:U23 W23 Y23:AB23 AF23:AG23 D24:E24 G24:AA24 AC24:AG24 C25:R25 T25:AG25 C26:AB26 AD26:AG26 C27:E27 G27:T27 W27:AF27 C28:K28 M28 O28:Q28 S28:Z28 AB28:AG28 C29:D29 F29:J29 L29:AA29 AC29:AF29 G30:AA30 AC30:AG30 G31:AG31 G32 N32:Q32 S32:AB32 AG32 C33:D33 H33:I33 K33 M33:S33 U33:Z33 AD33:AG33 C34:G34 I34:N34 Q34 S34 U34 W34:Y34 AA34:AB34 AE34:AG34 D35 H35:J35 L35:P35 R35 U35:X35 AA35:AF35 D36:E36 H36 J36:AA36 AD36:AF36 H37:AA37 AF37:AG37 H38:R38 U38:X38 AB38:AD38 AF38 C39 E39 G39:M39 W39:X39 Z39 R40 C22:D23 C30:E32 C37:D38 J10:M11" showDropDown="1">
      <formula1>'Setting key Duty'!$B$7:$B$54</formula1>
    </dataValidation>
    <dataValidation type="custom" allowBlank="1" sqref="F27">
      <formula1>NOT(ISERROR(SEARCH(('Setting key Duty'!$B$7:$B$54),(F27))))</formula1>
    </dataValidation>
    <dataValidation type="custom" allowBlank="1" sqref="P34 V34 AC34:AD34">
      <formula1>NOT(ISERROR(SEARCH((#REF!),(P34))))</formula1>
    </dataValidation>
    <dataValidation type="list" allowBlank="1" sqref="C44:AH51" showDropDown="1">
      <formula1>'Setting key Duty'!$B$7:$B$23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BQ56"/>
  <sheetViews>
    <sheetView showGridLines="0" zoomScale="70" zoomScaleNormal="70" workbookViewId="0">
      <pane xSplit="2" ySplit="4" topLeftCell="C5" activePane="bottomRight" state="frozen"/>
      <selection/>
      <selection pane="topRight"/>
      <selection pane="bottomLeft"/>
      <selection pane="bottomRight" activeCell="D2" sqref="D$1:D$1048576"/>
    </sheetView>
  </sheetViews>
  <sheetFormatPr defaultColWidth="12.6285714285714" defaultRowHeight="15.75" customHeight="1"/>
  <cols>
    <col min="1" max="1" width="2.13333333333333" customWidth="1"/>
    <col min="2" max="3" width="29.752380952381" customWidth="1"/>
    <col min="4" max="12" width="9.24761904761905" customWidth="1"/>
    <col min="13" max="13" width="9.38095238095238" customWidth="1"/>
    <col min="14" max="14" width="10.6285714285714" customWidth="1"/>
    <col min="15" max="15" width="9.24761904761905" customWidth="1"/>
    <col min="16" max="16" width="10" customWidth="1"/>
    <col min="17" max="17" width="10.752380952381" customWidth="1"/>
    <col min="18" max="18" width="10.247619047619" customWidth="1"/>
    <col min="19" max="19" width="9.62857142857143" customWidth="1"/>
    <col min="20" max="20" width="9.13333333333333" customWidth="1"/>
    <col min="21" max="27" width="9.24761904761905" customWidth="1"/>
    <col min="28" max="28" width="10.5047619047619" customWidth="1"/>
    <col min="29" max="29" width="10.3809523809524" customWidth="1"/>
    <col min="30" max="31" width="9.24761904761905" customWidth="1"/>
    <col min="32" max="32" width="10.5047619047619" customWidth="1"/>
    <col min="33" max="33" width="9.38095238095238" customWidth="1"/>
    <col min="34" max="40" width="9.38095238095238" hidden="1" customWidth="1" outlineLevel="1"/>
    <col min="41" max="41" width="12" hidden="1" customWidth="1" outlineLevel="1"/>
    <col min="42" max="42" width="9.38095238095238" hidden="1" customWidth="1" outlineLevel="1"/>
    <col min="43" max="43" width="6.75238095238095" customWidth="1" collapsed="1"/>
    <col min="44" max="44" width="6.75238095238095" customWidth="1"/>
    <col min="45" max="45" width="8.87619047619048" customWidth="1" outlineLevel="1"/>
    <col min="46" max="47" width="7.87619047619048" customWidth="1" outlineLevel="1"/>
    <col min="48" max="48" width="9.13333333333333" customWidth="1" outlineLevel="1"/>
    <col min="49" max="49" width="8.24761904761905" customWidth="1" outlineLevel="1"/>
    <col min="50" max="50" width="5.5047619047619" customWidth="1" outlineLevel="1"/>
    <col min="51" max="53" width="9.38095238095238" customWidth="1"/>
    <col min="54" max="54" width="9.38095238095238" hidden="1" customWidth="1"/>
    <col min="55" max="65" width="9.38095238095238" hidden="1" customWidth="1" outlineLevel="1"/>
    <col min="66" max="66" width="9.38095238095238" customWidth="1" collapsed="1"/>
    <col min="67" max="67" width="9.5047619047619" customWidth="1"/>
    <col min="68" max="69" width="9.38095238095238" customWidth="1"/>
  </cols>
  <sheetData>
    <row r="1" ht="3" customHeight="1" spans="1:69">
      <c r="A1" s="162"/>
      <c r="B1" s="163" t="s">
        <v>0</v>
      </c>
      <c r="C1" s="163"/>
      <c r="D1" s="164" t="str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>
  Enter DM for DM, CS1 for CS1, CS2 for CS2, and SB1 for SB1. Use the 'Setting key' tab to customise. Change Date on highlighted cell
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  <c r="BE1" s="166"/>
      <c r="BF1" s="166"/>
      <c r="BG1" s="166"/>
      <c r="BH1" s="166"/>
      <c r="BI1" s="166"/>
      <c r="BJ1" s="166"/>
      <c r="BK1" s="166"/>
      <c r="BL1" s="166"/>
      <c r="BM1" s="166"/>
      <c r="BN1" s="166"/>
      <c r="BO1" s="166"/>
      <c r="BP1" s="166"/>
      <c r="BQ1" s="166"/>
    </row>
    <row r="2" ht="26.25" customHeight="1" spans="1:69">
      <c r="A2" s="51"/>
      <c r="B2" s="52" t="s">
        <v>1</v>
      </c>
      <c r="C2" s="52"/>
      <c r="D2" s="167"/>
      <c r="E2" s="167"/>
      <c r="F2" s="167" t="s">
        <v>374</v>
      </c>
      <c r="G2" s="167"/>
      <c r="H2" s="167"/>
      <c r="I2" s="167" t="s">
        <v>701</v>
      </c>
      <c r="J2" s="167" t="s">
        <v>701</v>
      </c>
      <c r="K2" s="167" t="s">
        <v>701</v>
      </c>
      <c r="L2" s="167" t="s">
        <v>416</v>
      </c>
      <c r="M2" s="167"/>
      <c r="N2" s="167" t="s">
        <v>702</v>
      </c>
      <c r="O2" s="167"/>
      <c r="P2" s="167" t="s">
        <v>703</v>
      </c>
      <c r="Q2" s="167"/>
      <c r="R2" s="167"/>
      <c r="S2" s="167" t="s">
        <v>704</v>
      </c>
      <c r="T2" s="167" t="s">
        <v>705</v>
      </c>
      <c r="U2" s="168"/>
      <c r="V2" s="167"/>
      <c r="W2" s="169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170"/>
      <c r="AZ2" s="170"/>
      <c r="BA2" s="170"/>
      <c r="BB2" s="170"/>
      <c r="BC2" s="170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170"/>
      <c r="BO2" s="170"/>
      <c r="BP2" s="170"/>
      <c r="BQ2" s="170"/>
    </row>
    <row r="3" ht="26.25" customHeight="1" spans="1:69">
      <c r="A3" s="51"/>
      <c r="B3" s="52" t="s">
        <v>21</v>
      </c>
      <c r="C3" s="52"/>
      <c r="D3" s="171">
        <v>46113</v>
      </c>
      <c r="E3" s="172">
        <f t="shared" ref="E3:AG3" si="0">D3+1</f>
        <v>46114</v>
      </c>
      <c r="F3" s="172">
        <f t="shared" si="0"/>
        <v>46115</v>
      </c>
      <c r="G3" s="172">
        <f t="shared" si="0"/>
        <v>46116</v>
      </c>
      <c r="H3" s="172">
        <f t="shared" si="0"/>
        <v>46117</v>
      </c>
      <c r="I3" s="172">
        <f t="shared" si="0"/>
        <v>46118</v>
      </c>
      <c r="J3" s="172">
        <f t="shared" si="0"/>
        <v>46119</v>
      </c>
      <c r="K3" s="172">
        <f t="shared" si="0"/>
        <v>46120</v>
      </c>
      <c r="L3" s="172">
        <f t="shared" si="0"/>
        <v>46121</v>
      </c>
      <c r="M3" s="172">
        <f t="shared" si="0"/>
        <v>46122</v>
      </c>
      <c r="N3" s="172">
        <f t="shared" si="0"/>
        <v>46123</v>
      </c>
      <c r="O3" s="172">
        <f t="shared" si="0"/>
        <v>46124</v>
      </c>
      <c r="P3" s="172">
        <f t="shared" si="0"/>
        <v>46125</v>
      </c>
      <c r="Q3" s="172">
        <f t="shared" si="0"/>
        <v>46126</v>
      </c>
      <c r="R3" s="172">
        <f t="shared" si="0"/>
        <v>46127</v>
      </c>
      <c r="S3" s="172">
        <f t="shared" si="0"/>
        <v>46128</v>
      </c>
      <c r="T3" s="172">
        <f t="shared" si="0"/>
        <v>46129</v>
      </c>
      <c r="U3" s="173">
        <f t="shared" si="0"/>
        <v>46130</v>
      </c>
      <c r="V3" s="172">
        <f t="shared" si="0"/>
        <v>46131</v>
      </c>
      <c r="W3" s="174">
        <f t="shared" si="0"/>
        <v>46132</v>
      </c>
      <c r="X3" s="172">
        <f t="shared" si="0"/>
        <v>46133</v>
      </c>
      <c r="Y3" s="172">
        <f t="shared" si="0"/>
        <v>46134</v>
      </c>
      <c r="Z3" s="172">
        <f t="shared" si="0"/>
        <v>46135</v>
      </c>
      <c r="AA3" s="172">
        <f t="shared" si="0"/>
        <v>46136</v>
      </c>
      <c r="AB3" s="172">
        <f t="shared" si="0"/>
        <v>46137</v>
      </c>
      <c r="AC3" s="172">
        <f t="shared" si="0"/>
        <v>46138</v>
      </c>
      <c r="AD3" s="172">
        <f t="shared" si="0"/>
        <v>46139</v>
      </c>
      <c r="AE3" s="172">
        <f t="shared" si="0"/>
        <v>46140</v>
      </c>
      <c r="AF3" s="172">
        <f t="shared" si="0"/>
        <v>46141</v>
      </c>
      <c r="AG3" s="172">
        <f t="shared" si="0"/>
        <v>46142</v>
      </c>
      <c r="AH3" s="170" t="str">
        <f>'Setting key Duty'!$C7</f>
        <v>DM</v>
      </c>
      <c r="AI3" s="170" t="str">
        <f>'Setting key Duty'!$C8</f>
        <v>CS1</v>
      </c>
      <c r="AJ3" s="170" t="str">
        <f>'Setting key Duty'!$C9</f>
        <v>CS2</v>
      </c>
      <c r="AK3" s="170" t="str">
        <f>'Setting key Duty'!$C10</f>
        <v>CS/B</v>
      </c>
      <c r="AL3" s="170" t="str">
        <f>'Setting key Duty'!$C11</f>
        <v>SB1</v>
      </c>
      <c r="AM3" s="170" t="str">
        <f>'Setting key Duty'!$C12</f>
        <v>SB2</v>
      </c>
      <c r="AN3" s="170" t="str">
        <f>'Setting key Duty'!$C13</f>
        <v>AE</v>
      </c>
      <c r="AO3" s="170" t="str">
        <f>'Setting key Duty'!$C16</f>
        <v>Outfield Reserve</v>
      </c>
      <c r="AP3" s="170" t="str">
        <f>'Setting key Duty'!C14</f>
        <v>EM</v>
      </c>
      <c r="AQ3" s="175" t="s">
        <v>559</v>
      </c>
      <c r="AR3" s="175" t="s">
        <v>560</v>
      </c>
      <c r="AS3" s="170" t="s">
        <v>22</v>
      </c>
      <c r="AT3" s="170" t="s">
        <v>23</v>
      </c>
      <c r="AU3" s="170" t="s">
        <v>561</v>
      </c>
      <c r="AV3" s="170" t="s">
        <v>24</v>
      </c>
      <c r="AW3" s="170" t="s">
        <v>25</v>
      </c>
      <c r="AX3" s="170" t="s">
        <v>26</v>
      </c>
      <c r="AY3" s="170" t="s">
        <v>27</v>
      </c>
      <c r="AZ3" s="170" t="s">
        <v>28</v>
      </c>
      <c r="BA3" s="176" t="s">
        <v>29</v>
      </c>
      <c r="BB3" s="176"/>
      <c r="BC3" s="170" t="s">
        <v>30</v>
      </c>
      <c r="BD3" s="170" t="s">
        <v>32</v>
      </c>
      <c r="BE3" s="170" t="s">
        <v>33</v>
      </c>
      <c r="BF3" s="170" t="s">
        <v>36</v>
      </c>
      <c r="BG3" s="170" t="s">
        <v>37</v>
      </c>
      <c r="BH3" s="170" t="s">
        <v>39</v>
      </c>
      <c r="BI3" s="170" t="s">
        <v>40</v>
      </c>
      <c r="BJ3" s="170" t="s">
        <v>41</v>
      </c>
      <c r="BK3" s="170" t="s">
        <v>42</v>
      </c>
      <c r="BL3" s="170" t="str">
        <f>'Setting key Duty'!C52</f>
        <v>Field Camp</v>
      </c>
      <c r="BM3" s="170" t="s">
        <v>43</v>
      </c>
      <c r="BN3" s="170" t="str">
        <f>'Setting key Duty'!$C15</f>
        <v>Block</v>
      </c>
      <c r="BO3" s="170" t="str">
        <f>'Setting key Duty'!C17</f>
        <v>Reserve</v>
      </c>
      <c r="BP3" s="170" t="str">
        <f>'Setting key Duty'!$C22</f>
        <v>AL</v>
      </c>
      <c r="BQ3" s="170"/>
    </row>
    <row r="4" ht="18" customHeight="1" spans="1:69">
      <c r="A4" s="177"/>
      <c r="B4" s="178" t="s">
        <v>156</v>
      </c>
      <c r="C4" s="178"/>
      <c r="D4" s="179" t="str">
        <f t="shared" ref="D4:AG4" si="1">TEXT(D3,"ddd")</f>
        <v>Wed</v>
      </c>
      <c r="E4" s="180" t="str">
        <f t="shared" si="1"/>
        <v>Thu</v>
      </c>
      <c r="F4" s="180" t="str">
        <f t="shared" si="1"/>
        <v>Fri</v>
      </c>
      <c r="G4" s="180" t="str">
        <f t="shared" si="1"/>
        <v>Sat</v>
      </c>
      <c r="H4" s="180" t="str">
        <f t="shared" si="1"/>
        <v>Sun</v>
      </c>
      <c r="I4" s="180" t="str">
        <f t="shared" si="1"/>
        <v>Mon</v>
      </c>
      <c r="J4" s="180" t="str">
        <f t="shared" si="1"/>
        <v>Tue</v>
      </c>
      <c r="K4" s="180" t="str">
        <f t="shared" si="1"/>
        <v>Wed</v>
      </c>
      <c r="L4" s="180" t="str">
        <f t="shared" si="1"/>
        <v>Thu</v>
      </c>
      <c r="M4" s="180" t="str">
        <f t="shared" si="1"/>
        <v>Fri</v>
      </c>
      <c r="N4" s="180" t="str">
        <f t="shared" si="1"/>
        <v>Sat</v>
      </c>
      <c r="O4" s="180" t="str">
        <f t="shared" si="1"/>
        <v>Sun</v>
      </c>
      <c r="P4" s="180" t="str">
        <f t="shared" si="1"/>
        <v>Mon</v>
      </c>
      <c r="Q4" s="180" t="str">
        <f t="shared" si="1"/>
        <v>Tue</v>
      </c>
      <c r="R4" s="180" t="str">
        <f t="shared" si="1"/>
        <v>Wed</v>
      </c>
      <c r="S4" s="180" t="str">
        <f t="shared" si="1"/>
        <v>Thu</v>
      </c>
      <c r="T4" s="180" t="str">
        <f t="shared" si="1"/>
        <v>Fri</v>
      </c>
      <c r="U4" s="179" t="str">
        <f t="shared" si="1"/>
        <v>Sat</v>
      </c>
      <c r="V4" s="180" t="str">
        <f t="shared" si="1"/>
        <v>Sun</v>
      </c>
      <c r="W4" s="181" t="str">
        <f t="shared" si="1"/>
        <v>Mon</v>
      </c>
      <c r="X4" s="180" t="str">
        <f t="shared" si="1"/>
        <v>Tue</v>
      </c>
      <c r="Y4" s="180" t="str">
        <f t="shared" si="1"/>
        <v>Wed</v>
      </c>
      <c r="Z4" s="180" t="str">
        <f t="shared" si="1"/>
        <v>Thu</v>
      </c>
      <c r="AA4" s="180" t="str">
        <f t="shared" si="1"/>
        <v>Fri</v>
      </c>
      <c r="AB4" s="180" t="str">
        <f t="shared" si="1"/>
        <v>Sat</v>
      </c>
      <c r="AC4" s="180" t="str">
        <f t="shared" si="1"/>
        <v>Sun</v>
      </c>
      <c r="AD4" s="180" t="str">
        <f t="shared" si="1"/>
        <v>Mon</v>
      </c>
      <c r="AE4" s="180" t="str">
        <f t="shared" si="1"/>
        <v>Tue</v>
      </c>
      <c r="AF4" s="180" t="str">
        <f t="shared" si="1"/>
        <v>Wed</v>
      </c>
      <c r="AG4" s="180" t="str">
        <f t="shared" si="1"/>
        <v>Thu</v>
      </c>
      <c r="AH4" s="182" t="str">
        <f>'Setting key Duty'!$B7</f>
        <v>DM</v>
      </c>
      <c r="AI4" s="182" t="str">
        <f>'Setting key Duty'!$B8</f>
        <v>CS1</v>
      </c>
      <c r="AJ4" s="182" t="str">
        <f>'Setting key Duty'!$B9</f>
        <v>CS2</v>
      </c>
      <c r="AK4" s="182" t="str">
        <f>'Setting key Duty'!$B10</f>
        <v>CS/B</v>
      </c>
      <c r="AL4" s="182" t="str">
        <f>'Setting key Duty'!$B11</f>
        <v>SB1</v>
      </c>
      <c r="AM4" s="182" t="str">
        <f>'Setting key Duty'!$B12</f>
        <v>SB2</v>
      </c>
      <c r="AN4" s="182" t="str">
        <f>'Setting key Duty'!$B13</f>
        <v>AE</v>
      </c>
      <c r="AO4" s="182" t="str">
        <f>'Setting key Duty'!$B16</f>
        <v>Outfield Reserve</v>
      </c>
      <c r="AP4" s="182" t="str">
        <f>'Setting key Duty'!B14</f>
        <v>EM</v>
      </c>
      <c r="AQ4" s="72"/>
      <c r="AR4" s="72"/>
      <c r="AS4" s="182"/>
      <c r="AT4" s="182"/>
      <c r="AU4" s="182"/>
      <c r="AV4" s="182"/>
      <c r="AW4" s="182"/>
      <c r="AX4" s="182"/>
      <c r="AY4" s="182"/>
      <c r="AZ4" s="182"/>
      <c r="BA4" s="183"/>
      <c r="BB4" s="183"/>
      <c r="BC4" s="182"/>
      <c r="BD4" s="182" t="s">
        <v>46</v>
      </c>
      <c r="BE4" s="182"/>
      <c r="BF4" s="182" t="s">
        <v>48</v>
      </c>
      <c r="BG4" s="182"/>
      <c r="BH4" s="182" t="s">
        <v>50</v>
      </c>
      <c r="BI4" s="182"/>
      <c r="BJ4" s="182" t="s">
        <v>51</v>
      </c>
      <c r="BK4" s="182"/>
      <c r="BL4" s="182" t="str">
        <f>'Setting key Duty'!B52</f>
        <v>$FC</v>
      </c>
      <c r="BM4" s="182"/>
      <c r="BN4" s="182">
        <f>'Setting key Duty'!$B15</f>
        <v>0</v>
      </c>
      <c r="BO4" s="182" t="str">
        <f>'Setting key Duty'!B17</f>
        <v>RESERVE</v>
      </c>
      <c r="BP4" s="182" t="str">
        <f>'Setting key Duty'!$B22</f>
        <v>AL</v>
      </c>
      <c r="BQ4" s="182"/>
    </row>
    <row r="5" ht="41.25" customHeight="1" spans="1:69">
      <c r="A5" s="184"/>
      <c r="B5" s="185" t="s">
        <v>562</v>
      </c>
      <c r="C5" s="186"/>
      <c r="D5" s="53"/>
      <c r="E5" s="53"/>
      <c r="F5" s="53"/>
      <c r="G5" s="53" t="s">
        <v>706</v>
      </c>
      <c r="H5" s="53" t="s">
        <v>57</v>
      </c>
      <c r="I5" s="53"/>
      <c r="J5" s="53"/>
      <c r="K5" s="53"/>
      <c r="L5" s="53" t="s">
        <v>707</v>
      </c>
      <c r="M5" s="53" t="s">
        <v>96</v>
      </c>
      <c r="N5" s="53"/>
      <c r="O5" s="53"/>
      <c r="P5" s="53" t="s">
        <v>380</v>
      </c>
      <c r="Q5" s="53" t="s">
        <v>380</v>
      </c>
      <c r="R5" s="53"/>
      <c r="S5" s="187" t="s">
        <v>57</v>
      </c>
      <c r="T5" s="53" t="s">
        <v>162</v>
      </c>
      <c r="U5" s="53"/>
      <c r="V5" s="53"/>
      <c r="W5" s="53"/>
      <c r="X5" s="53"/>
      <c r="Y5" s="53" t="s">
        <v>57</v>
      </c>
      <c r="Z5" s="53"/>
      <c r="AA5" s="53"/>
      <c r="AB5" s="53"/>
      <c r="AC5" s="53"/>
      <c r="AD5" s="53"/>
      <c r="AE5" s="53"/>
      <c r="AF5" s="53"/>
      <c r="AG5" s="53"/>
      <c r="AH5" s="188">
        <f t="shared" ref="AH5:AP5" si="2">COUNTIF($D5:$AG5,AH$4)</f>
        <v>3</v>
      </c>
      <c r="AI5" s="188">
        <f t="shared" si="2"/>
        <v>0</v>
      </c>
      <c r="AJ5" s="188">
        <f t="shared" si="2"/>
        <v>0</v>
      </c>
      <c r="AK5" s="188">
        <f t="shared" si="2"/>
        <v>0</v>
      </c>
      <c r="AL5" s="188">
        <f t="shared" si="2"/>
        <v>0</v>
      </c>
      <c r="AM5" s="188">
        <f t="shared" si="2"/>
        <v>0</v>
      </c>
      <c r="AN5" s="188">
        <f t="shared" si="2"/>
        <v>0</v>
      </c>
      <c r="AO5" s="188">
        <f t="shared" si="2"/>
        <v>0</v>
      </c>
      <c r="AP5" s="188">
        <f t="shared" si="2"/>
        <v>0</v>
      </c>
      <c r="AQ5" s="189"/>
      <c r="AR5" s="189"/>
      <c r="AS5" s="190">
        <f>SUMPRODUCT(--(WEEKDAY(D$3:AG$3,2)&lt;5),--ISNUMBER(MATCH(D5:AG5,{"DM","CS1","CS2","SB1","AE","CS/B"},0)))</f>
        <v>2</v>
      </c>
      <c r="AT5" s="190"/>
      <c r="AU5" s="190">
        <f>SUMPRODUCT(--(WEEKDAY(D$3:AG$3,2)=5),--ISNUMBER(MATCH(D5:AG5,{"DM","CS1","CS2","SB1","AE","CS/B","WEEKEND OUTFIELD RESERVE"},0)))</f>
        <v>0</v>
      </c>
      <c r="AV5" s="190">
        <f>SUMPRODUCT(--(WEEKDAY(D$3:AG$3,2)&gt;5),--ISNUMBER(MATCH(D5:AG5,{"DM","CS1","CS2","SB1","AE","CS/B","WEEKEND OUTFIELD RESERVE"},0)))</f>
        <v>1</v>
      </c>
      <c r="AW5" s="190"/>
      <c r="AX5" s="190">
        <f t="shared" ref="AX5:AX42" si="3">(AS5-AT5)+AU5*1.5+(AV5-AW5)*2+AM5*0.5+AO5*0.5+AQ5-AR5</f>
        <v>4</v>
      </c>
      <c r="AY5" s="190">
        <f t="shared" ref="AY5:AY42" si="4">AS5+AU5+AV5</f>
        <v>3</v>
      </c>
      <c r="AZ5" s="190">
        <f t="shared" ref="AZ5:AZ15" si="5">BD5+BF5+BH5+BJ5+BL5</f>
        <v>0</v>
      </c>
      <c r="BA5" s="189">
        <f t="shared" ref="BA5:BA42" si="6">AX5+BC5</f>
        <v>4</v>
      </c>
      <c r="BB5" s="189"/>
      <c r="BC5" s="190">
        <f t="shared" ref="BC5:BC42" si="7">BE5+BG5+BI5+BK5+BM5</f>
        <v>0</v>
      </c>
      <c r="BD5" s="190">
        <f t="shared" ref="BD5:BD42" si="8">COUNTIF(A5:AH5,"*$BTP*")</f>
        <v>0</v>
      </c>
      <c r="BE5" s="190">
        <f t="shared" ref="BE5:BE42" si="9">BD5*1.5</f>
        <v>0</v>
      </c>
      <c r="BF5" s="190">
        <f t="shared" ref="BF5:BF42" si="10">COUNTIF(A5:AH5,"*$M*")</f>
        <v>0</v>
      </c>
      <c r="BG5" s="190">
        <f t="shared" ref="BG5:BG42" si="11">BF5*1</f>
        <v>0</v>
      </c>
      <c r="BH5" s="190">
        <f t="shared" ref="BH5:BH42" si="12">COUNTIF(A5:AH5,"*$PM*")</f>
        <v>0</v>
      </c>
      <c r="BI5" s="190">
        <f t="shared" ref="BI5:BI42" si="13">BH5*0.5</f>
        <v>0</v>
      </c>
      <c r="BJ5" s="190">
        <f t="shared" ref="BJ5:BJ42" si="14">COUNTIF(A5:AH5,"*$AM*")</f>
        <v>0</v>
      </c>
      <c r="BK5" s="190">
        <f t="shared" ref="BK5:BK42" si="15">BJ5*0.5</f>
        <v>0</v>
      </c>
      <c r="BL5" s="190">
        <f t="shared" ref="BL5:BL42" si="16">COUNTIF(A5:AH5,"*$FC*")</f>
        <v>0</v>
      </c>
      <c r="BM5" s="190">
        <f t="shared" ref="BM5:BM42" si="17">BL5*1</f>
        <v>0</v>
      </c>
      <c r="BN5" s="190">
        <f>COUNTIF($E5:$AB5,BN$4)</f>
        <v>0</v>
      </c>
      <c r="BO5" s="190">
        <f>COUNTIF($E5:$AB5,BO$4)</f>
        <v>0</v>
      </c>
      <c r="BP5" s="190">
        <f>COUNTIF($E5:$AB5,BP$4)</f>
        <v>0</v>
      </c>
      <c r="BQ5" s="190"/>
    </row>
    <row r="6" ht="36" customHeight="1" spans="1:69">
      <c r="A6" s="184"/>
      <c r="B6" s="191" t="s">
        <v>565</v>
      </c>
      <c r="C6" s="186"/>
      <c r="D6" s="75"/>
      <c r="E6" s="75" t="s">
        <v>57</v>
      </c>
      <c r="F6" s="53"/>
      <c r="G6" s="53"/>
      <c r="H6" s="53"/>
      <c r="I6" s="53" t="s">
        <v>350</v>
      </c>
      <c r="J6" s="53"/>
      <c r="K6" s="53"/>
      <c r="L6" s="53" t="s">
        <v>57</v>
      </c>
      <c r="M6" s="53"/>
      <c r="N6" s="187" t="s">
        <v>56</v>
      </c>
      <c r="O6" s="53"/>
      <c r="P6" s="53"/>
      <c r="Q6" s="53" t="s">
        <v>708</v>
      </c>
      <c r="R6" s="53"/>
      <c r="S6" s="53"/>
      <c r="T6" s="53"/>
      <c r="U6" s="53"/>
      <c r="V6" s="53"/>
      <c r="W6" s="53" t="s">
        <v>709</v>
      </c>
      <c r="X6" s="53" t="s">
        <v>93</v>
      </c>
      <c r="Y6" s="53"/>
      <c r="Z6" s="53" t="s">
        <v>56</v>
      </c>
      <c r="AA6" s="53"/>
      <c r="AB6" s="53"/>
      <c r="AC6" s="53"/>
      <c r="AD6" s="53" t="s">
        <v>93</v>
      </c>
      <c r="AE6" s="53"/>
      <c r="AF6" s="53"/>
      <c r="AG6" s="53"/>
      <c r="AH6" s="188">
        <f t="shared" ref="AH6:AP6" si="18">COUNTIF($D6:$AG6,AH$4)</f>
        <v>2</v>
      </c>
      <c r="AI6" s="188">
        <f t="shared" si="18"/>
        <v>2</v>
      </c>
      <c r="AJ6" s="188">
        <f t="shared" si="18"/>
        <v>0</v>
      </c>
      <c r="AK6" s="188">
        <f t="shared" si="18"/>
        <v>0</v>
      </c>
      <c r="AL6" s="188">
        <f t="shared" si="18"/>
        <v>0</v>
      </c>
      <c r="AM6" s="188">
        <f t="shared" si="18"/>
        <v>2</v>
      </c>
      <c r="AN6" s="188">
        <f t="shared" si="18"/>
        <v>0</v>
      </c>
      <c r="AO6" s="188">
        <f t="shared" si="18"/>
        <v>0</v>
      </c>
      <c r="AP6" s="188">
        <f t="shared" si="18"/>
        <v>0</v>
      </c>
      <c r="AQ6" s="189">
        <v>1</v>
      </c>
      <c r="AR6" s="189"/>
      <c r="AS6" s="190">
        <f>SUMPRODUCT(--(WEEKDAY(D$3:AG$3,2)&lt;5),--ISNUMBER(MATCH(D6:AG6,{"DM","CS1","CS2","SB1","AE","CS/B"},0)))</f>
        <v>3</v>
      </c>
      <c r="AT6" s="190"/>
      <c r="AU6" s="190">
        <f>SUMPRODUCT(--(WEEKDAY(D$3:AG$3,2)=5),--ISNUMBER(MATCH(D6:AG6,{"DM","CS1","CS2","SB1","AE","CS/B","WEEKEND OUTFIELD RESERVE"},0)))</f>
        <v>0</v>
      </c>
      <c r="AV6" s="190">
        <f>SUMPRODUCT(--(WEEKDAY(D$3:AG$3,2)&gt;5),--ISNUMBER(MATCH(D6:AG6,{"DM","CS1","CS2","SB1","AE","CS/B","WEEKEND OUTFIELD RESERVE"},0)))</f>
        <v>1</v>
      </c>
      <c r="AW6" s="190"/>
      <c r="AX6" s="190">
        <f t="shared" si="3"/>
        <v>7</v>
      </c>
      <c r="AY6" s="190">
        <f t="shared" si="4"/>
        <v>4</v>
      </c>
      <c r="AZ6" s="190">
        <f t="shared" si="5"/>
        <v>0</v>
      </c>
      <c r="BA6" s="189">
        <f t="shared" si="6"/>
        <v>7</v>
      </c>
      <c r="BB6" s="189">
        <f t="shared" ref="BB6:BB16" si="19">(BA6-8)</f>
        <v>-1</v>
      </c>
      <c r="BC6" s="190">
        <f t="shared" si="7"/>
        <v>0</v>
      </c>
      <c r="BD6" s="190">
        <f t="shared" si="8"/>
        <v>0</v>
      </c>
      <c r="BE6" s="190">
        <f t="shared" si="9"/>
        <v>0</v>
      </c>
      <c r="BF6" s="190">
        <f t="shared" si="10"/>
        <v>0</v>
      </c>
      <c r="BG6" s="190">
        <f t="shared" si="11"/>
        <v>0</v>
      </c>
      <c r="BH6" s="190">
        <f t="shared" si="12"/>
        <v>0</v>
      </c>
      <c r="BI6" s="190">
        <f t="shared" si="13"/>
        <v>0</v>
      </c>
      <c r="BJ6" s="190">
        <f t="shared" si="14"/>
        <v>0</v>
      </c>
      <c r="BK6" s="190">
        <f t="shared" si="15"/>
        <v>0</v>
      </c>
      <c r="BL6" s="190">
        <f t="shared" si="16"/>
        <v>0</v>
      </c>
      <c r="BM6" s="190">
        <f t="shared" si="17"/>
        <v>0</v>
      </c>
      <c r="BN6" s="190">
        <f>COUNTIF($E6:$AA6,BN$4)</f>
        <v>0</v>
      </c>
      <c r="BO6" s="190">
        <f>COUNTIF($E6:$AA6,BO$4)</f>
        <v>1</v>
      </c>
      <c r="BP6" s="190">
        <f>COUNTIF($E6:$AA6,BP$4)</f>
        <v>0</v>
      </c>
      <c r="BQ6" s="190"/>
    </row>
    <row r="7" ht="50.25" customHeight="1" spans="1:69">
      <c r="A7" s="184"/>
      <c r="B7" s="185" t="s">
        <v>567</v>
      </c>
      <c r="C7" s="186">
        <f>COUNTIF(D7:AG7,"DM")</f>
        <v>0</v>
      </c>
      <c r="D7" s="137"/>
      <c r="E7" s="137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188">
        <f t="shared" ref="AH7:AP7" si="20">COUNTIF($D7:$AG7,AH$4)</f>
        <v>0</v>
      </c>
      <c r="AI7" s="188">
        <f t="shared" si="20"/>
        <v>0</v>
      </c>
      <c r="AJ7" s="188">
        <f t="shared" si="20"/>
        <v>0</v>
      </c>
      <c r="AK7" s="188">
        <f t="shared" si="20"/>
        <v>0</v>
      </c>
      <c r="AL7" s="188">
        <f t="shared" si="20"/>
        <v>0</v>
      </c>
      <c r="AM7" s="188">
        <f t="shared" si="20"/>
        <v>0</v>
      </c>
      <c r="AN7" s="188">
        <f t="shared" si="20"/>
        <v>0</v>
      </c>
      <c r="AO7" s="188">
        <f t="shared" si="20"/>
        <v>0</v>
      </c>
      <c r="AP7" s="188">
        <f t="shared" si="20"/>
        <v>0</v>
      </c>
      <c r="AQ7" s="189"/>
      <c r="AR7" s="189"/>
      <c r="AS7" s="190">
        <f>SUMPRODUCT(--(WEEKDAY(D$3:AG$3,2)&lt;5),--ISNUMBER(MATCH(D7:AG7,{"DM","CS1","CS2","SB1","AE","CS/B"},0)))</f>
        <v>0</v>
      </c>
      <c r="AT7" s="190"/>
      <c r="AU7" s="190">
        <f>SUMPRODUCT(--(WEEKDAY(D$3:AG$3,2)=5),--ISNUMBER(MATCH(D7:AG7,{"DM","CS1","CS2","SB1","AE","CS/B","WEEKEND OUTFIELD RESERVE"},0)))</f>
        <v>0</v>
      </c>
      <c r="AV7" s="190">
        <f>SUMPRODUCT(--(WEEKDAY(D$3:AG$3,2)&gt;5),--ISNUMBER(MATCH(D7:AG7,{"DM","CS1","CS2","SB1","AE","CS/B","WEEKEND OUTFIELD RESERVE"},0)))</f>
        <v>0</v>
      </c>
      <c r="AW7" s="190"/>
      <c r="AX7" s="190">
        <f t="shared" si="3"/>
        <v>0</v>
      </c>
      <c r="AY7" s="190">
        <f t="shared" si="4"/>
        <v>0</v>
      </c>
      <c r="AZ7" s="190">
        <f t="shared" si="5"/>
        <v>0</v>
      </c>
      <c r="BA7" s="189">
        <f t="shared" si="6"/>
        <v>0</v>
      </c>
      <c r="BB7" s="189">
        <f t="shared" si="19"/>
        <v>-8</v>
      </c>
      <c r="BC7" s="190">
        <f t="shared" si="7"/>
        <v>0</v>
      </c>
      <c r="BD7" s="190">
        <f t="shared" si="8"/>
        <v>0</v>
      </c>
      <c r="BE7" s="190">
        <f t="shared" si="9"/>
        <v>0</v>
      </c>
      <c r="BF7" s="190">
        <f t="shared" si="10"/>
        <v>0</v>
      </c>
      <c r="BG7" s="190">
        <f t="shared" si="11"/>
        <v>0</v>
      </c>
      <c r="BH7" s="190">
        <f t="shared" si="12"/>
        <v>0</v>
      </c>
      <c r="BI7" s="190">
        <f t="shared" si="13"/>
        <v>0</v>
      </c>
      <c r="BJ7" s="190">
        <f t="shared" si="14"/>
        <v>0</v>
      </c>
      <c r="BK7" s="190">
        <f t="shared" si="15"/>
        <v>0</v>
      </c>
      <c r="BL7" s="190">
        <f t="shared" si="16"/>
        <v>0</v>
      </c>
      <c r="BM7" s="190">
        <f t="shared" si="17"/>
        <v>0</v>
      </c>
      <c r="BN7" s="190">
        <f>COUNTIF($E7:$AC7,BN$4)</f>
        <v>0</v>
      </c>
      <c r="BO7" s="190">
        <f>COUNTIF($E7:$AC7,BO$4)</f>
        <v>0</v>
      </c>
      <c r="BP7" s="190">
        <f>COUNTIF($E7:$AC7,BP$4)</f>
        <v>0</v>
      </c>
      <c r="BQ7" s="190"/>
    </row>
    <row r="8" ht="49.5" customHeight="1" spans="1:69">
      <c r="A8" s="184"/>
      <c r="B8" s="185" t="s">
        <v>710</v>
      </c>
      <c r="C8" s="186"/>
      <c r="D8" s="75"/>
      <c r="E8" s="185"/>
      <c r="F8" s="53" t="s">
        <v>54</v>
      </c>
      <c r="G8" s="53" t="s">
        <v>54</v>
      </c>
      <c r="H8" s="53" t="s">
        <v>54</v>
      </c>
      <c r="I8" s="53" t="s">
        <v>711</v>
      </c>
      <c r="J8" s="53" t="s">
        <v>71</v>
      </c>
      <c r="K8" s="53" t="s">
        <v>71</v>
      </c>
      <c r="L8" s="53" t="s">
        <v>71</v>
      </c>
      <c r="M8" s="53"/>
      <c r="N8" s="53"/>
      <c r="O8" s="53" t="s">
        <v>57</v>
      </c>
      <c r="P8" s="53" t="s">
        <v>380</v>
      </c>
      <c r="Q8" s="53" t="s">
        <v>380</v>
      </c>
      <c r="R8" s="53"/>
      <c r="S8" s="53" t="s">
        <v>566</v>
      </c>
      <c r="T8" s="53" t="s">
        <v>162</v>
      </c>
      <c r="U8" s="53"/>
      <c r="V8" s="53"/>
      <c r="W8" s="53" t="s">
        <v>57</v>
      </c>
      <c r="X8" s="53"/>
      <c r="Y8" s="53"/>
      <c r="Z8" s="53"/>
      <c r="AA8" s="53"/>
      <c r="AB8" s="53"/>
      <c r="AC8" s="53"/>
      <c r="AD8" s="53"/>
      <c r="AE8" s="53"/>
      <c r="AF8" s="53"/>
      <c r="AG8" s="53"/>
      <c r="AH8" s="188">
        <f t="shared" ref="AH8:AP8" si="21">COUNTIF($D8:$AG8,AH$4)</f>
        <v>2</v>
      </c>
      <c r="AI8" s="188">
        <f t="shared" si="21"/>
        <v>0</v>
      </c>
      <c r="AJ8" s="188">
        <f t="shared" si="21"/>
        <v>0</v>
      </c>
      <c r="AK8" s="188">
        <f t="shared" si="21"/>
        <v>1</v>
      </c>
      <c r="AL8" s="188">
        <f t="shared" si="21"/>
        <v>0</v>
      </c>
      <c r="AM8" s="188">
        <f t="shared" si="21"/>
        <v>0</v>
      </c>
      <c r="AN8" s="188">
        <f t="shared" si="21"/>
        <v>0</v>
      </c>
      <c r="AO8" s="188">
        <f t="shared" si="21"/>
        <v>0</v>
      </c>
      <c r="AP8" s="188">
        <f t="shared" si="21"/>
        <v>0</v>
      </c>
      <c r="AQ8" s="189"/>
      <c r="AR8" s="189">
        <v>1</v>
      </c>
      <c r="AS8" s="190">
        <f>SUMPRODUCT(--(WEEKDAY(D$3:AG$3,2)&lt;5),--ISNUMBER(MATCH(D8:AG8,{"DM","CS1","CS2","SB1","AE","CS/B"},0)))</f>
        <v>2</v>
      </c>
      <c r="AT8" s="190"/>
      <c r="AU8" s="190">
        <f>SUMPRODUCT(--(WEEKDAY(D$3:AG$3,2)=5),--ISNUMBER(MATCH(D8:AG8,{"DM","CS1","CS2","SB1","AE","CS/B","WEEKEND OUTFIELD RESERVE"},0)))</f>
        <v>0</v>
      </c>
      <c r="AV8" s="190">
        <f>SUMPRODUCT(--(WEEKDAY(D$3:AG$3,2)&gt;5),--ISNUMBER(MATCH(D8:AG8,{"DM","CS1","CS2","SB1","AE","CS/B","WEEKEND OUTFIELD RESERVE"},0)))</f>
        <v>1</v>
      </c>
      <c r="AW8" s="190"/>
      <c r="AX8" s="190">
        <f t="shared" si="3"/>
        <v>3</v>
      </c>
      <c r="AY8" s="190">
        <f t="shared" si="4"/>
        <v>3</v>
      </c>
      <c r="AZ8" s="190">
        <f t="shared" si="5"/>
        <v>0</v>
      </c>
      <c r="BA8" s="189">
        <f t="shared" si="6"/>
        <v>3</v>
      </c>
      <c r="BB8" s="189">
        <f t="shared" si="19"/>
        <v>-5</v>
      </c>
      <c r="BC8" s="190">
        <f t="shared" si="7"/>
        <v>0</v>
      </c>
      <c r="BD8" s="190">
        <f t="shared" si="8"/>
        <v>0</v>
      </c>
      <c r="BE8" s="190">
        <f t="shared" si="9"/>
        <v>0</v>
      </c>
      <c r="BF8" s="190">
        <f t="shared" si="10"/>
        <v>0</v>
      </c>
      <c r="BG8" s="190">
        <f t="shared" si="11"/>
        <v>0</v>
      </c>
      <c r="BH8" s="190">
        <f t="shared" si="12"/>
        <v>0</v>
      </c>
      <c r="BI8" s="190">
        <f t="shared" si="13"/>
        <v>0</v>
      </c>
      <c r="BJ8" s="190">
        <f t="shared" si="14"/>
        <v>0</v>
      </c>
      <c r="BK8" s="190">
        <f t="shared" si="15"/>
        <v>0</v>
      </c>
      <c r="BL8" s="190">
        <f t="shared" si="16"/>
        <v>0</v>
      </c>
      <c r="BM8" s="190">
        <f t="shared" si="17"/>
        <v>0</v>
      </c>
      <c r="BN8" s="190">
        <f t="shared" ref="BN8:BN29" si="22">COUNTIF($E8:$AB8,BN$4)</f>
        <v>0</v>
      </c>
      <c r="BO8" s="190">
        <f t="shared" ref="BO8:BO29" si="23">COUNTIF($E8:$AB8,BO$4)</f>
        <v>0</v>
      </c>
      <c r="BP8" s="190">
        <f t="shared" ref="BP8:BP29" si="24">COUNTIF($E8:$AB8,BP$4)</f>
        <v>0</v>
      </c>
      <c r="BQ8" s="190"/>
    </row>
    <row r="9" ht="42.75" customHeight="1" spans="1:69">
      <c r="A9" s="184"/>
      <c r="B9" s="191" t="s">
        <v>526</v>
      </c>
      <c r="C9" s="186"/>
      <c r="D9" s="137"/>
      <c r="E9" s="53"/>
      <c r="F9" s="53"/>
      <c r="G9" s="53"/>
      <c r="H9" s="53"/>
      <c r="I9" s="53"/>
      <c r="J9" s="53"/>
      <c r="K9" s="53" t="s">
        <v>350</v>
      </c>
      <c r="L9" s="53"/>
      <c r="M9" s="53" t="s">
        <v>57</v>
      </c>
      <c r="N9" s="53"/>
      <c r="O9" s="53"/>
      <c r="P9" s="53"/>
      <c r="Q9" s="53"/>
      <c r="R9" s="53"/>
      <c r="S9" s="53"/>
      <c r="T9" s="53" t="s">
        <v>162</v>
      </c>
      <c r="U9" s="53"/>
      <c r="V9" s="53" t="s">
        <v>56</v>
      </c>
      <c r="W9" s="53"/>
      <c r="X9" s="53" t="s">
        <v>57</v>
      </c>
      <c r="Y9" s="53"/>
      <c r="Z9" s="53"/>
      <c r="AA9" s="136"/>
      <c r="AB9" s="53"/>
      <c r="AC9" s="53"/>
      <c r="AD9" s="53"/>
      <c r="AE9" s="53" t="s">
        <v>57</v>
      </c>
      <c r="AF9" s="53"/>
      <c r="AG9" s="53"/>
      <c r="AH9" s="188">
        <f t="shared" ref="AH9:AP9" si="25">COUNTIF($D9:$AG9,AH$4)</f>
        <v>3</v>
      </c>
      <c r="AI9" s="188">
        <f t="shared" si="25"/>
        <v>1</v>
      </c>
      <c r="AJ9" s="188">
        <f t="shared" si="25"/>
        <v>0</v>
      </c>
      <c r="AK9" s="188">
        <f t="shared" si="25"/>
        <v>0</v>
      </c>
      <c r="AL9" s="188">
        <f t="shared" si="25"/>
        <v>0</v>
      </c>
      <c r="AM9" s="188">
        <f t="shared" si="25"/>
        <v>0</v>
      </c>
      <c r="AN9" s="188">
        <f t="shared" si="25"/>
        <v>0</v>
      </c>
      <c r="AO9" s="188">
        <f t="shared" si="25"/>
        <v>0</v>
      </c>
      <c r="AP9" s="188">
        <f t="shared" si="25"/>
        <v>0</v>
      </c>
      <c r="AQ9" s="189"/>
      <c r="AR9" s="189"/>
      <c r="AS9" s="190">
        <f>SUMPRODUCT(--(WEEKDAY(D$3:AG$3,2)&lt;5),--ISNUMBER(MATCH(D9:AG9,{"DM","CS1","CS2","SB1","AE","CS/B"},0)))</f>
        <v>2</v>
      </c>
      <c r="AT9" s="190"/>
      <c r="AU9" s="190">
        <f>SUMPRODUCT(--(WEEKDAY(D$3:AG$3,2)=5),--ISNUMBER(MATCH(D9:AG9,{"DM","CS1","CS2","SB1","AE","CS/B","WEEKEND OUTFIELD RESERVE"},0)))</f>
        <v>1</v>
      </c>
      <c r="AV9" s="190">
        <f>SUMPRODUCT(--(WEEKDAY(D$3:AG$3,2)&gt;5),--ISNUMBER(MATCH(D9:AG9,{"DM","CS1","CS2","SB1","AE","CS/B","WEEKEND OUTFIELD RESERVE"},0)))</f>
        <v>1</v>
      </c>
      <c r="AW9" s="190"/>
      <c r="AX9" s="190">
        <f t="shared" si="3"/>
        <v>5.5</v>
      </c>
      <c r="AY9" s="190">
        <f t="shared" si="4"/>
        <v>4</v>
      </c>
      <c r="AZ9" s="190">
        <f t="shared" si="5"/>
        <v>0</v>
      </c>
      <c r="BA9" s="189">
        <f t="shared" si="6"/>
        <v>5.5</v>
      </c>
      <c r="BB9" s="189">
        <f t="shared" si="19"/>
        <v>-2.5</v>
      </c>
      <c r="BC9" s="190">
        <f t="shared" si="7"/>
        <v>0</v>
      </c>
      <c r="BD9" s="190">
        <f t="shared" si="8"/>
        <v>0</v>
      </c>
      <c r="BE9" s="190">
        <f t="shared" si="9"/>
        <v>0</v>
      </c>
      <c r="BF9" s="190">
        <f t="shared" si="10"/>
        <v>0</v>
      </c>
      <c r="BG9" s="190">
        <f t="shared" si="11"/>
        <v>0</v>
      </c>
      <c r="BH9" s="190">
        <f t="shared" si="12"/>
        <v>0</v>
      </c>
      <c r="BI9" s="190">
        <f t="shared" si="13"/>
        <v>0</v>
      </c>
      <c r="BJ9" s="190">
        <f t="shared" si="14"/>
        <v>0</v>
      </c>
      <c r="BK9" s="190">
        <f t="shared" si="15"/>
        <v>0</v>
      </c>
      <c r="BL9" s="190">
        <f t="shared" si="16"/>
        <v>0</v>
      </c>
      <c r="BM9" s="190">
        <f t="shared" si="17"/>
        <v>0</v>
      </c>
      <c r="BN9" s="190">
        <f t="shared" si="22"/>
        <v>0</v>
      </c>
      <c r="BO9" s="190">
        <f t="shared" si="23"/>
        <v>1</v>
      </c>
      <c r="BP9" s="190">
        <f t="shared" si="24"/>
        <v>0</v>
      </c>
      <c r="BQ9" s="190"/>
    </row>
    <row r="10" ht="19.5" customHeight="1" spans="1:69">
      <c r="A10" s="184"/>
      <c r="B10" s="191" t="s">
        <v>574</v>
      </c>
      <c r="C10" s="186"/>
      <c r="D10" s="75" t="s">
        <v>350</v>
      </c>
      <c r="E10" s="53"/>
      <c r="F10" s="53" t="s">
        <v>59</v>
      </c>
      <c r="G10" s="53"/>
      <c r="H10" s="53"/>
      <c r="I10" s="53"/>
      <c r="J10" s="53"/>
      <c r="K10" s="53"/>
      <c r="L10" s="53" t="s">
        <v>566</v>
      </c>
      <c r="M10" s="53"/>
      <c r="N10" s="53"/>
      <c r="O10" s="53" t="s">
        <v>350</v>
      </c>
      <c r="P10" s="53"/>
      <c r="Q10" s="53" t="s">
        <v>712</v>
      </c>
      <c r="R10" s="53" t="s">
        <v>56</v>
      </c>
      <c r="S10" s="53"/>
      <c r="T10" s="53" t="s">
        <v>57</v>
      </c>
      <c r="U10" s="53"/>
      <c r="V10" s="53"/>
      <c r="W10" s="53" t="s">
        <v>56</v>
      </c>
      <c r="X10" s="53"/>
      <c r="Y10" s="53" t="s">
        <v>93</v>
      </c>
      <c r="Z10" s="53"/>
      <c r="AA10" s="53" t="s">
        <v>713</v>
      </c>
      <c r="AB10" s="53" t="s">
        <v>57</v>
      </c>
      <c r="AC10" s="53"/>
      <c r="AD10" s="53" t="s">
        <v>576</v>
      </c>
      <c r="AE10" s="53" t="s">
        <v>576</v>
      </c>
      <c r="AF10" s="53"/>
      <c r="AG10" s="53"/>
      <c r="AH10" s="188">
        <f t="shared" ref="AH10:AP10" si="26">COUNTIF($D10:$AG10,AH$4)</f>
        <v>2</v>
      </c>
      <c r="AI10" s="188">
        <f t="shared" si="26"/>
        <v>2</v>
      </c>
      <c r="AJ10" s="188">
        <f t="shared" si="26"/>
        <v>1</v>
      </c>
      <c r="AK10" s="188">
        <f t="shared" si="26"/>
        <v>1</v>
      </c>
      <c r="AL10" s="188">
        <f t="shared" si="26"/>
        <v>0</v>
      </c>
      <c r="AM10" s="188">
        <f t="shared" si="26"/>
        <v>1</v>
      </c>
      <c r="AN10" s="188">
        <f t="shared" si="26"/>
        <v>0</v>
      </c>
      <c r="AO10" s="188">
        <f t="shared" si="26"/>
        <v>2</v>
      </c>
      <c r="AP10" s="188">
        <f t="shared" si="26"/>
        <v>0</v>
      </c>
      <c r="AQ10" s="189"/>
      <c r="AR10" s="189">
        <v>2.5</v>
      </c>
      <c r="AS10" s="190">
        <f>SUMPRODUCT(--(WEEKDAY(D$3:AG$3,2)&lt;5),--ISNUMBER(MATCH(D10:AG10,{"DM","CS1","CS2","SB1","AE","CS/B"},0)))</f>
        <v>3</v>
      </c>
      <c r="AT10" s="190"/>
      <c r="AU10" s="190">
        <f>SUMPRODUCT(--(WEEKDAY(D$3:AG$3,2)=5),--ISNUMBER(MATCH(D10:AG10,{"DM","CS1","CS2","SB1","AE","CS/B","WEEKEND OUTFIELD RESERVE"},0)))</f>
        <v>3</v>
      </c>
      <c r="AV10" s="190">
        <f>SUMPRODUCT(--(WEEKDAY(D$3:AG$3,2)&gt;5),--ISNUMBER(MATCH(D10:AG10,{"DM","CS1","CS2","SB1","AE","CS/B","WEEKEND OUTFIELD RESERVE"},0)))</f>
        <v>1</v>
      </c>
      <c r="AW10" s="190"/>
      <c r="AX10" s="190">
        <f t="shared" si="3"/>
        <v>8.5</v>
      </c>
      <c r="AY10" s="190">
        <f t="shared" si="4"/>
        <v>7</v>
      </c>
      <c r="AZ10" s="190">
        <f t="shared" si="5"/>
        <v>1</v>
      </c>
      <c r="BA10" s="189">
        <f t="shared" si="6"/>
        <v>9</v>
      </c>
      <c r="BB10" s="189">
        <f t="shared" si="19"/>
        <v>1</v>
      </c>
      <c r="BC10" s="190">
        <f t="shared" si="7"/>
        <v>0.5</v>
      </c>
      <c r="BD10" s="190">
        <f t="shared" si="8"/>
        <v>0</v>
      </c>
      <c r="BE10" s="190">
        <f t="shared" si="9"/>
        <v>0</v>
      </c>
      <c r="BF10" s="190">
        <f t="shared" si="10"/>
        <v>0</v>
      </c>
      <c r="BG10" s="190">
        <f t="shared" si="11"/>
        <v>0</v>
      </c>
      <c r="BH10" s="190">
        <f t="shared" si="12"/>
        <v>0</v>
      </c>
      <c r="BI10" s="190">
        <f t="shared" si="13"/>
        <v>0</v>
      </c>
      <c r="BJ10" s="190">
        <f t="shared" si="14"/>
        <v>1</v>
      </c>
      <c r="BK10" s="190">
        <f t="shared" si="15"/>
        <v>0.5</v>
      </c>
      <c r="BL10" s="190">
        <f t="shared" si="16"/>
        <v>0</v>
      </c>
      <c r="BM10" s="190">
        <f t="shared" si="17"/>
        <v>0</v>
      </c>
      <c r="BN10" s="190">
        <f t="shared" si="22"/>
        <v>0</v>
      </c>
      <c r="BO10" s="190">
        <f t="shared" si="23"/>
        <v>1</v>
      </c>
      <c r="BP10" s="190">
        <f t="shared" si="24"/>
        <v>0</v>
      </c>
      <c r="BQ10" s="190"/>
    </row>
    <row r="11" ht="56.25" customHeight="1" spans="1:69">
      <c r="A11" s="184"/>
      <c r="B11" s="185" t="s">
        <v>714</v>
      </c>
      <c r="C11" s="186"/>
      <c r="D11" s="191"/>
      <c r="E11" s="192" t="s">
        <v>180</v>
      </c>
      <c r="F11" s="53"/>
      <c r="G11" s="53"/>
      <c r="H11" s="53"/>
      <c r="I11" s="53"/>
      <c r="J11" s="53" t="s">
        <v>93</v>
      </c>
      <c r="K11" s="53" t="s">
        <v>59</v>
      </c>
      <c r="L11" s="53"/>
      <c r="M11" s="53"/>
      <c r="N11" s="53"/>
      <c r="O11" s="53"/>
      <c r="P11" s="53"/>
      <c r="Q11" s="53"/>
      <c r="R11" s="53"/>
      <c r="S11" s="53" t="s">
        <v>93</v>
      </c>
      <c r="T11" s="53"/>
      <c r="U11" s="53"/>
      <c r="V11" s="53"/>
      <c r="W11" s="53"/>
      <c r="X11" s="53" t="s">
        <v>56</v>
      </c>
      <c r="Y11" s="53"/>
      <c r="Z11" s="53"/>
      <c r="AA11" s="53" t="s">
        <v>350</v>
      </c>
      <c r="AB11" s="53"/>
      <c r="AC11" s="53" t="s">
        <v>56</v>
      </c>
      <c r="AD11" s="53"/>
      <c r="AE11" s="53" t="s">
        <v>56</v>
      </c>
      <c r="AF11" s="53"/>
      <c r="AG11" s="53"/>
      <c r="AH11" s="188">
        <f t="shared" ref="AH11:AP11" si="27">COUNTIF($D11:$AG11,AH$4)</f>
        <v>0</v>
      </c>
      <c r="AI11" s="188">
        <f t="shared" si="27"/>
        <v>3</v>
      </c>
      <c r="AJ11" s="188">
        <f t="shared" si="27"/>
        <v>1</v>
      </c>
      <c r="AK11" s="188">
        <f t="shared" si="27"/>
        <v>0</v>
      </c>
      <c r="AL11" s="188">
        <f t="shared" si="27"/>
        <v>0</v>
      </c>
      <c r="AM11" s="188">
        <f t="shared" si="27"/>
        <v>2</v>
      </c>
      <c r="AN11" s="188">
        <f t="shared" si="27"/>
        <v>0</v>
      </c>
      <c r="AO11" s="188">
        <f t="shared" si="27"/>
        <v>0</v>
      </c>
      <c r="AP11" s="188">
        <f t="shared" si="27"/>
        <v>0</v>
      </c>
      <c r="AQ11" s="189">
        <v>1</v>
      </c>
      <c r="AR11" s="189"/>
      <c r="AS11" s="190">
        <f>SUMPRODUCT(--(WEEKDAY(D$3:AG$3,2)&lt;5),--ISNUMBER(MATCH(D11:AG11,{"DM","CS1","CS2","SB1","AE","CS/B"},0)))</f>
        <v>3</v>
      </c>
      <c r="AT11" s="190"/>
      <c r="AU11" s="190">
        <f>SUMPRODUCT(--(WEEKDAY(D$3:AG$3,2)=5),--ISNUMBER(MATCH(D11:AG11,{"DM","CS1","CS2","SB1","AE","CS/B","WEEKEND OUTFIELD RESERVE"},0)))</f>
        <v>0</v>
      </c>
      <c r="AV11" s="190">
        <f>SUMPRODUCT(--(WEEKDAY(D$3:AG$3,2)&gt;5),--ISNUMBER(MATCH(D11:AG11,{"DM","CS1","CS2","SB1","AE","CS/B","WEEKEND OUTFIELD RESERVE"},0)))</f>
        <v>1</v>
      </c>
      <c r="AW11" s="190"/>
      <c r="AX11" s="190">
        <f t="shared" si="3"/>
        <v>7</v>
      </c>
      <c r="AY11" s="190">
        <f t="shared" si="4"/>
        <v>4</v>
      </c>
      <c r="AZ11" s="190">
        <f t="shared" si="5"/>
        <v>1</v>
      </c>
      <c r="BA11" s="189">
        <f t="shared" si="6"/>
        <v>7.5</v>
      </c>
      <c r="BB11" s="189">
        <f t="shared" si="19"/>
        <v>-0.5</v>
      </c>
      <c r="BC11" s="190">
        <f t="shared" si="7"/>
        <v>0.5</v>
      </c>
      <c r="BD11" s="190">
        <f t="shared" si="8"/>
        <v>0</v>
      </c>
      <c r="BE11" s="190">
        <f t="shared" si="9"/>
        <v>0</v>
      </c>
      <c r="BF11" s="190">
        <f t="shared" si="10"/>
        <v>0</v>
      </c>
      <c r="BG11" s="190">
        <f t="shared" si="11"/>
        <v>0</v>
      </c>
      <c r="BH11" s="190">
        <f t="shared" si="12"/>
        <v>0</v>
      </c>
      <c r="BI11" s="190">
        <f t="shared" si="13"/>
        <v>0</v>
      </c>
      <c r="BJ11" s="190">
        <f t="shared" si="14"/>
        <v>1</v>
      </c>
      <c r="BK11" s="190">
        <f t="shared" si="15"/>
        <v>0.5</v>
      </c>
      <c r="BL11" s="190">
        <f t="shared" si="16"/>
        <v>0</v>
      </c>
      <c r="BM11" s="190">
        <f t="shared" si="17"/>
        <v>0</v>
      </c>
      <c r="BN11" s="190">
        <f t="shared" si="22"/>
        <v>0</v>
      </c>
      <c r="BO11" s="190">
        <f t="shared" si="23"/>
        <v>1</v>
      </c>
      <c r="BP11" s="190">
        <f t="shared" si="24"/>
        <v>0</v>
      </c>
      <c r="BQ11" s="190"/>
    </row>
    <row r="12" ht="19.5" customHeight="1" spans="1:69">
      <c r="A12" s="184"/>
      <c r="B12" s="185" t="s">
        <v>715</v>
      </c>
      <c r="C12" s="193">
        <f>COUNTIF(D12:AG12,"DM")</f>
        <v>3</v>
      </c>
      <c r="D12" s="137" t="s">
        <v>675</v>
      </c>
      <c r="E12" s="137" t="s">
        <v>675</v>
      </c>
      <c r="F12" s="53"/>
      <c r="G12" s="53"/>
      <c r="H12" s="53"/>
      <c r="I12" s="53"/>
      <c r="J12" s="137" t="s">
        <v>716</v>
      </c>
      <c r="K12" s="53"/>
      <c r="L12" s="53"/>
      <c r="M12" s="53"/>
      <c r="N12" s="53"/>
      <c r="O12" s="53"/>
      <c r="P12" s="53" t="s">
        <v>350</v>
      </c>
      <c r="Q12" s="53" t="s">
        <v>57</v>
      </c>
      <c r="R12" s="53"/>
      <c r="S12" s="53" t="s">
        <v>57</v>
      </c>
      <c r="T12" s="53"/>
      <c r="U12" s="53"/>
      <c r="V12" s="53"/>
      <c r="W12" s="53" t="s">
        <v>93</v>
      </c>
      <c r="X12" s="53" t="s">
        <v>57</v>
      </c>
      <c r="Y12" s="53"/>
      <c r="Z12" s="53"/>
      <c r="AA12" s="53" t="s">
        <v>59</v>
      </c>
      <c r="AB12" s="53"/>
      <c r="AC12" s="53"/>
      <c r="AD12" s="136"/>
      <c r="AE12" s="53"/>
      <c r="AF12" s="53"/>
      <c r="AG12" s="53"/>
      <c r="AH12" s="188">
        <f t="shared" ref="AH12:AP12" si="28">COUNTIF($D12:$AG12,AH$4)</f>
        <v>3</v>
      </c>
      <c r="AI12" s="188">
        <f t="shared" si="28"/>
        <v>0</v>
      </c>
      <c r="AJ12" s="188">
        <f t="shared" si="28"/>
        <v>1</v>
      </c>
      <c r="AK12" s="188">
        <f t="shared" si="28"/>
        <v>0</v>
      </c>
      <c r="AL12" s="188">
        <f t="shared" si="28"/>
        <v>0</v>
      </c>
      <c r="AM12" s="188">
        <f t="shared" si="28"/>
        <v>1</v>
      </c>
      <c r="AN12" s="188">
        <f t="shared" si="28"/>
        <v>0</v>
      </c>
      <c r="AO12" s="188">
        <f t="shared" si="28"/>
        <v>0</v>
      </c>
      <c r="AP12" s="188">
        <f t="shared" si="28"/>
        <v>0</v>
      </c>
      <c r="AQ12" s="189">
        <v>1.5</v>
      </c>
      <c r="AR12" s="189"/>
      <c r="AS12" s="190">
        <f>SUMPRODUCT(--(WEEKDAY(D$3:AG$3,2)&lt;5),--ISNUMBER(MATCH(D12:AG12,{"DM","CS1","CS2","SB1","AE","CS/B"},0)))</f>
        <v>3</v>
      </c>
      <c r="AT12" s="190"/>
      <c r="AU12" s="190">
        <f>SUMPRODUCT(--(WEEKDAY(D$3:AG$3,2)=5),--ISNUMBER(MATCH(D12:AG12,{"DM","CS1","CS2","SB1","AE","CS/B","WEEKEND OUTFIELD RESERVE"},0)))</f>
        <v>1</v>
      </c>
      <c r="AV12" s="190">
        <f>SUMPRODUCT(--(WEEKDAY(D$3:AG$3,2)&gt;5),--ISNUMBER(MATCH(D12:AG12,{"DM","CS1","CS2","SB1","AE","CS/B","WEEKEND OUTFIELD RESERVE"},0)))</f>
        <v>0</v>
      </c>
      <c r="AW12" s="190"/>
      <c r="AX12" s="190">
        <f t="shared" si="3"/>
        <v>6.5</v>
      </c>
      <c r="AY12" s="190">
        <f t="shared" si="4"/>
        <v>4</v>
      </c>
      <c r="AZ12" s="190">
        <f t="shared" si="5"/>
        <v>1</v>
      </c>
      <c r="BA12" s="189">
        <f t="shared" si="6"/>
        <v>7</v>
      </c>
      <c r="BB12" s="189">
        <f t="shared" si="19"/>
        <v>-1</v>
      </c>
      <c r="BC12" s="190">
        <f t="shared" si="7"/>
        <v>0.5</v>
      </c>
      <c r="BD12" s="190">
        <f t="shared" si="8"/>
        <v>0</v>
      </c>
      <c r="BE12" s="190">
        <f t="shared" si="9"/>
        <v>0</v>
      </c>
      <c r="BF12" s="190">
        <f t="shared" si="10"/>
        <v>0</v>
      </c>
      <c r="BG12" s="190">
        <f t="shared" si="11"/>
        <v>0</v>
      </c>
      <c r="BH12" s="190">
        <f t="shared" si="12"/>
        <v>0</v>
      </c>
      <c r="BI12" s="190">
        <f t="shared" si="13"/>
        <v>0</v>
      </c>
      <c r="BJ12" s="190">
        <f t="shared" si="14"/>
        <v>1</v>
      </c>
      <c r="BK12" s="190">
        <f t="shared" si="15"/>
        <v>0.5</v>
      </c>
      <c r="BL12" s="190">
        <f t="shared" si="16"/>
        <v>0</v>
      </c>
      <c r="BM12" s="190">
        <f t="shared" si="17"/>
        <v>0</v>
      </c>
      <c r="BN12" s="190">
        <f t="shared" si="22"/>
        <v>0</v>
      </c>
      <c r="BO12" s="190">
        <f t="shared" si="23"/>
        <v>1</v>
      </c>
      <c r="BP12" s="190">
        <f t="shared" si="24"/>
        <v>0</v>
      </c>
      <c r="BQ12" s="190"/>
    </row>
    <row r="13" ht="69" customHeight="1" spans="1:69">
      <c r="A13" s="184"/>
      <c r="B13" s="191" t="s">
        <v>584</v>
      </c>
      <c r="C13" s="193">
        <f>COUNTIF(D13:AG13,"DM")</f>
        <v>3</v>
      </c>
      <c r="D13" s="137"/>
      <c r="E13" s="137" t="s">
        <v>56</v>
      </c>
      <c r="F13" s="53"/>
      <c r="G13" s="53"/>
      <c r="H13" s="53"/>
      <c r="I13" s="53"/>
      <c r="J13" s="53"/>
      <c r="K13" s="53"/>
      <c r="L13" s="53" t="s">
        <v>56</v>
      </c>
      <c r="M13" s="53"/>
      <c r="N13" s="53"/>
      <c r="O13" s="53"/>
      <c r="P13" s="53"/>
      <c r="Q13" s="53"/>
      <c r="R13" s="53"/>
      <c r="S13" s="53"/>
      <c r="T13" s="53" t="s">
        <v>57</v>
      </c>
      <c r="U13" s="53"/>
      <c r="V13" s="53"/>
      <c r="W13" s="53" t="s">
        <v>57</v>
      </c>
      <c r="X13" s="53"/>
      <c r="Y13" s="53"/>
      <c r="Z13" s="53"/>
      <c r="AA13" s="53" t="s">
        <v>58</v>
      </c>
      <c r="AB13" s="53"/>
      <c r="AC13" s="53" t="s">
        <v>566</v>
      </c>
      <c r="AD13" s="53"/>
      <c r="AE13" s="53"/>
      <c r="AF13" s="53" t="s">
        <v>350</v>
      </c>
      <c r="AG13" s="53" t="s">
        <v>57</v>
      </c>
      <c r="AH13" s="188">
        <f t="shared" ref="AH13:AP13" si="29">COUNTIF($D13:$AG13,AH$4)</f>
        <v>3</v>
      </c>
      <c r="AI13" s="188">
        <f t="shared" si="29"/>
        <v>2</v>
      </c>
      <c r="AJ13" s="188">
        <f t="shared" si="29"/>
        <v>0</v>
      </c>
      <c r="AK13" s="188">
        <f t="shared" si="29"/>
        <v>1</v>
      </c>
      <c r="AL13" s="188">
        <f t="shared" si="29"/>
        <v>1</v>
      </c>
      <c r="AM13" s="188">
        <f t="shared" si="29"/>
        <v>0</v>
      </c>
      <c r="AN13" s="188">
        <f t="shared" si="29"/>
        <v>0</v>
      </c>
      <c r="AO13" s="188">
        <f t="shared" si="29"/>
        <v>0</v>
      </c>
      <c r="AP13" s="188">
        <f t="shared" si="29"/>
        <v>0</v>
      </c>
      <c r="AQ13" s="189"/>
      <c r="AR13" s="189"/>
      <c r="AS13" s="190">
        <f>SUMPRODUCT(--(WEEKDAY(D$3:AG$3,2)&lt;5),--ISNUMBER(MATCH(D13:AG13,{"DM","CS1","CS2","SB1","AE","CS/B"},0)))</f>
        <v>4</v>
      </c>
      <c r="AT13" s="190"/>
      <c r="AU13" s="190">
        <f>SUMPRODUCT(--(WEEKDAY(D$3:AG$3,2)=5),--ISNUMBER(MATCH(D13:AG13,{"DM","CS1","CS2","SB1","AE","CS/B","WEEKEND OUTFIELD RESERVE"},0)))</f>
        <v>2</v>
      </c>
      <c r="AV13" s="190">
        <f>SUMPRODUCT(--(WEEKDAY(D$3:AG$3,2)&gt;5),--ISNUMBER(MATCH(D13:AG13,{"DM","CS1","CS2","SB1","AE","CS/B","WEEKEND OUTFIELD RESERVE"},0)))</f>
        <v>1</v>
      </c>
      <c r="AW13" s="190"/>
      <c r="AX13" s="190">
        <f t="shared" si="3"/>
        <v>9</v>
      </c>
      <c r="AY13" s="190">
        <f t="shared" si="4"/>
        <v>7</v>
      </c>
      <c r="AZ13" s="190">
        <f t="shared" si="5"/>
        <v>0</v>
      </c>
      <c r="BA13" s="189">
        <f t="shared" si="6"/>
        <v>9</v>
      </c>
      <c r="BB13" s="189">
        <f t="shared" si="19"/>
        <v>1</v>
      </c>
      <c r="BC13" s="190">
        <f t="shared" si="7"/>
        <v>0</v>
      </c>
      <c r="BD13" s="190">
        <f t="shared" si="8"/>
        <v>0</v>
      </c>
      <c r="BE13" s="190">
        <f t="shared" si="9"/>
        <v>0</v>
      </c>
      <c r="BF13" s="190">
        <f t="shared" si="10"/>
        <v>0</v>
      </c>
      <c r="BG13" s="190">
        <f t="shared" si="11"/>
        <v>0</v>
      </c>
      <c r="BH13" s="190">
        <f t="shared" si="12"/>
        <v>0</v>
      </c>
      <c r="BI13" s="190">
        <f t="shared" si="13"/>
        <v>0</v>
      </c>
      <c r="BJ13" s="190">
        <f t="shared" si="14"/>
        <v>0</v>
      </c>
      <c r="BK13" s="190">
        <f t="shared" si="15"/>
        <v>0</v>
      </c>
      <c r="BL13" s="190">
        <f t="shared" si="16"/>
        <v>0</v>
      </c>
      <c r="BM13" s="190">
        <f t="shared" si="17"/>
        <v>0</v>
      </c>
      <c r="BN13" s="190">
        <f t="shared" si="22"/>
        <v>0</v>
      </c>
      <c r="BO13" s="190">
        <f t="shared" si="23"/>
        <v>0</v>
      </c>
      <c r="BP13" s="190">
        <f t="shared" si="24"/>
        <v>0</v>
      </c>
      <c r="BQ13" s="190"/>
    </row>
    <row r="14" ht="63" customHeight="1" spans="1:69">
      <c r="A14" s="184"/>
      <c r="B14" s="191" t="s">
        <v>717</v>
      </c>
      <c r="C14" s="186"/>
      <c r="D14" s="53" t="s">
        <v>65</v>
      </c>
      <c r="E14" s="75"/>
      <c r="F14" s="53" t="s">
        <v>56</v>
      </c>
      <c r="G14" s="53"/>
      <c r="H14" s="53"/>
      <c r="I14" s="53"/>
      <c r="J14" s="53"/>
      <c r="K14" s="53"/>
      <c r="L14" s="53"/>
      <c r="M14" s="53"/>
      <c r="N14" s="53" t="s">
        <v>350</v>
      </c>
      <c r="O14" s="53"/>
      <c r="P14" s="53" t="s">
        <v>566</v>
      </c>
      <c r="Q14" s="53"/>
      <c r="R14" s="53" t="s">
        <v>350</v>
      </c>
      <c r="S14" s="53"/>
      <c r="T14" s="53"/>
      <c r="U14" s="53" t="s">
        <v>58</v>
      </c>
      <c r="V14" s="53"/>
      <c r="W14" s="53"/>
      <c r="X14" s="53"/>
      <c r="Y14" s="53"/>
      <c r="Z14" s="53"/>
      <c r="AA14" s="53"/>
      <c r="AB14" s="53"/>
      <c r="AC14" s="53" t="s">
        <v>713</v>
      </c>
      <c r="AD14" s="53"/>
      <c r="AE14" s="53"/>
      <c r="AF14" s="53"/>
      <c r="AG14" s="53"/>
      <c r="AH14" s="188">
        <f t="shared" ref="AH14:AP14" si="30">COUNTIF($D14:$AG14,AH$4)</f>
        <v>0</v>
      </c>
      <c r="AI14" s="188">
        <f t="shared" si="30"/>
        <v>1</v>
      </c>
      <c r="AJ14" s="188">
        <f t="shared" si="30"/>
        <v>0</v>
      </c>
      <c r="AK14" s="188">
        <f t="shared" si="30"/>
        <v>1</v>
      </c>
      <c r="AL14" s="188">
        <f t="shared" si="30"/>
        <v>1</v>
      </c>
      <c r="AM14" s="188">
        <f t="shared" si="30"/>
        <v>0</v>
      </c>
      <c r="AN14" s="188">
        <f t="shared" si="30"/>
        <v>1</v>
      </c>
      <c r="AO14" s="188">
        <f t="shared" si="30"/>
        <v>0</v>
      </c>
      <c r="AP14" s="188">
        <f t="shared" si="30"/>
        <v>0</v>
      </c>
      <c r="AQ14" s="189">
        <v>1.5</v>
      </c>
      <c r="AR14" s="189"/>
      <c r="AS14" s="190">
        <f>SUMPRODUCT(--(WEEKDAY(D$3:AG$3,2)&lt;5),--ISNUMBER(MATCH(D14:AG14,{"DM","CS1","CS2","SB1","AE","CS/B"},0)))</f>
        <v>2</v>
      </c>
      <c r="AT14" s="190"/>
      <c r="AU14" s="190">
        <f>SUMPRODUCT(--(WEEKDAY(D$3:AG$3,2)=5),--ISNUMBER(MATCH(D14:AG14,{"DM","CS1","CS2","SB1","AE","CS/B","WEEKEND OUTFIELD RESERVE"},0)))</f>
        <v>1</v>
      </c>
      <c r="AV14" s="190">
        <f>SUMPRODUCT(--(WEEKDAY(D$3:AG$3,2)&gt;5),--ISNUMBER(MATCH(D14:AG14,{"DM","CS1","CS2","SB1","AE","CS/B","WEEKEND OUTFIELD RESERVE"},0)))</f>
        <v>2</v>
      </c>
      <c r="AW14" s="190"/>
      <c r="AX14" s="190">
        <f t="shared" si="3"/>
        <v>9</v>
      </c>
      <c r="AY14" s="190">
        <f t="shared" si="4"/>
        <v>5</v>
      </c>
      <c r="AZ14" s="190">
        <f t="shared" si="5"/>
        <v>0</v>
      </c>
      <c r="BA14" s="189">
        <f t="shared" si="6"/>
        <v>9</v>
      </c>
      <c r="BB14" s="189">
        <f t="shared" si="19"/>
        <v>1</v>
      </c>
      <c r="BC14" s="190">
        <f t="shared" si="7"/>
        <v>0</v>
      </c>
      <c r="BD14" s="190">
        <f t="shared" si="8"/>
        <v>0</v>
      </c>
      <c r="BE14" s="190">
        <f t="shared" si="9"/>
        <v>0</v>
      </c>
      <c r="BF14" s="190">
        <f t="shared" si="10"/>
        <v>0</v>
      </c>
      <c r="BG14" s="190">
        <f t="shared" si="11"/>
        <v>0</v>
      </c>
      <c r="BH14" s="190">
        <f t="shared" si="12"/>
        <v>0</v>
      </c>
      <c r="BI14" s="190">
        <f t="shared" si="13"/>
        <v>0</v>
      </c>
      <c r="BJ14" s="190">
        <f t="shared" si="14"/>
        <v>0</v>
      </c>
      <c r="BK14" s="190">
        <f t="shared" si="15"/>
        <v>0</v>
      </c>
      <c r="BL14" s="190">
        <f t="shared" si="16"/>
        <v>0</v>
      </c>
      <c r="BM14" s="190">
        <f t="shared" si="17"/>
        <v>0</v>
      </c>
      <c r="BN14" s="190">
        <f t="shared" si="22"/>
        <v>0</v>
      </c>
      <c r="BO14" s="190">
        <f t="shared" si="23"/>
        <v>2</v>
      </c>
      <c r="BP14" s="190">
        <f t="shared" si="24"/>
        <v>0</v>
      </c>
      <c r="BQ14" s="190"/>
    </row>
    <row r="15" ht="47.25" customHeight="1" spans="1:69">
      <c r="A15" s="184"/>
      <c r="B15" s="185" t="s">
        <v>591</v>
      </c>
      <c r="C15" s="186"/>
      <c r="D15" s="137"/>
      <c r="E15" s="137"/>
      <c r="F15" s="53"/>
      <c r="G15" s="53"/>
      <c r="H15" s="53"/>
      <c r="I15" s="53"/>
      <c r="J15" s="53" t="s">
        <v>65</v>
      </c>
      <c r="K15" s="53"/>
      <c r="L15" s="53" t="s">
        <v>350</v>
      </c>
      <c r="M15" s="53"/>
      <c r="N15" s="53"/>
      <c r="O15" s="53" t="s">
        <v>65</v>
      </c>
      <c r="P15" s="53"/>
      <c r="Q15" s="53" t="s">
        <v>93</v>
      </c>
      <c r="R15" s="53"/>
      <c r="S15" s="53" t="s">
        <v>65</v>
      </c>
      <c r="T15" s="53"/>
      <c r="U15" s="53"/>
      <c r="V15" s="53"/>
      <c r="W15" s="53"/>
      <c r="X15" s="53" t="s">
        <v>58</v>
      </c>
      <c r="Y15" s="53"/>
      <c r="Z15" s="53"/>
      <c r="AA15" s="53"/>
      <c r="AB15" s="53" t="s">
        <v>713</v>
      </c>
      <c r="AC15" s="53"/>
      <c r="AD15" s="53" t="s">
        <v>573</v>
      </c>
      <c r="AE15" s="53"/>
      <c r="AF15" s="53"/>
      <c r="AG15" s="53" t="s">
        <v>65</v>
      </c>
      <c r="AH15" s="188">
        <f t="shared" ref="AH15:AP15" si="31">COUNTIF($D15:$AG15,AH$4)</f>
        <v>0</v>
      </c>
      <c r="AI15" s="188">
        <f t="shared" si="31"/>
        <v>0</v>
      </c>
      <c r="AJ15" s="188">
        <f t="shared" si="31"/>
        <v>0</v>
      </c>
      <c r="AK15" s="188">
        <f t="shared" si="31"/>
        <v>0</v>
      </c>
      <c r="AL15" s="188">
        <f t="shared" si="31"/>
        <v>1</v>
      </c>
      <c r="AM15" s="188">
        <f t="shared" si="31"/>
        <v>1</v>
      </c>
      <c r="AN15" s="188">
        <f t="shared" si="31"/>
        <v>4</v>
      </c>
      <c r="AO15" s="188">
        <f t="shared" si="31"/>
        <v>0</v>
      </c>
      <c r="AP15" s="188">
        <f t="shared" si="31"/>
        <v>0</v>
      </c>
      <c r="AQ15" s="189"/>
      <c r="AR15" s="189"/>
      <c r="AS15" s="190">
        <f>SUMPRODUCT(--(WEEKDAY(D$3:AG$3,2)&lt;5),--ISNUMBER(MATCH(D15:AG15,{"DM","CS1","CS2","SB1","AE","CS/B"},0)))</f>
        <v>4</v>
      </c>
      <c r="AT15" s="190"/>
      <c r="AU15" s="190">
        <f>SUMPRODUCT(--(WEEKDAY(D$3:AG$3,2)=5),--ISNUMBER(MATCH(D15:AG15,{"DM","CS1","CS2","SB1","AE","CS/B","WEEKEND OUTFIELD RESERVE"},0)))</f>
        <v>0</v>
      </c>
      <c r="AV15" s="190">
        <f>SUMPRODUCT(--(WEEKDAY(D$3:AG$3,2)&gt;5),--ISNUMBER(MATCH(D15:AG15,{"DM","CS1","CS2","SB1","AE","CS/B","WEEKEND OUTFIELD RESERVE"},0)))</f>
        <v>2</v>
      </c>
      <c r="AW15" s="190"/>
      <c r="AX15" s="190">
        <f t="shared" si="3"/>
        <v>8.5</v>
      </c>
      <c r="AY15" s="190">
        <f t="shared" si="4"/>
        <v>6</v>
      </c>
      <c r="AZ15" s="190">
        <f t="shared" si="5"/>
        <v>0</v>
      </c>
      <c r="BA15" s="189">
        <f t="shared" si="6"/>
        <v>8.5</v>
      </c>
      <c r="BB15" s="189">
        <f t="shared" si="19"/>
        <v>0.5</v>
      </c>
      <c r="BC15" s="190">
        <f t="shared" si="7"/>
        <v>0</v>
      </c>
      <c r="BD15" s="190">
        <f t="shared" si="8"/>
        <v>0</v>
      </c>
      <c r="BE15" s="190">
        <f t="shared" si="9"/>
        <v>0</v>
      </c>
      <c r="BF15" s="190">
        <f t="shared" si="10"/>
        <v>0</v>
      </c>
      <c r="BG15" s="190">
        <f t="shared" si="11"/>
        <v>0</v>
      </c>
      <c r="BH15" s="190">
        <f t="shared" si="12"/>
        <v>0</v>
      </c>
      <c r="BI15" s="190">
        <f t="shared" si="13"/>
        <v>0</v>
      </c>
      <c r="BJ15" s="190">
        <f t="shared" si="14"/>
        <v>0</v>
      </c>
      <c r="BK15" s="190">
        <f t="shared" si="15"/>
        <v>0</v>
      </c>
      <c r="BL15" s="190">
        <f t="shared" si="16"/>
        <v>0</v>
      </c>
      <c r="BM15" s="190">
        <f t="shared" si="17"/>
        <v>0</v>
      </c>
      <c r="BN15" s="190">
        <f t="shared" si="22"/>
        <v>0</v>
      </c>
      <c r="BO15" s="190">
        <f t="shared" si="23"/>
        <v>1</v>
      </c>
      <c r="BP15" s="190">
        <f t="shared" si="24"/>
        <v>0</v>
      </c>
      <c r="BQ15" s="190"/>
    </row>
    <row r="16" ht="47.25" customHeight="1" spans="1:69">
      <c r="A16" s="184"/>
      <c r="B16" s="186" t="s">
        <v>718</v>
      </c>
      <c r="C16" s="186"/>
      <c r="D16" s="75"/>
      <c r="E16" s="75"/>
      <c r="F16" s="53"/>
      <c r="G16" s="53"/>
      <c r="H16" s="53"/>
      <c r="I16" s="53" t="s">
        <v>65</v>
      </c>
      <c r="J16" s="53"/>
      <c r="K16" s="53"/>
      <c r="L16" s="53"/>
      <c r="M16" s="53"/>
      <c r="N16" s="53"/>
      <c r="O16" s="53"/>
      <c r="P16" s="53"/>
      <c r="Q16" s="53" t="s">
        <v>69</v>
      </c>
      <c r="R16" s="53" t="s">
        <v>65</v>
      </c>
      <c r="S16" s="53"/>
      <c r="T16" s="53" t="s">
        <v>93</v>
      </c>
      <c r="U16" s="53"/>
      <c r="V16" s="53" t="s">
        <v>65</v>
      </c>
      <c r="W16" s="53"/>
      <c r="X16" s="53"/>
      <c r="Y16" s="53" t="s">
        <v>350</v>
      </c>
      <c r="Z16" s="53" t="s">
        <v>93</v>
      </c>
      <c r="AA16" s="53" t="s">
        <v>65</v>
      </c>
      <c r="AB16" s="53"/>
      <c r="AC16" s="53"/>
      <c r="AD16" s="53"/>
      <c r="AE16" s="53" t="s">
        <v>65</v>
      </c>
      <c r="AF16" s="53"/>
      <c r="AG16" s="53"/>
      <c r="AH16" s="188">
        <f t="shared" ref="AH16:AP16" si="32">COUNTIF($D16:$AG16,AH$4)</f>
        <v>0</v>
      </c>
      <c r="AI16" s="188">
        <f t="shared" si="32"/>
        <v>0</v>
      </c>
      <c r="AJ16" s="188">
        <f t="shared" si="32"/>
        <v>0</v>
      </c>
      <c r="AK16" s="188">
        <f t="shared" si="32"/>
        <v>0</v>
      </c>
      <c r="AL16" s="188">
        <f t="shared" si="32"/>
        <v>0</v>
      </c>
      <c r="AM16" s="188">
        <f t="shared" si="32"/>
        <v>2</v>
      </c>
      <c r="AN16" s="188">
        <f t="shared" si="32"/>
        <v>5</v>
      </c>
      <c r="AO16" s="188">
        <f t="shared" si="32"/>
        <v>0</v>
      </c>
      <c r="AP16" s="188">
        <f t="shared" si="32"/>
        <v>0</v>
      </c>
      <c r="AQ16" s="189"/>
      <c r="AR16" s="189"/>
      <c r="AS16" s="190">
        <f>SUMPRODUCT(--(WEEKDAY(D$3:AG$3,2)&lt;5),--ISNUMBER(MATCH(D16:AG16,{"DM","CS1","CS2","SB1","AE","CS/B"},0)))</f>
        <v>3</v>
      </c>
      <c r="AT16" s="190"/>
      <c r="AU16" s="190">
        <f>SUMPRODUCT(--(WEEKDAY(D$3:AG$3,2)=5),--ISNUMBER(MATCH(D16:AG16,{"DM","CS1","CS2","SB1","AE","CS/B","WEEKEND OUTFIELD RESERVE"},0)))</f>
        <v>1</v>
      </c>
      <c r="AV16" s="190">
        <f>SUMPRODUCT(--(WEEKDAY(D$3:AG$3,2)&gt;5),--ISNUMBER(MATCH(D16:AG16,{"DM","CS1","CS2","SB1","AE","CS/B","WEEKEND OUTFIELD RESERVE"},0)))</f>
        <v>1</v>
      </c>
      <c r="AW16" s="190"/>
      <c r="AX16" s="190">
        <f t="shared" si="3"/>
        <v>7.5</v>
      </c>
      <c r="AY16" s="190">
        <f t="shared" si="4"/>
        <v>5</v>
      </c>
      <c r="AZ16" s="190" t="s">
        <v>708</v>
      </c>
      <c r="BA16" s="189">
        <f t="shared" si="6"/>
        <v>7.5</v>
      </c>
      <c r="BB16" s="189">
        <f t="shared" si="19"/>
        <v>-0.5</v>
      </c>
      <c r="BC16" s="190">
        <f t="shared" si="7"/>
        <v>0</v>
      </c>
      <c r="BD16" s="190">
        <f t="shared" si="8"/>
        <v>0</v>
      </c>
      <c r="BE16" s="190">
        <f t="shared" si="9"/>
        <v>0</v>
      </c>
      <c r="BF16" s="190">
        <f t="shared" si="10"/>
        <v>0</v>
      </c>
      <c r="BG16" s="190">
        <f t="shared" si="11"/>
        <v>0</v>
      </c>
      <c r="BH16" s="190">
        <f t="shared" si="12"/>
        <v>0</v>
      </c>
      <c r="BI16" s="190">
        <f t="shared" si="13"/>
        <v>0</v>
      </c>
      <c r="BJ16" s="190">
        <f t="shared" si="14"/>
        <v>0</v>
      </c>
      <c r="BK16" s="190">
        <f t="shared" si="15"/>
        <v>0</v>
      </c>
      <c r="BL16" s="190">
        <f t="shared" si="16"/>
        <v>0</v>
      </c>
      <c r="BM16" s="190">
        <f t="shared" si="17"/>
        <v>0</v>
      </c>
      <c r="BN16" s="190">
        <f t="shared" si="22"/>
        <v>0</v>
      </c>
      <c r="BO16" s="190">
        <f t="shared" si="23"/>
        <v>1</v>
      </c>
      <c r="BP16" s="190">
        <f t="shared" si="24"/>
        <v>0</v>
      </c>
      <c r="BQ16" s="190"/>
    </row>
    <row r="17" ht="45" customHeight="1" spans="1:69">
      <c r="A17" s="184"/>
      <c r="B17" s="186" t="s">
        <v>592</v>
      </c>
      <c r="C17" s="186"/>
      <c r="D17" s="137"/>
      <c r="E17" s="137" t="s">
        <v>59</v>
      </c>
      <c r="F17" s="53"/>
      <c r="G17" s="53"/>
      <c r="H17" s="53"/>
      <c r="I17" s="53"/>
      <c r="J17" s="53"/>
      <c r="K17" s="53" t="s">
        <v>58</v>
      </c>
      <c r="L17" s="53"/>
      <c r="M17" s="53" t="s">
        <v>56</v>
      </c>
      <c r="N17" s="53"/>
      <c r="O17" s="53"/>
      <c r="P17" s="53"/>
      <c r="Q17" s="53" t="s">
        <v>57</v>
      </c>
      <c r="R17" s="53"/>
      <c r="S17" s="53"/>
      <c r="T17" s="53" t="s">
        <v>58</v>
      </c>
      <c r="U17" s="53"/>
      <c r="V17" s="53" t="s">
        <v>57</v>
      </c>
      <c r="W17" s="53"/>
      <c r="X17" s="53" t="s">
        <v>59</v>
      </c>
      <c r="Y17" s="53"/>
      <c r="Z17" s="53" t="s">
        <v>350</v>
      </c>
      <c r="AA17" s="53"/>
      <c r="AB17" s="53"/>
      <c r="AC17" s="53" t="s">
        <v>57</v>
      </c>
      <c r="AD17" s="53"/>
      <c r="AE17" s="53" t="s">
        <v>59</v>
      </c>
      <c r="AF17" s="53"/>
      <c r="AG17" s="53" t="s">
        <v>57</v>
      </c>
      <c r="AH17" s="188">
        <f t="shared" ref="AH17:AP17" si="33">COUNTIF($D17:$AG17,AH$4)</f>
        <v>4</v>
      </c>
      <c r="AI17" s="188">
        <f t="shared" si="33"/>
        <v>1</v>
      </c>
      <c r="AJ17" s="188">
        <f t="shared" si="33"/>
        <v>3</v>
      </c>
      <c r="AK17" s="188">
        <f t="shared" si="33"/>
        <v>0</v>
      </c>
      <c r="AL17" s="188">
        <f t="shared" si="33"/>
        <v>2</v>
      </c>
      <c r="AM17" s="188">
        <f t="shared" si="33"/>
        <v>0</v>
      </c>
      <c r="AN17" s="188">
        <f t="shared" si="33"/>
        <v>0</v>
      </c>
      <c r="AO17" s="188">
        <f t="shared" si="33"/>
        <v>0</v>
      </c>
      <c r="AP17" s="188">
        <f t="shared" si="33"/>
        <v>0</v>
      </c>
      <c r="AQ17" s="189">
        <v>3</v>
      </c>
      <c r="AR17" s="189"/>
      <c r="AS17" s="190">
        <f>SUMPRODUCT(--(WEEKDAY(D$3:AG$3,2)&lt;5),--ISNUMBER(MATCH(D17:AG17,{"DM","CS1","CS2","SB1","AE","CS/B"},0)))</f>
        <v>6</v>
      </c>
      <c r="AT17" s="190"/>
      <c r="AU17" s="190">
        <f>SUMPRODUCT(--(WEEKDAY(D$3:AG$3,2)=5),--ISNUMBER(MATCH(D17:AG17,{"DM","CS1","CS2","SB1","AE","CS/B","WEEKEND OUTFIELD RESERVE"},0)))</f>
        <v>2</v>
      </c>
      <c r="AV17" s="190">
        <f>SUMPRODUCT(--(WEEKDAY(D$3:AG$3,2)&gt;5),--ISNUMBER(MATCH(D17:AG17,{"DM","CS1","CS2","SB1","AE","CS/B","WEEKEND OUTFIELD RESERVE"},0)))</f>
        <v>2</v>
      </c>
      <c r="AW17" s="190"/>
      <c r="AX17" s="190">
        <f t="shared" si="3"/>
        <v>16</v>
      </c>
      <c r="AY17" s="190">
        <f t="shared" si="4"/>
        <v>10</v>
      </c>
      <c r="AZ17" s="190">
        <f t="shared" ref="AZ17:AZ42" si="34">BD17+BF17+BH17+BJ17+BL17</f>
        <v>0</v>
      </c>
      <c r="BA17" s="189">
        <f t="shared" si="6"/>
        <v>16</v>
      </c>
      <c r="BB17" s="189"/>
      <c r="BC17" s="190">
        <f t="shared" si="7"/>
        <v>0</v>
      </c>
      <c r="BD17" s="190">
        <f t="shared" si="8"/>
        <v>0</v>
      </c>
      <c r="BE17" s="190">
        <f t="shared" si="9"/>
        <v>0</v>
      </c>
      <c r="BF17" s="190">
        <f t="shared" si="10"/>
        <v>0</v>
      </c>
      <c r="BG17" s="190">
        <f t="shared" si="11"/>
        <v>0</v>
      </c>
      <c r="BH17" s="190">
        <f t="shared" si="12"/>
        <v>0</v>
      </c>
      <c r="BI17" s="190">
        <f t="shared" si="13"/>
        <v>0</v>
      </c>
      <c r="BJ17" s="190">
        <f t="shared" si="14"/>
        <v>0</v>
      </c>
      <c r="BK17" s="190">
        <f t="shared" si="15"/>
        <v>0</v>
      </c>
      <c r="BL17" s="190">
        <f t="shared" si="16"/>
        <v>0</v>
      </c>
      <c r="BM17" s="190">
        <f t="shared" si="17"/>
        <v>0</v>
      </c>
      <c r="BN17" s="190">
        <f t="shared" si="22"/>
        <v>0</v>
      </c>
      <c r="BO17" s="190">
        <f t="shared" si="23"/>
        <v>1</v>
      </c>
      <c r="BP17" s="190">
        <f t="shared" si="24"/>
        <v>0</v>
      </c>
      <c r="BQ17" s="190"/>
    </row>
    <row r="18" ht="60.75" customHeight="1" spans="1:69">
      <c r="A18" s="184"/>
      <c r="B18" s="186" t="s">
        <v>594</v>
      </c>
      <c r="C18" s="186"/>
      <c r="D18" s="75"/>
      <c r="E18" s="75"/>
      <c r="F18" s="53"/>
      <c r="G18" s="53"/>
      <c r="H18" s="53"/>
      <c r="I18" s="53"/>
      <c r="J18" s="53" t="s">
        <v>57</v>
      </c>
      <c r="K18" s="53"/>
      <c r="L18" s="53" t="s">
        <v>719</v>
      </c>
      <c r="M18" s="53"/>
      <c r="N18" s="53"/>
      <c r="O18" s="53"/>
      <c r="P18" s="53"/>
      <c r="Q18" s="53" t="s">
        <v>59</v>
      </c>
      <c r="R18" s="53"/>
      <c r="S18" s="53" t="s">
        <v>573</v>
      </c>
      <c r="T18" s="53"/>
      <c r="U18" s="53" t="s">
        <v>57</v>
      </c>
      <c r="V18" s="53"/>
      <c r="W18" s="53"/>
      <c r="X18" s="53"/>
      <c r="Y18" s="53" t="s">
        <v>59</v>
      </c>
      <c r="Z18" s="53"/>
      <c r="AA18" s="53"/>
      <c r="AB18" s="53" t="s">
        <v>350</v>
      </c>
      <c r="AC18" s="53"/>
      <c r="AD18" s="53" t="s">
        <v>57</v>
      </c>
      <c r="AE18" s="53"/>
      <c r="AF18" s="53"/>
      <c r="AG18" s="53" t="s">
        <v>566</v>
      </c>
      <c r="AH18" s="188">
        <f t="shared" ref="AH18:AP18" si="35">COUNTIF($D18:$AG18,AH$4)</f>
        <v>3</v>
      </c>
      <c r="AI18" s="188">
        <f t="shared" si="35"/>
        <v>0</v>
      </c>
      <c r="AJ18" s="188">
        <f t="shared" si="35"/>
        <v>2</v>
      </c>
      <c r="AK18" s="188">
        <f t="shared" si="35"/>
        <v>1</v>
      </c>
      <c r="AL18" s="188">
        <f t="shared" si="35"/>
        <v>0</v>
      </c>
      <c r="AM18" s="188">
        <f t="shared" si="35"/>
        <v>0</v>
      </c>
      <c r="AN18" s="188">
        <f t="shared" si="35"/>
        <v>0</v>
      </c>
      <c r="AO18" s="188">
        <f t="shared" si="35"/>
        <v>0</v>
      </c>
      <c r="AP18" s="188">
        <f t="shared" si="35"/>
        <v>0</v>
      </c>
      <c r="AQ18" s="189"/>
      <c r="AR18" s="189"/>
      <c r="AS18" s="190">
        <f>SUMPRODUCT(--(WEEKDAY(D$3:AG$3,2)&lt;5),--ISNUMBER(MATCH(D18:AG18,{"DM","CS1","CS2","SB1","AE","CS/B"},0)))</f>
        <v>5</v>
      </c>
      <c r="AT18" s="190"/>
      <c r="AU18" s="190">
        <f>SUMPRODUCT(--(WEEKDAY(D$3:AG$3,2)=5),--ISNUMBER(MATCH(D18:AG18,{"DM","CS1","CS2","SB1","AE","CS/B","WEEKEND OUTFIELD RESERVE"},0)))</f>
        <v>0</v>
      </c>
      <c r="AV18" s="190">
        <f>SUMPRODUCT(--(WEEKDAY(D$3:AG$3,2)&gt;5),--ISNUMBER(MATCH(D18:AG18,{"DM","CS1","CS2","SB1","AE","CS/B","WEEKEND OUTFIELD RESERVE"},0)))</f>
        <v>1</v>
      </c>
      <c r="AW18" s="190"/>
      <c r="AX18" s="190">
        <f t="shared" si="3"/>
        <v>7</v>
      </c>
      <c r="AY18" s="190">
        <f t="shared" si="4"/>
        <v>6</v>
      </c>
      <c r="AZ18" s="190">
        <f t="shared" si="34"/>
        <v>1</v>
      </c>
      <c r="BA18" s="189">
        <f t="shared" si="6"/>
        <v>8</v>
      </c>
      <c r="BB18" s="189">
        <f t="shared" ref="BB18:BB42" si="36">(BA18-8.5)</f>
        <v>-0.5</v>
      </c>
      <c r="BC18" s="190">
        <f t="shared" si="7"/>
        <v>1</v>
      </c>
      <c r="BD18" s="190">
        <f t="shared" si="8"/>
        <v>0</v>
      </c>
      <c r="BE18" s="190">
        <f t="shared" si="9"/>
        <v>0</v>
      </c>
      <c r="BF18" s="190">
        <f t="shared" si="10"/>
        <v>1</v>
      </c>
      <c r="BG18" s="190">
        <f t="shared" si="11"/>
        <v>1</v>
      </c>
      <c r="BH18" s="190">
        <f t="shared" si="12"/>
        <v>0</v>
      </c>
      <c r="BI18" s="190">
        <f t="shared" si="13"/>
        <v>0</v>
      </c>
      <c r="BJ18" s="190">
        <f t="shared" si="14"/>
        <v>0</v>
      </c>
      <c r="BK18" s="190">
        <f t="shared" si="15"/>
        <v>0</v>
      </c>
      <c r="BL18" s="190">
        <f t="shared" si="16"/>
        <v>0</v>
      </c>
      <c r="BM18" s="190">
        <f t="shared" si="17"/>
        <v>0</v>
      </c>
      <c r="BN18" s="190">
        <f t="shared" si="22"/>
        <v>0</v>
      </c>
      <c r="BO18" s="190">
        <f t="shared" si="23"/>
        <v>1</v>
      </c>
      <c r="BP18" s="190">
        <f t="shared" si="24"/>
        <v>0</v>
      </c>
      <c r="BQ18" s="190"/>
    </row>
    <row r="19" ht="53.25" customHeight="1" spans="1:69">
      <c r="A19" s="184"/>
      <c r="B19" s="186" t="s">
        <v>596</v>
      </c>
      <c r="C19" s="186"/>
      <c r="D19" s="53"/>
      <c r="E19" s="53"/>
      <c r="F19" s="53"/>
      <c r="G19" s="53" t="s">
        <v>720</v>
      </c>
      <c r="H19" s="53" t="s">
        <v>720</v>
      </c>
      <c r="I19" s="53"/>
      <c r="J19" s="53"/>
      <c r="K19" s="53"/>
      <c r="L19" s="53" t="s">
        <v>707</v>
      </c>
      <c r="M19" s="53"/>
      <c r="N19" s="53"/>
      <c r="O19" s="53" t="s">
        <v>56</v>
      </c>
      <c r="P19" s="53" t="s">
        <v>380</v>
      </c>
      <c r="Q19" s="53" t="s">
        <v>380</v>
      </c>
      <c r="R19" s="53"/>
      <c r="S19" s="53" t="s">
        <v>56</v>
      </c>
      <c r="T19" s="53" t="s">
        <v>162</v>
      </c>
      <c r="U19" s="53"/>
      <c r="V19" s="53"/>
      <c r="W19" s="53" t="s">
        <v>721</v>
      </c>
      <c r="X19" s="53"/>
      <c r="Y19" s="53"/>
      <c r="Z19" s="53"/>
      <c r="AA19" s="53"/>
      <c r="AB19" s="53"/>
      <c r="AC19" s="53" t="s">
        <v>722</v>
      </c>
      <c r="AD19" s="53"/>
      <c r="AE19" s="53"/>
      <c r="AF19" s="53" t="s">
        <v>57</v>
      </c>
      <c r="AG19" s="53"/>
      <c r="AH19" s="188">
        <f t="shared" ref="AH19:AP19" si="37">COUNTIF($D19:$AG19,AH$4)</f>
        <v>1</v>
      </c>
      <c r="AI19" s="188">
        <f t="shared" si="37"/>
        <v>2</v>
      </c>
      <c r="AJ19" s="188">
        <f t="shared" si="37"/>
        <v>0</v>
      </c>
      <c r="AK19" s="188">
        <f t="shared" si="37"/>
        <v>0</v>
      </c>
      <c r="AL19" s="188">
        <f t="shared" si="37"/>
        <v>0</v>
      </c>
      <c r="AM19" s="188">
        <f t="shared" si="37"/>
        <v>0</v>
      </c>
      <c r="AN19" s="188">
        <f t="shared" si="37"/>
        <v>0</v>
      </c>
      <c r="AO19" s="188">
        <f t="shared" si="37"/>
        <v>0</v>
      </c>
      <c r="AP19" s="188">
        <f t="shared" si="37"/>
        <v>0</v>
      </c>
      <c r="AQ19" s="189"/>
      <c r="AR19" s="189">
        <v>2</v>
      </c>
      <c r="AS19" s="190">
        <f>SUMPRODUCT(--(WEEKDAY(D$3:AG$3,2)&lt;5),--ISNUMBER(MATCH(D19:AG19,{"DM","CS1","CS2","SB1","AE","CS/B"},0)))</f>
        <v>2</v>
      </c>
      <c r="AT19" s="190"/>
      <c r="AU19" s="190">
        <f>SUMPRODUCT(--(WEEKDAY(D$3:AG$3,2)=5),--ISNUMBER(MATCH(D19:AG19,{"DM","CS1","CS2","SB1","AE","CS/B","WEEKEND OUTFIELD RESERVE"},0)))</f>
        <v>0</v>
      </c>
      <c r="AV19" s="190">
        <f>SUMPRODUCT(--(WEEKDAY(D$3:AG$3,2)&gt;5),--ISNUMBER(MATCH(D19:AG19,{"DM","CS1","CS2","SB1","AE","CS/B","WEEKEND OUTFIELD RESERVE"},0)))</f>
        <v>1</v>
      </c>
      <c r="AW19" s="190"/>
      <c r="AX19" s="190">
        <f t="shared" si="3"/>
        <v>2</v>
      </c>
      <c r="AY19" s="190">
        <f t="shared" si="4"/>
        <v>3</v>
      </c>
      <c r="AZ19" s="190">
        <f t="shared" si="34"/>
        <v>1</v>
      </c>
      <c r="BA19" s="189">
        <f t="shared" si="6"/>
        <v>2.5</v>
      </c>
      <c r="BB19" s="189">
        <f t="shared" si="36"/>
        <v>-6</v>
      </c>
      <c r="BC19" s="190">
        <f t="shared" si="7"/>
        <v>0.5</v>
      </c>
      <c r="BD19" s="190">
        <f t="shared" si="8"/>
        <v>0</v>
      </c>
      <c r="BE19" s="190">
        <f t="shared" si="9"/>
        <v>0</v>
      </c>
      <c r="BF19" s="190">
        <f t="shared" si="10"/>
        <v>0</v>
      </c>
      <c r="BG19" s="190">
        <f t="shared" si="11"/>
        <v>0</v>
      </c>
      <c r="BH19" s="190">
        <f t="shared" si="12"/>
        <v>1</v>
      </c>
      <c r="BI19" s="190">
        <f t="shared" si="13"/>
        <v>0.5</v>
      </c>
      <c r="BJ19" s="190">
        <f t="shared" si="14"/>
        <v>0</v>
      </c>
      <c r="BK19" s="190">
        <f t="shared" si="15"/>
        <v>0</v>
      </c>
      <c r="BL19" s="190">
        <f t="shared" si="16"/>
        <v>0</v>
      </c>
      <c r="BM19" s="190">
        <f t="shared" si="17"/>
        <v>0</v>
      </c>
      <c r="BN19" s="190">
        <f t="shared" si="22"/>
        <v>0</v>
      </c>
      <c r="BO19" s="190">
        <f t="shared" si="23"/>
        <v>0</v>
      </c>
      <c r="BP19" s="190">
        <f t="shared" si="24"/>
        <v>0</v>
      </c>
      <c r="BQ19" s="190"/>
    </row>
    <row r="20" ht="51" customHeight="1" spans="1:69">
      <c r="A20" s="184"/>
      <c r="B20" s="186" t="s">
        <v>598</v>
      </c>
      <c r="C20" s="186"/>
      <c r="D20" s="75"/>
      <c r="E20" s="75"/>
      <c r="F20" s="53"/>
      <c r="G20" s="53" t="s">
        <v>57</v>
      </c>
      <c r="H20" s="53"/>
      <c r="I20" s="53"/>
      <c r="J20" s="53"/>
      <c r="K20" s="53" t="s">
        <v>57</v>
      </c>
      <c r="L20" s="53" t="s">
        <v>707</v>
      </c>
      <c r="M20" s="53" t="s">
        <v>54</v>
      </c>
      <c r="N20" s="53"/>
      <c r="O20" s="53"/>
      <c r="P20" s="53" t="s">
        <v>380</v>
      </c>
      <c r="Q20" s="53" t="s">
        <v>380</v>
      </c>
      <c r="R20" s="96" t="s">
        <v>57</v>
      </c>
      <c r="S20" s="53"/>
      <c r="T20" s="53" t="s">
        <v>162</v>
      </c>
      <c r="U20" s="53"/>
      <c r="V20" s="53"/>
      <c r="W20" s="53" t="s">
        <v>723</v>
      </c>
      <c r="X20" s="53"/>
      <c r="Y20" s="53"/>
      <c r="Z20" s="53"/>
      <c r="AA20" s="53"/>
      <c r="AB20" s="53"/>
      <c r="AC20" s="53"/>
      <c r="AD20" s="53"/>
      <c r="AE20" s="53"/>
      <c r="AF20" s="53"/>
      <c r="AG20" s="53" t="s">
        <v>724</v>
      </c>
      <c r="AH20" s="188">
        <f t="shared" ref="AH20:AP20" si="38">COUNTIF($D20:$AG20,AH$4)</f>
        <v>3</v>
      </c>
      <c r="AI20" s="188">
        <f t="shared" si="38"/>
        <v>0</v>
      </c>
      <c r="AJ20" s="188">
        <f t="shared" si="38"/>
        <v>0</v>
      </c>
      <c r="AK20" s="188">
        <f t="shared" si="38"/>
        <v>0</v>
      </c>
      <c r="AL20" s="188">
        <f t="shared" si="38"/>
        <v>0</v>
      </c>
      <c r="AM20" s="188">
        <f t="shared" si="38"/>
        <v>0</v>
      </c>
      <c r="AN20" s="188">
        <f t="shared" si="38"/>
        <v>0</v>
      </c>
      <c r="AO20" s="188">
        <f t="shared" si="38"/>
        <v>0</v>
      </c>
      <c r="AP20" s="188">
        <f t="shared" si="38"/>
        <v>0</v>
      </c>
      <c r="AQ20" s="189">
        <v>0.5</v>
      </c>
      <c r="AR20" s="189"/>
      <c r="AS20" s="190">
        <f>SUMPRODUCT(--(WEEKDAY(D$3:AG$3,2)&lt;5),--ISNUMBER(MATCH(D20:AG20,{"DM","CS1","CS2","SB1","AE","CS/B"},0)))</f>
        <v>2</v>
      </c>
      <c r="AT20" s="190"/>
      <c r="AU20" s="190">
        <f>SUMPRODUCT(--(WEEKDAY(D$3:AG$3,2)=5),--ISNUMBER(MATCH(D20:AG20,{"DM","CS1","CS2","SB1","AE","CS/B","WEEKEND OUTFIELD RESERVE"},0)))</f>
        <v>0</v>
      </c>
      <c r="AV20" s="190">
        <f>SUMPRODUCT(--(WEEKDAY(D$3:AG$3,2)&gt;5),--ISNUMBER(MATCH(D20:AG20,{"DM","CS1","CS2","SB1","AE","CS/B","WEEKEND OUTFIELD RESERVE"},0)))</f>
        <v>1</v>
      </c>
      <c r="AW20" s="190"/>
      <c r="AX20" s="190">
        <f t="shared" si="3"/>
        <v>4.5</v>
      </c>
      <c r="AY20" s="190">
        <f t="shared" si="4"/>
        <v>3</v>
      </c>
      <c r="AZ20" s="190">
        <f t="shared" si="34"/>
        <v>1</v>
      </c>
      <c r="BA20" s="189">
        <f t="shared" si="6"/>
        <v>5</v>
      </c>
      <c r="BB20" s="189">
        <f t="shared" si="36"/>
        <v>-3.5</v>
      </c>
      <c r="BC20" s="190">
        <f t="shared" si="7"/>
        <v>0.5</v>
      </c>
      <c r="BD20" s="190">
        <f t="shared" si="8"/>
        <v>0</v>
      </c>
      <c r="BE20" s="190">
        <f t="shared" si="9"/>
        <v>0</v>
      </c>
      <c r="BF20" s="190">
        <f t="shared" si="10"/>
        <v>0</v>
      </c>
      <c r="BG20" s="190">
        <f t="shared" si="11"/>
        <v>0</v>
      </c>
      <c r="BH20" s="190">
        <f t="shared" si="12"/>
        <v>1</v>
      </c>
      <c r="BI20" s="190">
        <f t="shared" si="13"/>
        <v>0.5</v>
      </c>
      <c r="BJ20" s="190">
        <f t="shared" si="14"/>
        <v>0</v>
      </c>
      <c r="BK20" s="190">
        <f t="shared" si="15"/>
        <v>0</v>
      </c>
      <c r="BL20" s="190">
        <f t="shared" si="16"/>
        <v>0</v>
      </c>
      <c r="BM20" s="190">
        <f t="shared" si="17"/>
        <v>0</v>
      </c>
      <c r="BN20" s="190">
        <f t="shared" si="22"/>
        <v>0</v>
      </c>
      <c r="BO20" s="190">
        <f t="shared" si="23"/>
        <v>0</v>
      </c>
      <c r="BP20" s="190">
        <f t="shared" si="24"/>
        <v>0</v>
      </c>
      <c r="BQ20" s="190"/>
    </row>
    <row r="21" ht="68.25" customHeight="1" spans="1:69">
      <c r="A21" s="184"/>
      <c r="B21" s="186" t="s">
        <v>725</v>
      </c>
      <c r="C21" s="186"/>
      <c r="D21" s="137"/>
      <c r="E21" s="137"/>
      <c r="F21" s="53" t="s">
        <v>57</v>
      </c>
      <c r="G21" s="53"/>
      <c r="H21" s="53"/>
      <c r="I21" s="53"/>
      <c r="J21" s="53" t="s">
        <v>59</v>
      </c>
      <c r="K21" s="53"/>
      <c r="L21" s="53"/>
      <c r="M21" s="53" t="s">
        <v>54</v>
      </c>
      <c r="N21" s="53" t="s">
        <v>57</v>
      </c>
      <c r="O21" s="53"/>
      <c r="P21" s="53" t="s">
        <v>57</v>
      </c>
      <c r="Q21" s="53"/>
      <c r="R21" s="53"/>
      <c r="S21" s="53" t="s">
        <v>726</v>
      </c>
      <c r="T21" s="53"/>
      <c r="U21" s="53"/>
      <c r="V21" s="53"/>
      <c r="W21" s="53" t="s">
        <v>253</v>
      </c>
      <c r="X21" s="53" t="s">
        <v>350</v>
      </c>
      <c r="Y21" s="53"/>
      <c r="Z21" s="53" t="s">
        <v>57</v>
      </c>
      <c r="AA21" s="136"/>
      <c r="AB21" s="53"/>
      <c r="AC21" s="53" t="s">
        <v>350</v>
      </c>
      <c r="AD21" s="53"/>
      <c r="AF21" s="53"/>
      <c r="AG21" s="53" t="s">
        <v>253</v>
      </c>
      <c r="AH21" s="188">
        <f t="shared" ref="AH21:AP21" si="39">COUNTIF($D21:$AG21,AH$4)</f>
        <v>4</v>
      </c>
      <c r="AI21" s="188">
        <f t="shared" si="39"/>
        <v>0</v>
      </c>
      <c r="AJ21" s="188">
        <f t="shared" si="39"/>
        <v>1</v>
      </c>
      <c r="AK21" s="188">
        <f t="shared" si="39"/>
        <v>0</v>
      </c>
      <c r="AL21" s="188">
        <f t="shared" si="39"/>
        <v>0</v>
      </c>
      <c r="AM21" s="188">
        <f t="shared" si="39"/>
        <v>0</v>
      </c>
      <c r="AN21" s="188">
        <f t="shared" si="39"/>
        <v>0</v>
      </c>
      <c r="AO21" s="188">
        <f t="shared" si="39"/>
        <v>0</v>
      </c>
      <c r="AP21" s="188">
        <f t="shared" si="39"/>
        <v>0</v>
      </c>
      <c r="AQ21" s="189"/>
      <c r="AR21" s="189">
        <v>0.5</v>
      </c>
      <c r="AS21" s="190">
        <f>SUMPRODUCT(--(WEEKDAY(D$3:AG$3,2)&lt;5),--ISNUMBER(MATCH(D21:AG21,{"DM","CS1","CS2","SB1","AE","CS/B"},0)))</f>
        <v>3</v>
      </c>
      <c r="AT21" s="190"/>
      <c r="AU21" s="190">
        <f>SUMPRODUCT(--(WEEKDAY(D$3:AG$3,2)=5),--ISNUMBER(MATCH(D21:AG21,{"DM","CS1","CS2","SB1","AE","CS/B","WEEKEND OUTFIELD RESERVE"},0)))</f>
        <v>1</v>
      </c>
      <c r="AV21" s="190">
        <f>SUMPRODUCT(--(WEEKDAY(D$3:AG$3,2)&gt;5),--ISNUMBER(MATCH(D21:AG21,{"DM","CS1","CS2","SB1","AE","CS/B","WEEKEND OUTFIELD RESERVE"},0)))</f>
        <v>1</v>
      </c>
      <c r="AW21" s="190"/>
      <c r="AX21" s="190">
        <f t="shared" si="3"/>
        <v>6</v>
      </c>
      <c r="AY21" s="190">
        <f t="shared" si="4"/>
        <v>5</v>
      </c>
      <c r="AZ21" s="190">
        <f t="shared" si="34"/>
        <v>1</v>
      </c>
      <c r="BA21" s="189">
        <f t="shared" si="6"/>
        <v>7</v>
      </c>
      <c r="BB21" s="189">
        <f t="shared" si="36"/>
        <v>-1.5</v>
      </c>
      <c r="BC21" s="190">
        <f t="shared" si="7"/>
        <v>1</v>
      </c>
      <c r="BD21" s="190">
        <f t="shared" si="8"/>
        <v>0</v>
      </c>
      <c r="BE21" s="190">
        <f t="shared" si="9"/>
        <v>0</v>
      </c>
      <c r="BF21" s="190">
        <f t="shared" si="10"/>
        <v>1</v>
      </c>
      <c r="BG21" s="190">
        <f t="shared" si="11"/>
        <v>1</v>
      </c>
      <c r="BH21" s="190">
        <f t="shared" si="12"/>
        <v>0</v>
      </c>
      <c r="BI21" s="190">
        <f t="shared" si="13"/>
        <v>0</v>
      </c>
      <c r="BJ21" s="190">
        <f t="shared" si="14"/>
        <v>0</v>
      </c>
      <c r="BK21" s="190">
        <f t="shared" si="15"/>
        <v>0</v>
      </c>
      <c r="BL21" s="190">
        <f t="shared" si="16"/>
        <v>0</v>
      </c>
      <c r="BM21" s="190">
        <f t="shared" si="17"/>
        <v>0</v>
      </c>
      <c r="BN21" s="190">
        <f t="shared" si="22"/>
        <v>0</v>
      </c>
      <c r="BO21" s="190">
        <f t="shared" si="23"/>
        <v>1</v>
      </c>
      <c r="BP21" s="190">
        <f t="shared" si="24"/>
        <v>0</v>
      </c>
      <c r="BQ21" s="190"/>
    </row>
    <row r="22" ht="19.5" customHeight="1" spans="1:69">
      <c r="A22" s="184"/>
      <c r="B22" s="186" t="s">
        <v>604</v>
      </c>
      <c r="C22" s="186"/>
      <c r="D22" s="75" t="s">
        <v>57</v>
      </c>
      <c r="E22" s="185"/>
      <c r="F22" s="53"/>
      <c r="G22" s="53" t="s">
        <v>59</v>
      </c>
      <c r="H22" s="53"/>
      <c r="I22" s="53" t="s">
        <v>57</v>
      </c>
      <c r="J22" s="53"/>
      <c r="K22" s="53"/>
      <c r="L22" s="53" t="s">
        <v>707</v>
      </c>
      <c r="M22" s="53"/>
      <c r="N22" s="53"/>
      <c r="O22" s="53"/>
      <c r="P22" s="53" t="s">
        <v>380</v>
      </c>
      <c r="Q22" s="53" t="s">
        <v>380</v>
      </c>
      <c r="R22" s="53"/>
      <c r="S22" s="53" t="s">
        <v>727</v>
      </c>
      <c r="T22" s="53" t="s">
        <v>162</v>
      </c>
      <c r="U22" s="53"/>
      <c r="V22" s="53"/>
      <c r="W22" s="53" t="s">
        <v>54</v>
      </c>
      <c r="X22" s="53"/>
      <c r="Y22" s="53"/>
      <c r="Z22" s="53"/>
      <c r="AA22" s="53" t="s">
        <v>54</v>
      </c>
      <c r="AB22" s="53"/>
      <c r="AC22" s="53"/>
      <c r="AD22" s="53" t="s">
        <v>54</v>
      </c>
      <c r="AE22" s="53"/>
      <c r="AF22" s="53"/>
      <c r="AG22" s="53" t="s">
        <v>724</v>
      </c>
      <c r="AH22" s="188">
        <f t="shared" ref="AH22:AP22" si="40">COUNTIF($D22:$AG22,AH$4)</f>
        <v>2</v>
      </c>
      <c r="AI22" s="188">
        <f t="shared" si="40"/>
        <v>0</v>
      </c>
      <c r="AJ22" s="188">
        <f t="shared" si="40"/>
        <v>1</v>
      </c>
      <c r="AK22" s="188">
        <f t="shared" si="40"/>
        <v>0</v>
      </c>
      <c r="AL22" s="188">
        <f t="shared" si="40"/>
        <v>0</v>
      </c>
      <c r="AM22" s="188">
        <f t="shared" si="40"/>
        <v>0</v>
      </c>
      <c r="AN22" s="188">
        <f t="shared" si="40"/>
        <v>0</v>
      </c>
      <c r="AO22" s="188">
        <f t="shared" si="40"/>
        <v>0</v>
      </c>
      <c r="AP22" s="188">
        <f t="shared" si="40"/>
        <v>0</v>
      </c>
      <c r="AQ22" s="189"/>
      <c r="AR22" s="189">
        <v>2</v>
      </c>
      <c r="AS22" s="190">
        <f>SUMPRODUCT(--(WEEKDAY(D$3:AG$3,2)&lt;5),--ISNUMBER(MATCH(D22:AG22,{"DM","CS1","CS2","SB1","AE","CS/B"},0)))</f>
        <v>2</v>
      </c>
      <c r="AT22" s="190"/>
      <c r="AU22" s="190">
        <f>SUMPRODUCT(--(WEEKDAY(D$3:AG$3,2)=5),--ISNUMBER(MATCH(D22:AG22,{"DM","CS1","CS2","SB1","AE","CS/B","WEEKEND OUTFIELD RESERVE"},0)))</f>
        <v>0</v>
      </c>
      <c r="AV22" s="190">
        <f>SUMPRODUCT(--(WEEKDAY(D$3:AG$3,2)&gt;5),--ISNUMBER(MATCH(D22:AG22,{"DM","CS1","CS2","SB1","AE","CS/B","WEEKEND OUTFIELD RESERVE"},0)))</f>
        <v>1</v>
      </c>
      <c r="AW22" s="190"/>
      <c r="AX22" s="190">
        <f t="shared" si="3"/>
        <v>2</v>
      </c>
      <c r="AY22" s="190">
        <f t="shared" si="4"/>
        <v>3</v>
      </c>
      <c r="AZ22" s="190">
        <f t="shared" si="34"/>
        <v>1</v>
      </c>
      <c r="BA22" s="189">
        <f t="shared" si="6"/>
        <v>2.5</v>
      </c>
      <c r="BB22" s="189">
        <f t="shared" si="36"/>
        <v>-6</v>
      </c>
      <c r="BC22" s="190">
        <f t="shared" si="7"/>
        <v>0.5</v>
      </c>
      <c r="BD22" s="190">
        <f t="shared" si="8"/>
        <v>0</v>
      </c>
      <c r="BE22" s="190">
        <f t="shared" si="9"/>
        <v>0</v>
      </c>
      <c r="BF22" s="190">
        <f t="shared" si="10"/>
        <v>0</v>
      </c>
      <c r="BG22" s="190">
        <f t="shared" si="11"/>
        <v>0</v>
      </c>
      <c r="BH22" s="190">
        <f t="shared" si="12"/>
        <v>1</v>
      </c>
      <c r="BI22" s="190">
        <f t="shared" si="13"/>
        <v>0.5</v>
      </c>
      <c r="BJ22" s="190">
        <f t="shared" si="14"/>
        <v>0</v>
      </c>
      <c r="BK22" s="190">
        <f t="shared" si="15"/>
        <v>0</v>
      </c>
      <c r="BL22" s="190">
        <f t="shared" si="16"/>
        <v>0</v>
      </c>
      <c r="BM22" s="190">
        <f t="shared" si="17"/>
        <v>0</v>
      </c>
      <c r="BN22" s="190">
        <f t="shared" si="22"/>
        <v>0</v>
      </c>
      <c r="BO22" s="190">
        <f t="shared" si="23"/>
        <v>0</v>
      </c>
      <c r="BP22" s="190">
        <f t="shared" si="24"/>
        <v>0</v>
      </c>
      <c r="BQ22" s="190"/>
    </row>
    <row r="23" ht="48" customHeight="1" spans="1:69">
      <c r="A23" s="184"/>
      <c r="B23" s="186" t="s">
        <v>609</v>
      </c>
      <c r="C23" s="186">
        <f>COUNTIF(D23:AG23,"DM")</f>
        <v>0</v>
      </c>
      <c r="D23" s="137"/>
      <c r="E23" s="137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188">
        <f t="shared" ref="AH23:AP23" si="41">COUNTIF($D23:$AG23,AH$4)</f>
        <v>0</v>
      </c>
      <c r="AI23" s="188">
        <f t="shared" si="41"/>
        <v>0</v>
      </c>
      <c r="AJ23" s="188">
        <f t="shared" si="41"/>
        <v>0</v>
      </c>
      <c r="AK23" s="188">
        <f t="shared" si="41"/>
        <v>0</v>
      </c>
      <c r="AL23" s="188">
        <f t="shared" si="41"/>
        <v>0</v>
      </c>
      <c r="AM23" s="188">
        <f t="shared" si="41"/>
        <v>0</v>
      </c>
      <c r="AN23" s="188">
        <f t="shared" si="41"/>
        <v>0</v>
      </c>
      <c r="AO23" s="188">
        <f t="shared" si="41"/>
        <v>0</v>
      </c>
      <c r="AP23" s="188">
        <f t="shared" si="41"/>
        <v>0</v>
      </c>
      <c r="AQ23" s="189"/>
      <c r="AR23" s="189">
        <v>9</v>
      </c>
      <c r="AS23" s="190">
        <f>SUMPRODUCT(--(WEEKDAY(D$3:AG$3,2)&lt;5),--ISNUMBER(MATCH(D23:AG23,{"DM","CS1","CS2","SB1","AE","CS/B"},0)))</f>
        <v>0</v>
      </c>
      <c r="AT23" s="190"/>
      <c r="AU23" s="190">
        <f>SUMPRODUCT(--(WEEKDAY(D$3:AG$3,2)=5),--ISNUMBER(MATCH(D23:AG23,{"DM","CS1","CS2","SB1","AE","CS/B","WEEKEND OUTFIELD RESERVE"},0)))</f>
        <v>0</v>
      </c>
      <c r="AV23" s="190">
        <f>SUMPRODUCT(--(WEEKDAY(D$3:AG$3,2)&gt;5),--ISNUMBER(MATCH(D23:AG23,{"DM","CS1","CS2","SB1","AE","CS/B","WEEKEND OUTFIELD RESERVE"},0)))</f>
        <v>0</v>
      </c>
      <c r="AW23" s="190"/>
      <c r="AX23" s="190">
        <f t="shared" si="3"/>
        <v>-9</v>
      </c>
      <c r="AY23" s="190">
        <f t="shared" si="4"/>
        <v>0</v>
      </c>
      <c r="AZ23" s="190">
        <f t="shared" si="34"/>
        <v>0</v>
      </c>
      <c r="BA23" s="189">
        <f t="shared" si="6"/>
        <v>-9</v>
      </c>
      <c r="BB23" s="189">
        <f t="shared" si="36"/>
        <v>-17.5</v>
      </c>
      <c r="BC23" s="190">
        <f t="shared" si="7"/>
        <v>0</v>
      </c>
      <c r="BD23" s="190">
        <f t="shared" si="8"/>
        <v>0</v>
      </c>
      <c r="BE23" s="190">
        <f t="shared" si="9"/>
        <v>0</v>
      </c>
      <c r="BF23" s="190">
        <f t="shared" si="10"/>
        <v>0</v>
      </c>
      <c r="BG23" s="190">
        <f t="shared" si="11"/>
        <v>0</v>
      </c>
      <c r="BH23" s="190">
        <f t="shared" si="12"/>
        <v>0</v>
      </c>
      <c r="BI23" s="190">
        <f t="shared" si="13"/>
        <v>0</v>
      </c>
      <c r="BJ23" s="190">
        <f t="shared" si="14"/>
        <v>0</v>
      </c>
      <c r="BK23" s="190">
        <f t="shared" si="15"/>
        <v>0</v>
      </c>
      <c r="BL23" s="190">
        <f t="shared" si="16"/>
        <v>0</v>
      </c>
      <c r="BM23" s="190">
        <f t="shared" si="17"/>
        <v>0</v>
      </c>
      <c r="BN23" s="190">
        <f t="shared" si="22"/>
        <v>0</v>
      </c>
      <c r="BO23" s="190">
        <f t="shared" si="23"/>
        <v>0</v>
      </c>
      <c r="BP23" s="190">
        <f t="shared" si="24"/>
        <v>0</v>
      </c>
      <c r="BQ23" s="190"/>
    </row>
    <row r="24" ht="48.75" customHeight="1" spans="1:69">
      <c r="A24" s="184"/>
      <c r="B24" s="186" t="s">
        <v>610</v>
      </c>
      <c r="C24" s="186"/>
      <c r="D24" s="75"/>
      <c r="E24" s="75" t="s">
        <v>93</v>
      </c>
      <c r="F24" s="53"/>
      <c r="G24" s="53" t="s">
        <v>56</v>
      </c>
      <c r="H24" s="53"/>
      <c r="I24" s="53"/>
      <c r="J24" s="53"/>
      <c r="K24" s="53" t="s">
        <v>383</v>
      </c>
      <c r="L24" s="53"/>
      <c r="M24" s="53"/>
      <c r="N24" s="53"/>
      <c r="O24" s="53"/>
      <c r="P24" s="53" t="s">
        <v>56</v>
      </c>
      <c r="Q24" s="53"/>
      <c r="R24" s="53"/>
      <c r="S24" s="53" t="s">
        <v>728</v>
      </c>
      <c r="T24" s="53"/>
      <c r="U24" s="53"/>
      <c r="V24" s="53"/>
      <c r="W24" s="53" t="s">
        <v>350</v>
      </c>
      <c r="X24" s="53"/>
      <c r="Y24" s="53"/>
      <c r="Z24" s="53"/>
      <c r="AA24" s="53" t="s">
        <v>56</v>
      </c>
      <c r="AB24" s="53"/>
      <c r="AC24" s="53"/>
      <c r="AD24" s="53" t="s">
        <v>549</v>
      </c>
      <c r="AE24" s="53"/>
      <c r="AF24" s="53" t="s">
        <v>573</v>
      </c>
      <c r="AG24" s="53" t="s">
        <v>93</v>
      </c>
      <c r="AH24" s="188">
        <f t="shared" ref="AH24:AP24" si="42">COUNTIF($D24:$AG24,AH$4)</f>
        <v>0</v>
      </c>
      <c r="AI24" s="188">
        <f t="shared" si="42"/>
        <v>3</v>
      </c>
      <c r="AJ24" s="188">
        <f t="shared" si="42"/>
        <v>0</v>
      </c>
      <c r="AK24" s="188">
        <f t="shared" si="42"/>
        <v>0</v>
      </c>
      <c r="AL24" s="188">
        <f t="shared" si="42"/>
        <v>0</v>
      </c>
      <c r="AM24" s="188">
        <f t="shared" si="42"/>
        <v>2</v>
      </c>
      <c r="AN24" s="188">
        <f t="shared" si="42"/>
        <v>0</v>
      </c>
      <c r="AO24" s="188">
        <f t="shared" si="42"/>
        <v>0</v>
      </c>
      <c r="AP24" s="188">
        <f t="shared" si="42"/>
        <v>0</v>
      </c>
      <c r="AQ24" s="189"/>
      <c r="AR24" s="189">
        <v>0.5</v>
      </c>
      <c r="AS24" s="190">
        <f>SUMPRODUCT(--(WEEKDAY(D$3:AG$3,2)&lt;5),--ISNUMBER(MATCH(D24:AG24,{"DM","CS1","CS2","SB1","AE","CS/B"},0)))</f>
        <v>1</v>
      </c>
      <c r="AT24" s="190"/>
      <c r="AU24" s="190">
        <f>SUMPRODUCT(--(WEEKDAY(D$3:AG$3,2)=5),--ISNUMBER(MATCH(D24:AG24,{"DM","CS1","CS2","SB1","AE","CS/B","WEEKEND OUTFIELD RESERVE"},0)))</f>
        <v>1</v>
      </c>
      <c r="AV24" s="190">
        <f>SUMPRODUCT(--(WEEKDAY(D$3:AG$3,2)&gt;5),--ISNUMBER(MATCH(D24:AG24,{"DM","CS1","CS2","SB1","AE","CS/B","WEEKEND OUTFIELD RESERVE"},0)))</f>
        <v>1</v>
      </c>
      <c r="AW24" s="190"/>
      <c r="AX24" s="190">
        <f t="shared" si="3"/>
        <v>5</v>
      </c>
      <c r="AY24" s="190">
        <f t="shared" si="4"/>
        <v>3</v>
      </c>
      <c r="AZ24" s="190">
        <f t="shared" si="34"/>
        <v>3</v>
      </c>
      <c r="BA24" s="189">
        <f t="shared" si="6"/>
        <v>8</v>
      </c>
      <c r="BB24" s="189">
        <f t="shared" si="36"/>
        <v>-0.5</v>
      </c>
      <c r="BC24" s="190">
        <f t="shared" si="7"/>
        <v>3</v>
      </c>
      <c r="BD24" s="190">
        <f t="shared" si="8"/>
        <v>1</v>
      </c>
      <c r="BE24" s="190">
        <f t="shared" si="9"/>
        <v>1.5</v>
      </c>
      <c r="BF24" s="190">
        <f t="shared" si="10"/>
        <v>1</v>
      </c>
      <c r="BG24" s="190">
        <f t="shared" si="11"/>
        <v>1</v>
      </c>
      <c r="BH24" s="190">
        <f t="shared" si="12"/>
        <v>0</v>
      </c>
      <c r="BI24" s="190">
        <f t="shared" si="13"/>
        <v>0</v>
      </c>
      <c r="BJ24" s="190">
        <f t="shared" si="14"/>
        <v>1</v>
      </c>
      <c r="BK24" s="190">
        <f t="shared" si="15"/>
        <v>0.5</v>
      </c>
      <c r="BL24" s="190">
        <f t="shared" si="16"/>
        <v>0</v>
      </c>
      <c r="BM24" s="190">
        <f t="shared" si="17"/>
        <v>0</v>
      </c>
      <c r="BN24" s="190">
        <f t="shared" si="22"/>
        <v>0</v>
      </c>
      <c r="BO24" s="190">
        <f t="shared" si="23"/>
        <v>1</v>
      </c>
      <c r="BP24" s="190">
        <f t="shared" si="24"/>
        <v>0</v>
      </c>
      <c r="BQ24" s="190"/>
    </row>
    <row r="25" ht="19.5" customHeight="1" spans="1:69">
      <c r="A25" s="184"/>
      <c r="B25" s="186" t="s">
        <v>614</v>
      </c>
      <c r="C25" s="193">
        <f>COUNTIF(D25:AG25,"DM")</f>
        <v>2</v>
      </c>
      <c r="D25" s="75"/>
      <c r="E25" s="75"/>
      <c r="F25" s="53"/>
      <c r="G25" s="53"/>
      <c r="H25" s="53" t="s">
        <v>350</v>
      </c>
      <c r="I25" s="53"/>
      <c r="J25" s="53"/>
      <c r="K25" s="53"/>
      <c r="L25" s="53"/>
      <c r="M25" s="53"/>
      <c r="N25" s="53"/>
      <c r="O25" s="53"/>
      <c r="P25" s="53"/>
      <c r="Q25" s="53"/>
      <c r="R25" s="53" t="s">
        <v>59</v>
      </c>
      <c r="S25" s="53"/>
      <c r="T25" s="53" t="s">
        <v>350</v>
      </c>
      <c r="U25" s="53"/>
      <c r="V25" s="53"/>
      <c r="W25" s="53" t="s">
        <v>566</v>
      </c>
      <c r="X25" s="53"/>
      <c r="Y25" s="53" t="s">
        <v>180</v>
      </c>
      <c r="Z25" s="53" t="s">
        <v>57</v>
      </c>
      <c r="AA25" s="53"/>
      <c r="AB25" s="53" t="s">
        <v>58</v>
      </c>
      <c r="AC25" s="53"/>
      <c r="AD25" s="53"/>
      <c r="AE25" s="53" t="s">
        <v>57</v>
      </c>
      <c r="AF25" s="53"/>
      <c r="AG25" s="53"/>
      <c r="AH25" s="188">
        <f t="shared" ref="AH25:AP25" si="43">COUNTIF($D25:$AG25,AH$4)</f>
        <v>2</v>
      </c>
      <c r="AI25" s="188">
        <f t="shared" si="43"/>
        <v>0</v>
      </c>
      <c r="AJ25" s="188">
        <f t="shared" si="43"/>
        <v>1</v>
      </c>
      <c r="AK25" s="188">
        <f t="shared" si="43"/>
        <v>1</v>
      </c>
      <c r="AL25" s="188">
        <f t="shared" si="43"/>
        <v>1</v>
      </c>
      <c r="AM25" s="188">
        <f t="shared" si="43"/>
        <v>0</v>
      </c>
      <c r="AN25" s="188">
        <f t="shared" si="43"/>
        <v>0</v>
      </c>
      <c r="AO25" s="188">
        <f t="shared" si="43"/>
        <v>0</v>
      </c>
      <c r="AP25" s="188">
        <f t="shared" si="43"/>
        <v>0</v>
      </c>
      <c r="AQ25" s="189"/>
      <c r="AR25" s="189">
        <v>0.5</v>
      </c>
      <c r="AS25" s="190">
        <f>SUMPRODUCT(--(WEEKDAY(D$3:AG$3,2)&lt;5),--ISNUMBER(MATCH(D25:AG25,{"DM","CS1","CS2","SB1","AE","CS/B"},0)))</f>
        <v>4</v>
      </c>
      <c r="AT25" s="194"/>
      <c r="AU25" s="190">
        <f>SUMPRODUCT(--(WEEKDAY(D$3:AG$3,2)=5),--ISNUMBER(MATCH(D25:AG25,{"DM","CS1","CS2","SB1","AE","CS/B","WEEKEND OUTFIELD RESERVE"},0)))</f>
        <v>0</v>
      </c>
      <c r="AV25" s="190">
        <f>SUMPRODUCT(--(WEEKDAY(D$3:AG$3,2)&gt;5),--ISNUMBER(MATCH(D25:AG25,{"DM","CS1","CS2","SB1","AE","CS/B","WEEKEND OUTFIELD RESERVE"},0)))</f>
        <v>1</v>
      </c>
      <c r="AW25" s="194"/>
      <c r="AX25" s="190">
        <f t="shared" si="3"/>
        <v>5.5</v>
      </c>
      <c r="AY25" s="190">
        <f t="shared" si="4"/>
        <v>5</v>
      </c>
      <c r="AZ25" s="190">
        <f t="shared" si="34"/>
        <v>1</v>
      </c>
      <c r="BA25" s="189">
        <f t="shared" si="6"/>
        <v>6</v>
      </c>
      <c r="BB25" s="189">
        <f t="shared" si="36"/>
        <v>-2.5</v>
      </c>
      <c r="BC25" s="190">
        <f t="shared" si="7"/>
        <v>0.5</v>
      </c>
      <c r="BD25" s="190">
        <f t="shared" si="8"/>
        <v>0</v>
      </c>
      <c r="BE25" s="190">
        <f t="shared" si="9"/>
        <v>0</v>
      </c>
      <c r="BF25" s="190">
        <f t="shared" si="10"/>
        <v>0</v>
      </c>
      <c r="BG25" s="190">
        <f t="shared" si="11"/>
        <v>0</v>
      </c>
      <c r="BH25" s="190">
        <f t="shared" si="12"/>
        <v>0</v>
      </c>
      <c r="BI25" s="190">
        <f t="shared" si="13"/>
        <v>0</v>
      </c>
      <c r="BJ25" s="190">
        <f t="shared" si="14"/>
        <v>1</v>
      </c>
      <c r="BK25" s="190">
        <f t="shared" si="15"/>
        <v>0.5</v>
      </c>
      <c r="BL25" s="190">
        <f t="shared" si="16"/>
        <v>0</v>
      </c>
      <c r="BM25" s="190">
        <f t="shared" si="17"/>
        <v>0</v>
      </c>
      <c r="BN25" s="190">
        <f t="shared" si="22"/>
        <v>0</v>
      </c>
      <c r="BO25" s="190">
        <f t="shared" si="23"/>
        <v>2</v>
      </c>
      <c r="BP25" s="190">
        <f t="shared" si="24"/>
        <v>0</v>
      </c>
      <c r="BQ25" s="194"/>
    </row>
    <row r="26" ht="19.5" customHeight="1" spans="1:69">
      <c r="A26" s="184"/>
      <c r="B26" s="186" t="s">
        <v>618</v>
      </c>
      <c r="C26" s="193">
        <f>COUNTIF(D26:AG26,"DM")</f>
        <v>3</v>
      </c>
      <c r="D26" s="137"/>
      <c r="E26" s="53"/>
      <c r="F26" s="53" t="s">
        <v>350</v>
      </c>
      <c r="G26" s="53"/>
      <c r="H26" s="53"/>
      <c r="I26" s="53"/>
      <c r="J26" s="53" t="s">
        <v>57</v>
      </c>
      <c r="K26" s="53"/>
      <c r="L26" s="53" t="s">
        <v>57</v>
      </c>
      <c r="M26" s="53" t="s">
        <v>93</v>
      </c>
      <c r="N26" s="53"/>
      <c r="O26" s="53"/>
      <c r="P26" s="53" t="s">
        <v>729</v>
      </c>
      <c r="Q26" s="53" t="s">
        <v>477</v>
      </c>
      <c r="R26" s="53" t="s">
        <v>730</v>
      </c>
      <c r="S26" s="53" t="s">
        <v>477</v>
      </c>
      <c r="T26" s="53" t="s">
        <v>477</v>
      </c>
      <c r="U26" s="53"/>
      <c r="V26" s="53"/>
      <c r="W26" s="53" t="s">
        <v>477</v>
      </c>
      <c r="X26" s="53" t="s">
        <v>477</v>
      </c>
      <c r="Y26" s="53" t="s">
        <v>477</v>
      </c>
      <c r="Z26" s="53" t="s">
        <v>477</v>
      </c>
      <c r="AA26" s="53" t="s">
        <v>477</v>
      </c>
      <c r="AB26" s="53" t="s">
        <v>56</v>
      </c>
      <c r="AC26" s="53"/>
      <c r="AD26" s="53" t="s">
        <v>57</v>
      </c>
      <c r="AE26" s="53"/>
      <c r="AF26" s="53" t="s">
        <v>304</v>
      </c>
      <c r="AG26" s="53"/>
      <c r="AH26" s="188">
        <f t="shared" ref="AH26:AP26" si="44">COUNTIF($D26:$AG26,AH$4)</f>
        <v>3</v>
      </c>
      <c r="AI26" s="188">
        <f t="shared" si="44"/>
        <v>1</v>
      </c>
      <c r="AJ26" s="188">
        <f t="shared" si="44"/>
        <v>0</v>
      </c>
      <c r="AK26" s="188">
        <f t="shared" si="44"/>
        <v>0</v>
      </c>
      <c r="AL26" s="188">
        <f t="shared" si="44"/>
        <v>0</v>
      </c>
      <c r="AM26" s="188">
        <f t="shared" si="44"/>
        <v>1</v>
      </c>
      <c r="AN26" s="188">
        <f t="shared" si="44"/>
        <v>0</v>
      </c>
      <c r="AO26" s="188">
        <f t="shared" si="44"/>
        <v>0</v>
      </c>
      <c r="AP26" s="188">
        <f t="shared" si="44"/>
        <v>0</v>
      </c>
      <c r="AQ26" s="189"/>
      <c r="AR26" s="189">
        <v>1</v>
      </c>
      <c r="AS26" s="190">
        <f>SUMPRODUCT(--(WEEKDAY(D$3:AG$3,2)&lt;5),--ISNUMBER(MATCH(D26:AG26,{"DM","CS1","CS2","SB1","AE","CS/B"},0)))</f>
        <v>3</v>
      </c>
      <c r="AT26" s="194"/>
      <c r="AU26" s="190">
        <f>SUMPRODUCT(--(WEEKDAY(D$3:AG$3,2)=5),--ISNUMBER(MATCH(D26:AG26,{"DM","CS1","CS2","SB1","AE","CS/B","WEEKEND OUTFIELD RESERVE"},0)))</f>
        <v>0</v>
      </c>
      <c r="AV26" s="190">
        <f>SUMPRODUCT(--(WEEKDAY(D$3:AG$3,2)&gt;5),--ISNUMBER(MATCH(D26:AG26,{"DM","CS1","CS2","SB1","AE","CS/B","WEEKEND OUTFIELD RESERVE"},0)))</f>
        <v>1</v>
      </c>
      <c r="AW26" s="194"/>
      <c r="AX26" s="190">
        <f t="shared" si="3"/>
        <v>4.5</v>
      </c>
      <c r="AY26" s="190">
        <f t="shared" si="4"/>
        <v>4</v>
      </c>
      <c r="AZ26" s="190">
        <f t="shared" si="34"/>
        <v>1</v>
      </c>
      <c r="BA26" s="189">
        <f t="shared" si="6"/>
        <v>5.5</v>
      </c>
      <c r="BB26" s="189">
        <f t="shared" si="36"/>
        <v>-3</v>
      </c>
      <c r="BC26" s="190">
        <f t="shared" si="7"/>
        <v>1</v>
      </c>
      <c r="BD26" s="190">
        <f t="shared" si="8"/>
        <v>0</v>
      </c>
      <c r="BE26" s="190">
        <f t="shared" si="9"/>
        <v>0</v>
      </c>
      <c r="BF26" s="190">
        <f t="shared" si="10"/>
        <v>1</v>
      </c>
      <c r="BG26" s="190">
        <f t="shared" si="11"/>
        <v>1</v>
      </c>
      <c r="BH26" s="190">
        <f t="shared" si="12"/>
        <v>0</v>
      </c>
      <c r="BI26" s="190">
        <f t="shared" si="13"/>
        <v>0</v>
      </c>
      <c r="BJ26" s="190">
        <f t="shared" si="14"/>
        <v>0</v>
      </c>
      <c r="BK26" s="190">
        <f t="shared" si="15"/>
        <v>0</v>
      </c>
      <c r="BL26" s="190">
        <f t="shared" si="16"/>
        <v>0</v>
      </c>
      <c r="BM26" s="190">
        <f t="shared" si="17"/>
        <v>0</v>
      </c>
      <c r="BN26" s="190">
        <f t="shared" si="22"/>
        <v>0</v>
      </c>
      <c r="BO26" s="190">
        <f t="shared" si="23"/>
        <v>1</v>
      </c>
      <c r="BP26" s="190">
        <f t="shared" si="24"/>
        <v>0</v>
      </c>
      <c r="BQ26" s="194"/>
    </row>
    <row r="27" ht="19.5" customHeight="1" spans="1:69">
      <c r="A27" s="184"/>
      <c r="B27" s="186" t="s">
        <v>442</v>
      </c>
      <c r="C27" s="193"/>
      <c r="D27" s="75" t="s">
        <v>56</v>
      </c>
      <c r="E27" s="75"/>
      <c r="F27" s="53"/>
      <c r="G27" s="53"/>
      <c r="H27" s="53"/>
      <c r="I27" s="53" t="s">
        <v>731</v>
      </c>
      <c r="J27" s="53" t="s">
        <v>731</v>
      </c>
      <c r="K27" s="53" t="s">
        <v>731</v>
      </c>
      <c r="L27" s="53" t="s">
        <v>731</v>
      </c>
      <c r="M27" s="53" t="s">
        <v>731</v>
      </c>
      <c r="N27" s="53" t="s">
        <v>731</v>
      </c>
      <c r="O27" s="53" t="s">
        <v>731</v>
      </c>
      <c r="P27" s="53" t="s">
        <v>731</v>
      </c>
      <c r="Q27" s="53" t="s">
        <v>731</v>
      </c>
      <c r="R27" s="53" t="s">
        <v>731</v>
      </c>
      <c r="S27" s="53" t="s">
        <v>731</v>
      </c>
      <c r="T27" s="53" t="s">
        <v>731</v>
      </c>
      <c r="U27" s="53" t="s">
        <v>731</v>
      </c>
      <c r="V27" s="53" t="s">
        <v>731</v>
      </c>
      <c r="W27" s="53" t="s">
        <v>731</v>
      </c>
      <c r="X27" s="53" t="s">
        <v>731</v>
      </c>
      <c r="Y27" s="53" t="s">
        <v>731</v>
      </c>
      <c r="Z27" s="53" t="s">
        <v>731</v>
      </c>
      <c r="AA27" s="53" t="s">
        <v>731</v>
      </c>
      <c r="AB27" s="53" t="s">
        <v>731</v>
      </c>
      <c r="AC27" s="53" t="s">
        <v>731</v>
      </c>
      <c r="AD27" s="53" t="s">
        <v>731</v>
      </c>
      <c r="AE27" s="53"/>
      <c r="AF27" s="53"/>
      <c r="AG27" s="53"/>
      <c r="AH27" s="188">
        <f t="shared" ref="AH27:AP27" si="45">COUNTIF($D27:$AG27,AH$4)</f>
        <v>0</v>
      </c>
      <c r="AI27" s="188">
        <f t="shared" si="45"/>
        <v>1</v>
      </c>
      <c r="AJ27" s="188">
        <f t="shared" si="45"/>
        <v>0</v>
      </c>
      <c r="AK27" s="188">
        <f t="shared" si="45"/>
        <v>0</v>
      </c>
      <c r="AL27" s="188">
        <f t="shared" si="45"/>
        <v>0</v>
      </c>
      <c r="AM27" s="188">
        <f t="shared" si="45"/>
        <v>0</v>
      </c>
      <c r="AN27" s="188">
        <f t="shared" si="45"/>
        <v>0</v>
      </c>
      <c r="AO27" s="188">
        <f t="shared" si="45"/>
        <v>0</v>
      </c>
      <c r="AP27" s="188">
        <f t="shared" si="45"/>
        <v>0</v>
      </c>
      <c r="AQ27" s="189"/>
      <c r="AR27" s="189">
        <v>0.5</v>
      </c>
      <c r="AS27" s="190">
        <f>SUMPRODUCT(--(WEEKDAY(D$3:AG$3,2)&lt;5),--ISNUMBER(MATCH(D27:AG27,{"DM","CS1","CS2","SB1","AE","CS/B"},0)))</f>
        <v>1</v>
      </c>
      <c r="AT27" s="194"/>
      <c r="AU27" s="190">
        <f>SUMPRODUCT(--(WEEKDAY(D$3:AG$3,2)=5),--ISNUMBER(MATCH(D27:AG27,{"DM","CS1","CS2","SB1","AE","CS/B","WEEKEND OUTFIELD RESERVE"},0)))</f>
        <v>0</v>
      </c>
      <c r="AV27" s="190">
        <f>SUMPRODUCT(--(WEEKDAY(D$3:AG$3,2)&gt;5),--ISNUMBER(MATCH(D27:AG27,{"DM","CS1","CS2","SB1","AE","CS/B","WEEKEND OUTFIELD RESERVE"},0)))</f>
        <v>0</v>
      </c>
      <c r="AW27" s="194"/>
      <c r="AX27" s="190">
        <f t="shared" si="3"/>
        <v>0.5</v>
      </c>
      <c r="AY27" s="190">
        <f t="shared" si="4"/>
        <v>1</v>
      </c>
      <c r="AZ27" s="190">
        <f t="shared" si="34"/>
        <v>0</v>
      </c>
      <c r="BA27" s="189">
        <f t="shared" si="6"/>
        <v>0.5</v>
      </c>
      <c r="BB27" s="189">
        <f t="shared" si="36"/>
        <v>-8</v>
      </c>
      <c r="BC27" s="190">
        <f t="shared" si="7"/>
        <v>0</v>
      </c>
      <c r="BD27" s="190">
        <f t="shared" si="8"/>
        <v>0</v>
      </c>
      <c r="BE27" s="190">
        <f t="shared" si="9"/>
        <v>0</v>
      </c>
      <c r="BF27" s="190">
        <f t="shared" si="10"/>
        <v>0</v>
      </c>
      <c r="BG27" s="190">
        <f t="shared" si="11"/>
        <v>0</v>
      </c>
      <c r="BH27" s="190">
        <f t="shared" si="12"/>
        <v>0</v>
      </c>
      <c r="BI27" s="190">
        <f t="shared" si="13"/>
        <v>0</v>
      </c>
      <c r="BJ27" s="190">
        <f t="shared" si="14"/>
        <v>0</v>
      </c>
      <c r="BK27" s="190">
        <f t="shared" si="15"/>
        <v>0</v>
      </c>
      <c r="BL27" s="190">
        <f t="shared" si="16"/>
        <v>0</v>
      </c>
      <c r="BM27" s="190">
        <f t="shared" si="17"/>
        <v>0</v>
      </c>
      <c r="BN27" s="190">
        <f t="shared" si="22"/>
        <v>0</v>
      </c>
      <c r="BO27" s="190">
        <f t="shared" si="23"/>
        <v>0</v>
      </c>
      <c r="BP27" s="190">
        <f t="shared" si="24"/>
        <v>0</v>
      </c>
      <c r="BQ27" s="194"/>
    </row>
    <row r="28" ht="19.5" customHeight="1" spans="1:69">
      <c r="A28" s="184"/>
      <c r="B28" s="186" t="s">
        <v>623</v>
      </c>
      <c r="C28" s="193">
        <f>COUNTIF(D28:AG28,"DM")</f>
        <v>4</v>
      </c>
      <c r="D28" s="137" t="s">
        <v>59</v>
      </c>
      <c r="E28" s="137"/>
      <c r="F28" s="53"/>
      <c r="G28" s="53"/>
      <c r="H28" s="53"/>
      <c r="I28" s="53" t="s">
        <v>57</v>
      </c>
      <c r="J28" s="53"/>
      <c r="K28" s="53"/>
      <c r="L28" s="53"/>
      <c r="M28" s="53"/>
      <c r="N28" s="53"/>
      <c r="O28" s="53"/>
      <c r="P28" s="53"/>
      <c r="Q28" s="53"/>
      <c r="R28" s="53" t="s">
        <v>57</v>
      </c>
      <c r="S28" s="53"/>
      <c r="T28" s="53"/>
      <c r="U28" s="53"/>
      <c r="V28" s="53" t="s">
        <v>566</v>
      </c>
      <c r="W28" s="53"/>
      <c r="X28" s="53"/>
      <c r="Y28" s="53" t="s">
        <v>57</v>
      </c>
      <c r="Z28" s="53"/>
      <c r="AA28" s="53" t="s">
        <v>57</v>
      </c>
      <c r="AB28" s="53"/>
      <c r="AC28" s="53"/>
      <c r="AD28" s="53" t="s">
        <v>732</v>
      </c>
      <c r="AE28" s="53"/>
      <c r="AF28" s="53"/>
      <c r="AG28" s="53" t="s">
        <v>350</v>
      </c>
      <c r="AH28" s="188">
        <f t="shared" ref="AH28:AP28" si="46">COUNTIF($D28:$AG28,AH$4)</f>
        <v>4</v>
      </c>
      <c r="AI28" s="188">
        <f t="shared" si="46"/>
        <v>0</v>
      </c>
      <c r="AJ28" s="188">
        <f t="shared" si="46"/>
        <v>1</v>
      </c>
      <c r="AK28" s="188">
        <f t="shared" si="46"/>
        <v>1</v>
      </c>
      <c r="AL28" s="188">
        <f t="shared" si="46"/>
        <v>0</v>
      </c>
      <c r="AM28" s="188">
        <f t="shared" si="46"/>
        <v>0</v>
      </c>
      <c r="AN28" s="188">
        <f t="shared" si="46"/>
        <v>0</v>
      </c>
      <c r="AO28" s="188">
        <f t="shared" si="46"/>
        <v>0</v>
      </c>
      <c r="AP28" s="188">
        <f t="shared" si="46"/>
        <v>0</v>
      </c>
      <c r="AQ28" s="189">
        <v>0.5</v>
      </c>
      <c r="AR28" s="189"/>
      <c r="AS28" s="190">
        <f>SUMPRODUCT(--(WEEKDAY(D$3:AG$3,2)&lt;5),--ISNUMBER(MATCH(D28:AG28,{"DM","CS1","CS2","SB1","AE","CS/B"},0)))</f>
        <v>4</v>
      </c>
      <c r="AT28" s="194"/>
      <c r="AU28" s="190">
        <f>SUMPRODUCT(--(WEEKDAY(D$3:AG$3,2)=5),--ISNUMBER(MATCH(D28:AG28,{"DM","CS1","CS2","SB1","AE","CS/B","WEEKEND OUTFIELD RESERVE"},0)))</f>
        <v>1</v>
      </c>
      <c r="AV28" s="190">
        <f>SUMPRODUCT(--(WEEKDAY(D$3:AG$3,2)&gt;5),--ISNUMBER(MATCH(D28:AG28,{"DM","CS1","CS2","SB1","AE","CS/B","WEEKEND OUTFIELD RESERVE"},0)))</f>
        <v>1</v>
      </c>
      <c r="AW28" s="194"/>
      <c r="AX28" s="190">
        <f t="shared" si="3"/>
        <v>8</v>
      </c>
      <c r="AY28" s="190">
        <f t="shared" si="4"/>
        <v>6</v>
      </c>
      <c r="AZ28" s="190">
        <f t="shared" si="34"/>
        <v>1</v>
      </c>
      <c r="BA28" s="189">
        <f t="shared" si="6"/>
        <v>8.5</v>
      </c>
      <c r="BB28" s="189">
        <f t="shared" si="36"/>
        <v>0</v>
      </c>
      <c r="BC28" s="190">
        <f t="shared" si="7"/>
        <v>0.5</v>
      </c>
      <c r="BD28" s="190">
        <f t="shared" si="8"/>
        <v>0</v>
      </c>
      <c r="BE28" s="190">
        <f t="shared" si="9"/>
        <v>0</v>
      </c>
      <c r="BF28" s="190">
        <f t="shared" si="10"/>
        <v>0</v>
      </c>
      <c r="BG28" s="190">
        <f t="shared" si="11"/>
        <v>0</v>
      </c>
      <c r="BH28" s="190">
        <f t="shared" si="12"/>
        <v>0</v>
      </c>
      <c r="BI28" s="190">
        <f t="shared" si="13"/>
        <v>0</v>
      </c>
      <c r="BJ28" s="190">
        <f t="shared" si="14"/>
        <v>1</v>
      </c>
      <c r="BK28" s="190">
        <f t="shared" si="15"/>
        <v>0.5</v>
      </c>
      <c r="BL28" s="190">
        <f t="shared" si="16"/>
        <v>0</v>
      </c>
      <c r="BM28" s="190">
        <f t="shared" si="17"/>
        <v>0</v>
      </c>
      <c r="BN28" s="190">
        <f t="shared" si="22"/>
        <v>0</v>
      </c>
      <c r="BO28" s="190">
        <f t="shared" si="23"/>
        <v>0</v>
      </c>
      <c r="BP28" s="190">
        <f t="shared" si="24"/>
        <v>0</v>
      </c>
      <c r="BQ28" s="194"/>
    </row>
    <row r="29" ht="47.25" customHeight="1" spans="1:69">
      <c r="A29" s="184"/>
      <c r="B29" s="186" t="s">
        <v>625</v>
      </c>
      <c r="C29" s="186"/>
      <c r="D29" s="75"/>
      <c r="E29" s="75"/>
      <c r="F29" s="53"/>
      <c r="G29" s="53"/>
      <c r="H29" s="53"/>
      <c r="I29" s="53"/>
      <c r="J29" s="53" t="s">
        <v>56</v>
      </c>
      <c r="K29" s="53"/>
      <c r="L29" s="53" t="s">
        <v>707</v>
      </c>
      <c r="M29" s="53" t="s">
        <v>59</v>
      </c>
      <c r="N29" s="53"/>
      <c r="O29" s="53" t="s">
        <v>566</v>
      </c>
      <c r="P29" s="53" t="s">
        <v>380</v>
      </c>
      <c r="Q29" s="53" t="s">
        <v>380</v>
      </c>
      <c r="R29" s="53"/>
      <c r="S29" s="53" t="s">
        <v>350</v>
      </c>
      <c r="T29" s="53" t="s">
        <v>162</v>
      </c>
      <c r="U29" s="53"/>
      <c r="V29" s="53"/>
      <c r="W29" s="53"/>
      <c r="X29" s="53"/>
      <c r="Y29" s="53" t="s">
        <v>56</v>
      </c>
      <c r="Z29" s="53"/>
      <c r="AA29" s="53" t="s">
        <v>54</v>
      </c>
      <c r="AB29" s="53" t="s">
        <v>54</v>
      </c>
      <c r="AC29" s="53" t="s">
        <v>54</v>
      </c>
      <c r="AD29" s="53"/>
      <c r="AE29" s="53"/>
      <c r="AF29" s="53"/>
      <c r="AG29" s="53"/>
      <c r="AH29" s="188">
        <f t="shared" ref="AH29:AP29" si="47">COUNTIF($D29:$AG29,AH$4)</f>
        <v>0</v>
      </c>
      <c r="AI29" s="188">
        <f t="shared" si="47"/>
        <v>2</v>
      </c>
      <c r="AJ29" s="188">
        <f t="shared" si="47"/>
        <v>1</v>
      </c>
      <c r="AK29" s="188">
        <f t="shared" si="47"/>
        <v>1</v>
      </c>
      <c r="AL29" s="188">
        <f t="shared" si="47"/>
        <v>0</v>
      </c>
      <c r="AM29" s="188">
        <f t="shared" si="47"/>
        <v>0</v>
      </c>
      <c r="AN29" s="188">
        <f t="shared" si="47"/>
        <v>0</v>
      </c>
      <c r="AO29" s="188">
        <f t="shared" si="47"/>
        <v>0</v>
      </c>
      <c r="AP29" s="188">
        <f t="shared" si="47"/>
        <v>0</v>
      </c>
      <c r="AQ29" s="189">
        <v>2</v>
      </c>
      <c r="AR29" s="189"/>
      <c r="AS29" s="190">
        <f>SUMPRODUCT(--(WEEKDAY(D$3:AG$3,2)&lt;5),--ISNUMBER(MATCH(D29:AG29,{"DM","CS1","CS2","SB1","AE","CS/B"},0)))</f>
        <v>2</v>
      </c>
      <c r="AT29" s="194"/>
      <c r="AU29" s="190">
        <f>SUMPRODUCT(--(WEEKDAY(D$3:AG$3,2)=5),--ISNUMBER(MATCH(D29:AG29,{"DM","CS1","CS2","SB1","AE","CS/B","WEEKEND OUTFIELD RESERVE"},0)))</f>
        <v>1</v>
      </c>
      <c r="AV29" s="190">
        <f>SUMPRODUCT(--(WEEKDAY(D$3:AG$3,2)&gt;5),--ISNUMBER(MATCH(D29:AG29,{"DM","CS1","CS2","SB1","AE","CS/B","WEEKEND OUTFIELD RESERVE"},0)))</f>
        <v>1</v>
      </c>
      <c r="AW29" s="194"/>
      <c r="AX29" s="190">
        <f t="shared" si="3"/>
        <v>7.5</v>
      </c>
      <c r="AY29" s="190">
        <f t="shared" si="4"/>
        <v>4</v>
      </c>
      <c r="AZ29" s="190">
        <f t="shared" si="34"/>
        <v>0</v>
      </c>
      <c r="BA29" s="189">
        <f t="shared" si="6"/>
        <v>7.5</v>
      </c>
      <c r="BB29" s="189">
        <f t="shared" si="36"/>
        <v>-1</v>
      </c>
      <c r="BC29" s="190">
        <f t="shared" si="7"/>
        <v>0</v>
      </c>
      <c r="BD29" s="190">
        <f t="shared" si="8"/>
        <v>0</v>
      </c>
      <c r="BE29" s="190">
        <f t="shared" si="9"/>
        <v>0</v>
      </c>
      <c r="BF29" s="190">
        <f t="shared" si="10"/>
        <v>0</v>
      </c>
      <c r="BG29" s="190">
        <f t="shared" si="11"/>
        <v>0</v>
      </c>
      <c r="BH29" s="190">
        <f t="shared" si="12"/>
        <v>0</v>
      </c>
      <c r="BI29" s="190">
        <f t="shared" si="13"/>
        <v>0</v>
      </c>
      <c r="BJ29" s="190">
        <f t="shared" si="14"/>
        <v>0</v>
      </c>
      <c r="BK29" s="190">
        <f t="shared" si="15"/>
        <v>0</v>
      </c>
      <c r="BL29" s="190">
        <f t="shared" si="16"/>
        <v>0</v>
      </c>
      <c r="BM29" s="190">
        <f t="shared" si="17"/>
        <v>0</v>
      </c>
      <c r="BN29" s="190">
        <f t="shared" si="22"/>
        <v>0</v>
      </c>
      <c r="BO29" s="190">
        <f t="shared" si="23"/>
        <v>1</v>
      </c>
      <c r="BP29" s="190">
        <f t="shared" si="24"/>
        <v>0</v>
      </c>
      <c r="BQ29" s="194"/>
    </row>
    <row r="30" ht="19.5" customHeight="1" spans="1:69">
      <c r="A30" s="184"/>
      <c r="B30" s="186" t="s">
        <v>627</v>
      </c>
      <c r="C30" s="193">
        <f>COUNTIF(D30:AG30,"DM")</f>
        <v>2</v>
      </c>
      <c r="D30" s="137"/>
      <c r="E30" s="137"/>
      <c r="F30" s="53"/>
      <c r="G30" s="53"/>
      <c r="H30" s="53" t="s">
        <v>59</v>
      </c>
      <c r="I30" s="53"/>
      <c r="J30" s="53" t="s">
        <v>573</v>
      </c>
      <c r="K30" s="53" t="s">
        <v>57</v>
      </c>
      <c r="L30" s="53"/>
      <c r="M30" s="53"/>
      <c r="N30" s="53"/>
      <c r="O30" s="53"/>
      <c r="P30" s="53" t="s">
        <v>57</v>
      </c>
      <c r="Q30" s="53"/>
      <c r="R30" s="53"/>
      <c r="S30" s="53"/>
      <c r="T30" s="53"/>
      <c r="U30" s="53"/>
      <c r="V30" s="53"/>
      <c r="W30" s="53"/>
      <c r="X30" s="53" t="s">
        <v>733</v>
      </c>
      <c r="Y30" s="53"/>
      <c r="Z30" s="53"/>
      <c r="AA30" s="53"/>
      <c r="AB30" s="53" t="s">
        <v>59</v>
      </c>
      <c r="AC30" s="53"/>
      <c r="AD30" s="53" t="s">
        <v>576</v>
      </c>
      <c r="AF30" s="53" t="s">
        <v>576</v>
      </c>
      <c r="AG30" s="53" t="s">
        <v>734</v>
      </c>
      <c r="AH30" s="188">
        <f t="shared" ref="AH30:AP30" si="48">COUNTIF($D30:$AG30,AH$4)</f>
        <v>2</v>
      </c>
      <c r="AI30" s="188">
        <f t="shared" si="48"/>
        <v>0</v>
      </c>
      <c r="AJ30" s="188">
        <f t="shared" si="48"/>
        <v>2</v>
      </c>
      <c r="AK30" s="188">
        <f t="shared" si="48"/>
        <v>0</v>
      </c>
      <c r="AL30" s="188">
        <f t="shared" si="48"/>
        <v>0</v>
      </c>
      <c r="AM30" s="188">
        <f t="shared" si="48"/>
        <v>0</v>
      </c>
      <c r="AN30" s="188">
        <f t="shared" si="48"/>
        <v>0</v>
      </c>
      <c r="AO30" s="188">
        <f t="shared" si="48"/>
        <v>2</v>
      </c>
      <c r="AP30" s="188">
        <f t="shared" si="48"/>
        <v>0</v>
      </c>
      <c r="AQ30" s="189">
        <v>0.5</v>
      </c>
      <c r="AR30" s="189"/>
      <c r="AS30" s="190">
        <f>SUMPRODUCT(--(WEEKDAY(D$3:AG$3,2)&lt;5),--ISNUMBER(MATCH(D30:AG30,{"DM","CS1","CS2","SB1","AE","CS/B"},0)))</f>
        <v>2</v>
      </c>
      <c r="AT30" s="194"/>
      <c r="AU30" s="190">
        <f>SUMPRODUCT(--(WEEKDAY(D$3:AG$3,2)=5),--ISNUMBER(MATCH(D30:AG30,{"DM","CS1","CS2","SB1","AE","CS/B","WEEKEND OUTFIELD RESERVE"},0)))</f>
        <v>0</v>
      </c>
      <c r="AV30" s="190">
        <f>SUMPRODUCT(--(WEEKDAY(D$3:AG$3,2)&gt;5),--ISNUMBER(MATCH(D30:AG30,{"DM","CS1","CS2","SB1","AE","CS/B","WEEKEND OUTFIELD RESERVE"},0)))</f>
        <v>2</v>
      </c>
      <c r="AW30" s="194"/>
      <c r="AX30" s="190">
        <f t="shared" si="3"/>
        <v>7.5</v>
      </c>
      <c r="AY30" s="190">
        <f t="shared" si="4"/>
        <v>4</v>
      </c>
      <c r="AZ30" s="190">
        <f t="shared" si="34"/>
        <v>2</v>
      </c>
      <c r="BA30" s="189">
        <f t="shared" si="6"/>
        <v>8.5</v>
      </c>
      <c r="BB30" s="189">
        <f t="shared" si="36"/>
        <v>0</v>
      </c>
      <c r="BC30" s="190">
        <f t="shared" si="7"/>
        <v>1</v>
      </c>
      <c r="BD30" s="190">
        <f t="shared" si="8"/>
        <v>0</v>
      </c>
      <c r="BE30" s="190">
        <f t="shared" si="9"/>
        <v>0</v>
      </c>
      <c r="BF30" s="190">
        <f t="shared" si="10"/>
        <v>0</v>
      </c>
      <c r="BG30" s="190">
        <f t="shared" si="11"/>
        <v>0</v>
      </c>
      <c r="BH30" s="190">
        <f t="shared" si="12"/>
        <v>1</v>
      </c>
      <c r="BI30" s="190">
        <f t="shared" si="13"/>
        <v>0.5</v>
      </c>
      <c r="BJ30" s="190">
        <f t="shared" si="14"/>
        <v>1</v>
      </c>
      <c r="BK30" s="190">
        <f t="shared" si="15"/>
        <v>0.5</v>
      </c>
      <c r="BL30" s="190">
        <f t="shared" si="16"/>
        <v>0</v>
      </c>
      <c r="BM30" s="190">
        <f t="shared" si="17"/>
        <v>0</v>
      </c>
      <c r="BN30" s="190">
        <f>COUNTIF($E30:$AA30,BN$4)</f>
        <v>0</v>
      </c>
      <c r="BO30" s="190">
        <f>COUNTIF($E30:$AA30,BO$4)</f>
        <v>0</v>
      </c>
      <c r="BP30" s="190">
        <f>COUNTIF($E30:$AA30,BP$4)</f>
        <v>0</v>
      </c>
      <c r="BQ30" s="194"/>
    </row>
    <row r="31" ht="19.5" customHeight="1" spans="1:69">
      <c r="A31" s="184"/>
      <c r="B31" s="186" t="s">
        <v>633</v>
      </c>
      <c r="C31" s="186"/>
      <c r="D31" s="75"/>
      <c r="E31" s="75"/>
      <c r="F31" s="53"/>
      <c r="G31" s="53"/>
      <c r="H31" s="53" t="s">
        <v>56</v>
      </c>
      <c r="I31" s="53"/>
      <c r="J31" s="53" t="s">
        <v>58</v>
      </c>
      <c r="K31" s="53"/>
      <c r="L31" s="53"/>
      <c r="M31" s="53"/>
      <c r="N31" s="53"/>
      <c r="O31" s="53"/>
      <c r="P31" s="53" t="s">
        <v>65</v>
      </c>
      <c r="Q31" s="53"/>
      <c r="R31" s="53" t="s">
        <v>58</v>
      </c>
      <c r="S31" s="53"/>
      <c r="T31" s="53"/>
      <c r="U31" s="53"/>
      <c r="V31" s="53"/>
      <c r="W31" s="53"/>
      <c r="X31" s="53"/>
      <c r="Y31" s="53"/>
      <c r="Z31" s="53" t="s">
        <v>566</v>
      </c>
      <c r="AA31" s="53"/>
      <c r="AB31" s="53"/>
      <c r="AC31" s="53"/>
      <c r="AD31" s="53" t="s">
        <v>350</v>
      </c>
      <c r="AE31" s="53" t="s">
        <v>576</v>
      </c>
      <c r="AF31" s="53" t="s">
        <v>93</v>
      </c>
      <c r="AG31" s="53"/>
      <c r="AH31" s="188">
        <f t="shared" ref="AH31:AP31" si="49">COUNTIF($D31:$AG31,AH$4)</f>
        <v>0</v>
      </c>
      <c r="AI31" s="188">
        <f t="shared" si="49"/>
        <v>1</v>
      </c>
      <c r="AJ31" s="188">
        <f t="shared" si="49"/>
        <v>0</v>
      </c>
      <c r="AK31" s="188">
        <f t="shared" si="49"/>
        <v>1</v>
      </c>
      <c r="AL31" s="188">
        <f t="shared" si="49"/>
        <v>2</v>
      </c>
      <c r="AM31" s="188">
        <f t="shared" si="49"/>
        <v>1</v>
      </c>
      <c r="AN31" s="188">
        <f t="shared" si="49"/>
        <v>1</v>
      </c>
      <c r="AO31" s="188">
        <f t="shared" si="49"/>
        <v>1</v>
      </c>
      <c r="AP31" s="188">
        <f t="shared" si="49"/>
        <v>0</v>
      </c>
      <c r="AQ31" s="189"/>
      <c r="AR31" s="189"/>
      <c r="AS31" s="190">
        <f>SUMPRODUCT(--(WEEKDAY(D$3:AG$3,2)&lt;5),--ISNUMBER(MATCH(D31:AG31,{"DM","CS1","CS2","SB1","AE","CS/B"},0)))</f>
        <v>4</v>
      </c>
      <c r="AT31" s="194"/>
      <c r="AU31" s="190">
        <f>SUMPRODUCT(--(WEEKDAY(D$3:AG$3,2)=5),--ISNUMBER(MATCH(D31:AG31,{"DM","CS1","CS2","SB1","AE","CS/B","WEEKEND OUTFIELD RESERVE"},0)))</f>
        <v>0</v>
      </c>
      <c r="AV31" s="190">
        <f>SUMPRODUCT(--(WEEKDAY(D$3:AG$3,2)&gt;5),--ISNUMBER(MATCH(D31:AG31,{"DM","CS1","CS2","SB1","AE","CS/B","WEEKEND OUTFIELD RESERVE"},0)))</f>
        <v>1</v>
      </c>
      <c r="AW31" s="194"/>
      <c r="AX31" s="190">
        <f t="shared" si="3"/>
        <v>7</v>
      </c>
      <c r="AY31" s="190">
        <f t="shared" si="4"/>
        <v>5</v>
      </c>
      <c r="AZ31" s="190">
        <f t="shared" si="34"/>
        <v>0</v>
      </c>
      <c r="BA31" s="189">
        <f t="shared" si="6"/>
        <v>7</v>
      </c>
      <c r="BB31" s="189">
        <f t="shared" si="36"/>
        <v>-1.5</v>
      </c>
      <c r="BC31" s="190">
        <f t="shared" si="7"/>
        <v>0</v>
      </c>
      <c r="BD31" s="190">
        <f t="shared" si="8"/>
        <v>0</v>
      </c>
      <c r="BE31" s="190">
        <f t="shared" si="9"/>
        <v>0</v>
      </c>
      <c r="BF31" s="190">
        <f t="shared" si="10"/>
        <v>0</v>
      </c>
      <c r="BG31" s="190">
        <f t="shared" si="11"/>
        <v>0</v>
      </c>
      <c r="BH31" s="190">
        <f t="shared" si="12"/>
        <v>0</v>
      </c>
      <c r="BI31" s="190">
        <f t="shared" si="13"/>
        <v>0</v>
      </c>
      <c r="BJ31" s="190">
        <f t="shared" si="14"/>
        <v>0</v>
      </c>
      <c r="BK31" s="190">
        <f t="shared" si="15"/>
        <v>0</v>
      </c>
      <c r="BL31" s="190">
        <f t="shared" si="16"/>
        <v>0</v>
      </c>
      <c r="BM31" s="190">
        <f t="shared" si="17"/>
        <v>0</v>
      </c>
      <c r="BN31" s="190">
        <f>COUNTIF($E31:$AA31,BN$4)</f>
        <v>0</v>
      </c>
      <c r="BO31" s="190">
        <f>COUNTIF($E31:$AA31,BO$4)</f>
        <v>0</v>
      </c>
      <c r="BP31" s="190">
        <f>COUNTIF($E31:$AA31,BP$4)</f>
        <v>0</v>
      </c>
      <c r="BQ31" s="194"/>
    </row>
    <row r="32" ht="19.5" customHeight="1" spans="1:69">
      <c r="A32" s="184"/>
      <c r="B32" s="186" t="s">
        <v>637</v>
      </c>
      <c r="C32" s="186"/>
      <c r="D32" s="137"/>
      <c r="E32" s="137"/>
      <c r="F32" s="53"/>
      <c r="G32" s="53"/>
      <c r="H32" s="53"/>
      <c r="I32" s="53" t="s">
        <v>56</v>
      </c>
      <c r="J32" s="53"/>
      <c r="K32" s="53" t="s">
        <v>573</v>
      </c>
      <c r="L32" s="53"/>
      <c r="M32" s="53" t="s">
        <v>350</v>
      </c>
      <c r="N32" s="53"/>
      <c r="O32" s="53"/>
      <c r="P32" s="53" t="s">
        <v>573</v>
      </c>
      <c r="Q32" s="53"/>
      <c r="R32" s="53"/>
      <c r="S32" s="53"/>
      <c r="T32" s="53" t="s">
        <v>275</v>
      </c>
      <c r="U32" s="53" t="s">
        <v>56</v>
      </c>
      <c r="V32" s="53"/>
      <c r="W32" s="53"/>
      <c r="X32" s="53"/>
      <c r="Y32" s="53"/>
      <c r="Z32" s="53"/>
      <c r="AA32" s="53"/>
      <c r="AB32" s="53" t="s">
        <v>404</v>
      </c>
      <c r="AC32" s="53" t="s">
        <v>404</v>
      </c>
      <c r="AD32" s="53" t="s">
        <v>404</v>
      </c>
      <c r="AE32" s="53" t="s">
        <v>404</v>
      </c>
      <c r="AF32" s="53" t="s">
        <v>404</v>
      </c>
      <c r="AG32" s="53"/>
      <c r="AH32" s="188">
        <f t="shared" ref="AH32:AP32" si="50">COUNTIF($D32:$AG32,AH$4)</f>
        <v>0</v>
      </c>
      <c r="AI32" s="188">
        <f t="shared" si="50"/>
        <v>2</v>
      </c>
      <c r="AJ32" s="188">
        <f t="shared" si="50"/>
        <v>0</v>
      </c>
      <c r="AK32" s="188">
        <f t="shared" si="50"/>
        <v>0</v>
      </c>
      <c r="AL32" s="188">
        <f t="shared" si="50"/>
        <v>0</v>
      </c>
      <c r="AM32" s="188">
        <f t="shared" si="50"/>
        <v>0</v>
      </c>
      <c r="AN32" s="188">
        <f t="shared" si="50"/>
        <v>0</v>
      </c>
      <c r="AO32" s="188">
        <f t="shared" si="50"/>
        <v>0</v>
      </c>
      <c r="AP32" s="188">
        <f t="shared" si="50"/>
        <v>0</v>
      </c>
      <c r="AQ32" s="189"/>
      <c r="AR32" s="189"/>
      <c r="AS32" s="190">
        <f>SUMPRODUCT(--(WEEKDAY(D$3:AG$3,2)&lt;5),--ISNUMBER(MATCH(D32:AG32,{"DM","CS1","CS2","SB1","AE","CS/B"},0)))</f>
        <v>1</v>
      </c>
      <c r="AT32" s="194"/>
      <c r="AU32" s="190">
        <f>SUMPRODUCT(--(WEEKDAY(D$3:AG$3,2)=5),--ISNUMBER(MATCH(D32:AG32,{"DM","CS1","CS2","SB1","AE","CS/B","WEEKEND OUTFIELD RESERVE"},0)))</f>
        <v>0</v>
      </c>
      <c r="AV32" s="190">
        <f>SUMPRODUCT(--(WEEKDAY(D$3:AG$3,2)&gt;5),--ISNUMBER(MATCH(D32:AG32,{"DM","CS1","CS2","SB1","AE","CS/B","WEEKEND OUTFIELD RESERVE"},0)))</f>
        <v>1</v>
      </c>
      <c r="AW32" s="194"/>
      <c r="AX32" s="190">
        <f t="shared" si="3"/>
        <v>3</v>
      </c>
      <c r="AY32" s="190">
        <f t="shared" si="4"/>
        <v>2</v>
      </c>
      <c r="AZ32" s="190">
        <f t="shared" si="34"/>
        <v>6</v>
      </c>
      <c r="BA32" s="189">
        <f t="shared" si="6"/>
        <v>8.5</v>
      </c>
      <c r="BB32" s="189">
        <f t="shared" si="36"/>
        <v>0</v>
      </c>
      <c r="BC32" s="190">
        <f t="shared" si="7"/>
        <v>5.5</v>
      </c>
      <c r="BD32" s="190">
        <f t="shared" si="8"/>
        <v>0</v>
      </c>
      <c r="BE32" s="190">
        <f t="shared" si="9"/>
        <v>0</v>
      </c>
      <c r="BF32" s="190">
        <f t="shared" si="10"/>
        <v>0</v>
      </c>
      <c r="BG32" s="190">
        <f t="shared" si="11"/>
        <v>0</v>
      </c>
      <c r="BH32" s="190">
        <f t="shared" si="12"/>
        <v>0</v>
      </c>
      <c r="BI32" s="190">
        <f t="shared" si="13"/>
        <v>0</v>
      </c>
      <c r="BJ32" s="190">
        <f t="shared" si="14"/>
        <v>1</v>
      </c>
      <c r="BK32" s="190">
        <f t="shared" si="15"/>
        <v>0.5</v>
      </c>
      <c r="BL32" s="190">
        <f t="shared" si="16"/>
        <v>5</v>
      </c>
      <c r="BM32" s="190">
        <f t="shared" si="17"/>
        <v>5</v>
      </c>
      <c r="BN32" s="190">
        <f>COUNTIF($I32:$AB32,BN$4)</f>
        <v>0</v>
      </c>
      <c r="BO32" s="190">
        <f>COUNTIF($I32:$AB32,BO$4)</f>
        <v>1</v>
      </c>
      <c r="BP32" s="190">
        <f>COUNTIF($I32:$AB32,BP$4)</f>
        <v>0</v>
      </c>
      <c r="BQ32" s="194"/>
    </row>
    <row r="33" ht="51.75" customHeight="1" spans="1:69">
      <c r="A33" s="184"/>
      <c r="B33" s="186" t="s">
        <v>639</v>
      </c>
      <c r="C33" s="186"/>
      <c r="D33" s="75"/>
      <c r="E33" s="75" t="s">
        <v>573</v>
      </c>
      <c r="F33" s="53"/>
      <c r="G33" s="53"/>
      <c r="H33" s="53"/>
      <c r="I33" s="53"/>
      <c r="J33" s="53"/>
      <c r="K33" s="53" t="s">
        <v>65</v>
      </c>
      <c r="L33" s="53"/>
      <c r="M33" s="53"/>
      <c r="N33" s="53" t="s">
        <v>58</v>
      </c>
      <c r="O33" s="53"/>
      <c r="P33" s="53"/>
      <c r="Q33" s="53" t="s">
        <v>58</v>
      </c>
      <c r="R33" s="53"/>
      <c r="S33" s="53" t="s">
        <v>386</v>
      </c>
      <c r="T33" s="53"/>
      <c r="U33" s="53" t="s">
        <v>350</v>
      </c>
      <c r="V33" s="53"/>
      <c r="W33" s="53" t="s">
        <v>65</v>
      </c>
      <c r="X33" s="53"/>
      <c r="Y33" s="53"/>
      <c r="Z33" s="53"/>
      <c r="AA33" s="53" t="s">
        <v>93</v>
      </c>
      <c r="AB33" s="53" t="s">
        <v>65</v>
      </c>
      <c r="AC33" s="53"/>
      <c r="AD33" s="53" t="s">
        <v>735</v>
      </c>
      <c r="AE33" s="53" t="s">
        <v>58</v>
      </c>
      <c r="AF33" s="53"/>
      <c r="AG33" s="53"/>
      <c r="AH33" s="188">
        <f t="shared" ref="AH33:AP33" si="51">COUNTIF($D33:$AG33,AH$4)</f>
        <v>0</v>
      </c>
      <c r="AI33" s="188">
        <f t="shared" si="51"/>
        <v>0</v>
      </c>
      <c r="AJ33" s="188">
        <f t="shared" si="51"/>
        <v>0</v>
      </c>
      <c r="AK33" s="188">
        <f t="shared" si="51"/>
        <v>0</v>
      </c>
      <c r="AL33" s="188">
        <f t="shared" si="51"/>
        <v>3</v>
      </c>
      <c r="AM33" s="188">
        <f t="shared" si="51"/>
        <v>1</v>
      </c>
      <c r="AN33" s="188">
        <f t="shared" si="51"/>
        <v>3</v>
      </c>
      <c r="AO33" s="188">
        <f t="shared" si="51"/>
        <v>0</v>
      </c>
      <c r="AP33" s="188">
        <f t="shared" si="51"/>
        <v>0</v>
      </c>
      <c r="AQ33" s="189">
        <v>0.5</v>
      </c>
      <c r="AR33" s="189"/>
      <c r="AS33" s="190">
        <f>SUMPRODUCT(--(WEEKDAY(D$3:AG$3,2)&lt;5),--ISNUMBER(MATCH(D33:AG33,{"DM","CS1","CS2","SB1","AE","CS/B"},0)))</f>
        <v>4</v>
      </c>
      <c r="AT33" s="194"/>
      <c r="AU33" s="190">
        <f>SUMPRODUCT(--(WEEKDAY(D$3:AG$3,2)=5),--ISNUMBER(MATCH(D33:AG33,{"DM","CS1","CS2","SB1","AE","CS/B","WEEKEND OUTFIELD RESERVE"},0)))</f>
        <v>0</v>
      </c>
      <c r="AV33" s="190">
        <f>SUMPRODUCT(--(WEEKDAY(D$3:AG$3,2)&gt;5),--ISNUMBER(MATCH(D33:AG33,{"DM","CS1","CS2","SB1","AE","CS/B","WEEKEND OUTFIELD RESERVE"},0)))</f>
        <v>2</v>
      </c>
      <c r="AW33" s="194"/>
      <c r="AX33" s="190">
        <f t="shared" si="3"/>
        <v>9</v>
      </c>
      <c r="AY33" s="190">
        <f t="shared" si="4"/>
        <v>6</v>
      </c>
      <c r="AZ33" s="190">
        <f t="shared" si="34"/>
        <v>2</v>
      </c>
      <c r="BA33" s="189">
        <f t="shared" si="6"/>
        <v>10</v>
      </c>
      <c r="BB33" s="189">
        <f t="shared" si="36"/>
        <v>1.5</v>
      </c>
      <c r="BC33" s="190">
        <f t="shared" si="7"/>
        <v>1</v>
      </c>
      <c r="BD33" s="190">
        <f t="shared" si="8"/>
        <v>0</v>
      </c>
      <c r="BE33" s="190">
        <f t="shared" si="9"/>
        <v>0</v>
      </c>
      <c r="BF33" s="190">
        <f t="shared" si="10"/>
        <v>0</v>
      </c>
      <c r="BG33" s="190">
        <f t="shared" si="11"/>
        <v>0</v>
      </c>
      <c r="BH33" s="190">
        <f t="shared" si="12"/>
        <v>1</v>
      </c>
      <c r="BI33" s="190">
        <f t="shared" si="13"/>
        <v>0.5</v>
      </c>
      <c r="BJ33" s="190">
        <f t="shared" si="14"/>
        <v>1</v>
      </c>
      <c r="BK33" s="190">
        <f t="shared" si="15"/>
        <v>0.5</v>
      </c>
      <c r="BL33" s="190">
        <f t="shared" si="16"/>
        <v>0</v>
      </c>
      <c r="BM33" s="190">
        <f t="shared" si="17"/>
        <v>0</v>
      </c>
      <c r="BN33" s="190">
        <f>COUNTIF($E33:$AA33,BN$4)</f>
        <v>0</v>
      </c>
      <c r="BO33" s="190">
        <f>COUNTIF($E33:$AA33,BO$4)</f>
        <v>1</v>
      </c>
      <c r="BP33" s="190">
        <f>COUNTIF($E33:$AA33,BP$4)</f>
        <v>0</v>
      </c>
      <c r="BQ33" s="194"/>
    </row>
    <row r="34" ht="19.5" customHeight="1" spans="1:69">
      <c r="A34" s="184"/>
      <c r="B34" s="186" t="s">
        <v>736</v>
      </c>
      <c r="C34" s="186"/>
      <c r="D34" s="137" t="s">
        <v>737</v>
      </c>
      <c r="E34" s="137" t="s">
        <v>684</v>
      </c>
      <c r="F34" s="53"/>
      <c r="G34" s="53" t="s">
        <v>350</v>
      </c>
      <c r="H34" s="53"/>
      <c r="I34" s="53" t="s">
        <v>573</v>
      </c>
      <c r="J34" s="53"/>
      <c r="K34" s="53"/>
      <c r="L34" s="53"/>
      <c r="M34" s="53"/>
      <c r="N34" s="53" t="s">
        <v>59</v>
      </c>
      <c r="O34" s="53"/>
      <c r="P34" s="53"/>
      <c r="Q34" s="53" t="s">
        <v>738</v>
      </c>
      <c r="R34" s="53"/>
      <c r="S34" s="53"/>
      <c r="T34" s="53" t="s">
        <v>59</v>
      </c>
      <c r="U34" s="53"/>
      <c r="V34" s="53" t="s">
        <v>573</v>
      </c>
      <c r="W34" s="53"/>
      <c r="X34" s="53"/>
      <c r="Y34" s="192" t="s">
        <v>549</v>
      </c>
      <c r="Z34" s="53"/>
      <c r="AA34" s="53"/>
      <c r="AB34" s="53"/>
      <c r="AC34" s="53"/>
      <c r="AD34" s="53" t="s">
        <v>56</v>
      </c>
      <c r="AE34" s="53"/>
      <c r="AF34" s="53" t="s">
        <v>58</v>
      </c>
      <c r="AG34" s="53"/>
      <c r="AH34" s="188">
        <f t="shared" ref="AH34:AP34" si="52">COUNTIF($D34:$AG34,AH$4)</f>
        <v>0</v>
      </c>
      <c r="AI34" s="188">
        <f t="shared" si="52"/>
        <v>1</v>
      </c>
      <c r="AJ34" s="188">
        <f t="shared" si="52"/>
        <v>2</v>
      </c>
      <c r="AK34" s="188">
        <f t="shared" si="52"/>
        <v>0</v>
      </c>
      <c r="AL34" s="188">
        <f t="shared" si="52"/>
        <v>1</v>
      </c>
      <c r="AM34" s="188">
        <f t="shared" si="52"/>
        <v>0</v>
      </c>
      <c r="AN34" s="188">
        <f t="shared" si="52"/>
        <v>0</v>
      </c>
      <c r="AO34" s="188">
        <f t="shared" si="52"/>
        <v>0</v>
      </c>
      <c r="AP34" s="188">
        <f t="shared" si="52"/>
        <v>0</v>
      </c>
      <c r="AQ34" s="189">
        <v>1</v>
      </c>
      <c r="AR34" s="189"/>
      <c r="AS34" s="190">
        <f>SUMPRODUCT(--(WEEKDAY(D$3:AG$3,2)&lt;5),--ISNUMBER(MATCH(D34:AG34,{"DM","CS1","CS2","SB1","AE","CS/B"},0)))</f>
        <v>2</v>
      </c>
      <c r="AT34" s="194"/>
      <c r="AU34" s="190">
        <f>SUMPRODUCT(--(WEEKDAY(D$3:AG$3,2)=5),--ISNUMBER(MATCH(D34:AG34,{"DM","CS1","CS2","SB1","AE","CS/B","WEEKEND OUTFIELD RESERVE"},0)))</f>
        <v>1</v>
      </c>
      <c r="AV34" s="190">
        <f>SUMPRODUCT(--(WEEKDAY(D$3:AG$3,2)&gt;5),--ISNUMBER(MATCH(D34:AG34,{"DM","CS1","CS2","SB1","AE","CS/B","WEEKEND OUTFIELD RESERVE"},0)))</f>
        <v>1</v>
      </c>
      <c r="AW34" s="194"/>
      <c r="AX34" s="190">
        <f t="shared" si="3"/>
        <v>6.5</v>
      </c>
      <c r="AY34" s="190">
        <f t="shared" si="4"/>
        <v>4</v>
      </c>
      <c r="AZ34" s="190">
        <f t="shared" si="34"/>
        <v>2</v>
      </c>
      <c r="BA34" s="189">
        <f t="shared" si="6"/>
        <v>8.5</v>
      </c>
      <c r="BB34" s="189">
        <f t="shared" si="36"/>
        <v>0</v>
      </c>
      <c r="BC34" s="190">
        <f t="shared" si="7"/>
        <v>2</v>
      </c>
      <c r="BD34" s="190">
        <f t="shared" si="8"/>
        <v>1</v>
      </c>
      <c r="BE34" s="190">
        <f t="shared" si="9"/>
        <v>1.5</v>
      </c>
      <c r="BF34" s="190">
        <f t="shared" si="10"/>
        <v>0</v>
      </c>
      <c r="BG34" s="190">
        <f t="shared" si="11"/>
        <v>0</v>
      </c>
      <c r="BH34" s="190">
        <f t="shared" si="12"/>
        <v>0</v>
      </c>
      <c r="BI34" s="190">
        <f t="shared" si="13"/>
        <v>0</v>
      </c>
      <c r="BJ34" s="190">
        <f t="shared" si="14"/>
        <v>1</v>
      </c>
      <c r="BK34" s="190">
        <f t="shared" si="15"/>
        <v>0.5</v>
      </c>
      <c r="BL34" s="190">
        <f t="shared" si="16"/>
        <v>0</v>
      </c>
      <c r="BM34" s="190">
        <f t="shared" si="17"/>
        <v>0</v>
      </c>
      <c r="BN34" s="190">
        <f>COUNTIF($E34:$AB34,BN$4)</f>
        <v>0</v>
      </c>
      <c r="BO34" s="190">
        <f>COUNTIF($E34:$AB34,BO$4)</f>
        <v>1</v>
      </c>
      <c r="BP34" s="190">
        <f>COUNTIF($E34:$AB34,BP$4)</f>
        <v>0</v>
      </c>
      <c r="BQ34" s="194"/>
    </row>
    <row r="35" ht="19.5" customHeight="1" spans="1:69">
      <c r="A35" s="184"/>
      <c r="B35" s="186" t="s">
        <v>739</v>
      </c>
      <c r="C35" s="186"/>
      <c r="D35" s="75"/>
      <c r="E35" s="75" t="s">
        <v>65</v>
      </c>
      <c r="F35" s="53"/>
      <c r="G35" s="53"/>
      <c r="H35" s="53"/>
      <c r="I35" s="192" t="s">
        <v>740</v>
      </c>
      <c r="J35" s="53"/>
      <c r="K35" s="53" t="s">
        <v>737</v>
      </c>
      <c r="L35" s="53" t="s">
        <v>684</v>
      </c>
      <c r="M35" s="53" t="s">
        <v>58</v>
      </c>
      <c r="N35" s="53"/>
      <c r="O35" s="53"/>
      <c r="P35" s="53"/>
      <c r="Q35" s="53" t="s">
        <v>573</v>
      </c>
      <c r="R35" s="53" t="s">
        <v>93</v>
      </c>
      <c r="S35" s="53"/>
      <c r="T35" s="53" t="s">
        <v>56</v>
      </c>
      <c r="U35" s="53"/>
      <c r="V35" s="53"/>
      <c r="W35" s="53" t="s">
        <v>386</v>
      </c>
      <c r="X35" s="53"/>
      <c r="Y35" s="53"/>
      <c r="Z35" s="53"/>
      <c r="AA35" s="53"/>
      <c r="AB35" s="53"/>
      <c r="AC35" s="53"/>
      <c r="AD35" s="53" t="s">
        <v>65</v>
      </c>
      <c r="AE35" s="53"/>
      <c r="AF35" s="53" t="s">
        <v>56</v>
      </c>
      <c r="AG35" s="53"/>
      <c r="AH35" s="188">
        <f t="shared" ref="AH35:AP35" si="53">COUNTIF($D35:$AG35,AH$4)</f>
        <v>0</v>
      </c>
      <c r="AI35" s="188">
        <f t="shared" si="53"/>
        <v>2</v>
      </c>
      <c r="AJ35" s="188">
        <f t="shared" si="53"/>
        <v>0</v>
      </c>
      <c r="AK35" s="188">
        <f t="shared" si="53"/>
        <v>0</v>
      </c>
      <c r="AL35" s="188">
        <f t="shared" si="53"/>
        <v>1</v>
      </c>
      <c r="AM35" s="188">
        <f t="shared" si="53"/>
        <v>1</v>
      </c>
      <c r="AN35" s="188">
        <f t="shared" si="53"/>
        <v>2</v>
      </c>
      <c r="AO35" s="188">
        <f t="shared" si="53"/>
        <v>0</v>
      </c>
      <c r="AP35" s="188">
        <f t="shared" si="53"/>
        <v>0</v>
      </c>
      <c r="AQ35" s="189"/>
      <c r="AR35" s="189"/>
      <c r="AS35" s="190">
        <f>SUMPRODUCT(--(WEEKDAY(D$3:AG$3,2)&lt;5),--ISNUMBER(MATCH(D35:AG35,{"DM","CS1","CS2","SB1","AE","CS/B"},0)))</f>
        <v>3</v>
      </c>
      <c r="AT35" s="194"/>
      <c r="AU35" s="190">
        <f>SUMPRODUCT(--(WEEKDAY(D$3:AG$3,2)=5),--ISNUMBER(MATCH(D35:AG35,{"DM","CS1","CS2","SB1","AE","CS/B","WEEKEND OUTFIELD RESERVE"},0)))</f>
        <v>2</v>
      </c>
      <c r="AV35" s="190">
        <f>SUMPRODUCT(--(WEEKDAY(D$3:AG$3,2)&gt;5),--ISNUMBER(MATCH(D35:AG35,{"DM","CS1","CS2","SB1","AE","CS/B","WEEKEND OUTFIELD RESERVE"},0)))</f>
        <v>0</v>
      </c>
      <c r="AW35" s="194"/>
      <c r="AX35" s="190">
        <f t="shared" si="3"/>
        <v>6.5</v>
      </c>
      <c r="AY35" s="190">
        <f t="shared" si="4"/>
        <v>5</v>
      </c>
      <c r="AZ35" s="190">
        <f t="shared" si="34"/>
        <v>2</v>
      </c>
      <c r="BA35" s="189">
        <f t="shared" si="6"/>
        <v>8.5</v>
      </c>
      <c r="BB35" s="189">
        <f t="shared" si="36"/>
        <v>0</v>
      </c>
      <c r="BC35" s="190">
        <f t="shared" si="7"/>
        <v>2</v>
      </c>
      <c r="BD35" s="190">
        <f t="shared" si="8"/>
        <v>1</v>
      </c>
      <c r="BE35" s="190">
        <f t="shared" si="9"/>
        <v>1.5</v>
      </c>
      <c r="BF35" s="190">
        <f t="shared" si="10"/>
        <v>0</v>
      </c>
      <c r="BG35" s="190">
        <f t="shared" si="11"/>
        <v>0</v>
      </c>
      <c r="BH35" s="190">
        <f t="shared" si="12"/>
        <v>0</v>
      </c>
      <c r="BI35" s="190">
        <f t="shared" si="13"/>
        <v>0</v>
      </c>
      <c r="BJ35" s="190">
        <f t="shared" si="14"/>
        <v>1</v>
      </c>
      <c r="BK35" s="190">
        <f t="shared" si="15"/>
        <v>0.5</v>
      </c>
      <c r="BL35" s="190">
        <f t="shared" si="16"/>
        <v>0</v>
      </c>
      <c r="BM35" s="190">
        <f t="shared" si="17"/>
        <v>0</v>
      </c>
      <c r="BN35" s="190">
        <f>COUNTIF($E35:$Z35,BN$4)</f>
        <v>0</v>
      </c>
      <c r="BO35" s="190">
        <f>COUNTIF($E35:$Z35,BO$4)</f>
        <v>0</v>
      </c>
      <c r="BP35" s="190">
        <f>COUNTIF($E35:$Z35,BP$4)</f>
        <v>0</v>
      </c>
      <c r="BQ35" s="194"/>
    </row>
    <row r="36" ht="19.5" customHeight="1" spans="1:69">
      <c r="A36" s="184"/>
      <c r="B36" s="186" t="s">
        <v>649</v>
      </c>
      <c r="C36" s="186"/>
      <c r="D36" s="137" t="s">
        <v>684</v>
      </c>
      <c r="E36" s="137" t="s">
        <v>737</v>
      </c>
      <c r="F36" s="53"/>
      <c r="G36" s="53"/>
      <c r="H36" s="53" t="s">
        <v>65</v>
      </c>
      <c r="I36" s="53"/>
      <c r="J36" s="53" t="s">
        <v>350</v>
      </c>
      <c r="K36" s="53"/>
      <c r="L36" s="53"/>
      <c r="M36" s="53" t="s">
        <v>65</v>
      </c>
      <c r="N36" s="53"/>
      <c r="O36" s="53"/>
      <c r="P36" s="53" t="s">
        <v>93</v>
      </c>
      <c r="Q36" s="53" t="s">
        <v>741</v>
      </c>
      <c r="R36" s="53"/>
      <c r="S36" s="53"/>
      <c r="T36" s="53"/>
      <c r="U36" s="53"/>
      <c r="V36" s="53" t="s">
        <v>742</v>
      </c>
      <c r="W36" s="53"/>
      <c r="X36" s="53"/>
      <c r="Y36" s="53" t="s">
        <v>65</v>
      </c>
      <c r="Z36" s="53"/>
      <c r="AA36" s="53"/>
      <c r="AB36" s="53"/>
      <c r="AC36" s="53"/>
      <c r="AD36" s="53"/>
      <c r="AE36" s="53"/>
      <c r="AF36" s="53" t="s">
        <v>59</v>
      </c>
      <c r="AG36" s="53"/>
      <c r="AH36" s="188">
        <f t="shared" ref="AH36:AP36" si="54">COUNTIF($D36:$AG36,AH$4)</f>
        <v>0</v>
      </c>
      <c r="AI36" s="188">
        <f t="shared" si="54"/>
        <v>0</v>
      </c>
      <c r="AJ36" s="188">
        <f t="shared" si="54"/>
        <v>1</v>
      </c>
      <c r="AK36" s="188">
        <f t="shared" si="54"/>
        <v>0</v>
      </c>
      <c r="AL36" s="188">
        <f t="shared" si="54"/>
        <v>0</v>
      </c>
      <c r="AM36" s="188">
        <f t="shared" si="54"/>
        <v>1</v>
      </c>
      <c r="AN36" s="188">
        <f t="shared" si="54"/>
        <v>3</v>
      </c>
      <c r="AO36" s="188">
        <f t="shared" si="54"/>
        <v>0</v>
      </c>
      <c r="AP36" s="188">
        <f t="shared" si="54"/>
        <v>0</v>
      </c>
      <c r="AQ36" s="189">
        <v>0.5</v>
      </c>
      <c r="AR36" s="189"/>
      <c r="AS36" s="190">
        <f>SUMPRODUCT(--(WEEKDAY(D$3:AG$3,2)&lt;5),--ISNUMBER(MATCH(D36:AG36,{"DM","CS1","CS2","SB1","AE","CS/B"},0)))</f>
        <v>2</v>
      </c>
      <c r="AT36" s="194"/>
      <c r="AU36" s="190">
        <f>SUMPRODUCT(--(WEEKDAY(D$3:AG$3,2)=5),--ISNUMBER(MATCH(D36:AG36,{"DM","CS1","CS2","SB1","AE","CS/B","WEEKEND OUTFIELD RESERVE"},0)))</f>
        <v>1</v>
      </c>
      <c r="AV36" s="190">
        <f>SUMPRODUCT(--(WEEKDAY(D$3:AG$3,2)&gt;5),--ISNUMBER(MATCH(D36:AG36,{"DM","CS1","CS2","SB1","AE","CS/B","WEEKEND OUTFIELD RESERVE"},0)))</f>
        <v>1</v>
      </c>
      <c r="AW36" s="194"/>
      <c r="AX36" s="190">
        <f t="shared" si="3"/>
        <v>6.5</v>
      </c>
      <c r="AY36" s="190">
        <f t="shared" si="4"/>
        <v>4</v>
      </c>
      <c r="AZ36" s="190">
        <f t="shared" si="34"/>
        <v>2</v>
      </c>
      <c r="BA36" s="189">
        <f t="shared" si="6"/>
        <v>8</v>
      </c>
      <c r="BB36" s="189">
        <f t="shared" si="36"/>
        <v>-0.5</v>
      </c>
      <c r="BC36" s="190">
        <f t="shared" si="7"/>
        <v>1.5</v>
      </c>
      <c r="BD36" s="190">
        <f t="shared" si="8"/>
        <v>0</v>
      </c>
      <c r="BE36" s="190">
        <f t="shared" si="9"/>
        <v>0</v>
      </c>
      <c r="BF36" s="190">
        <f t="shared" si="10"/>
        <v>1</v>
      </c>
      <c r="BG36" s="190">
        <f t="shared" si="11"/>
        <v>1</v>
      </c>
      <c r="BH36" s="190">
        <f t="shared" si="12"/>
        <v>1</v>
      </c>
      <c r="BI36" s="190">
        <f t="shared" si="13"/>
        <v>0.5</v>
      </c>
      <c r="BJ36" s="190">
        <f t="shared" si="14"/>
        <v>0</v>
      </c>
      <c r="BK36" s="190">
        <f t="shared" si="15"/>
        <v>0</v>
      </c>
      <c r="BL36" s="190">
        <f t="shared" si="16"/>
        <v>0</v>
      </c>
      <c r="BM36" s="190">
        <f t="shared" si="17"/>
        <v>0</v>
      </c>
      <c r="BN36" s="190">
        <f>COUNTIF($E36:$AA36,BN$4)</f>
        <v>0</v>
      </c>
      <c r="BO36" s="190">
        <f>COUNTIF($E36:$AA36,BO$4)</f>
        <v>1</v>
      </c>
      <c r="BP36" s="190">
        <f>COUNTIF($E36:$AA36,BP$4)</f>
        <v>0</v>
      </c>
      <c r="BQ36" s="194"/>
    </row>
    <row r="37" ht="19.5" customHeight="1" spans="1:69">
      <c r="A37" s="184"/>
      <c r="B37" s="186" t="s">
        <v>657</v>
      </c>
      <c r="C37" s="186"/>
      <c r="D37" s="53"/>
      <c r="E37" s="53"/>
      <c r="F37" s="53" t="s">
        <v>65</v>
      </c>
      <c r="G37" s="53"/>
      <c r="H37" s="53"/>
      <c r="I37" s="53"/>
      <c r="J37" s="192" t="s">
        <v>740</v>
      </c>
      <c r="K37" s="53"/>
      <c r="L37" s="53"/>
      <c r="M37" s="53" t="s">
        <v>573</v>
      </c>
      <c r="N37" s="53"/>
      <c r="O37" s="53"/>
      <c r="P37" s="53"/>
      <c r="Q37" s="53" t="s">
        <v>56</v>
      </c>
      <c r="R37" s="53"/>
      <c r="S37" s="53"/>
      <c r="T37" s="53" t="s">
        <v>245</v>
      </c>
      <c r="U37" s="53"/>
      <c r="V37" s="53" t="s">
        <v>350</v>
      </c>
      <c r="W37" s="53"/>
      <c r="X37" s="53" t="s">
        <v>65</v>
      </c>
      <c r="Y37" s="53"/>
      <c r="Z37" s="53"/>
      <c r="AA37" s="53"/>
      <c r="AB37" s="53"/>
      <c r="AC37" s="53"/>
      <c r="AD37" s="53"/>
      <c r="AE37" s="53" t="s">
        <v>93</v>
      </c>
      <c r="AF37" s="53" t="s">
        <v>65</v>
      </c>
      <c r="AG37" s="53"/>
      <c r="AH37" s="188">
        <f t="shared" ref="AH37:AP37" si="55">COUNTIF($D37:$AG37,AH$4)</f>
        <v>0</v>
      </c>
      <c r="AI37" s="188">
        <f t="shared" si="55"/>
        <v>1</v>
      </c>
      <c r="AJ37" s="188">
        <f t="shared" si="55"/>
        <v>0</v>
      </c>
      <c r="AK37" s="188">
        <f t="shared" si="55"/>
        <v>0</v>
      </c>
      <c r="AL37" s="188">
        <f t="shared" si="55"/>
        <v>0</v>
      </c>
      <c r="AM37" s="188">
        <f t="shared" si="55"/>
        <v>1</v>
      </c>
      <c r="AN37" s="188">
        <f t="shared" si="55"/>
        <v>3</v>
      </c>
      <c r="AO37" s="188">
        <f t="shared" si="55"/>
        <v>0</v>
      </c>
      <c r="AP37" s="188">
        <f t="shared" si="55"/>
        <v>0</v>
      </c>
      <c r="AQ37" s="189">
        <v>1</v>
      </c>
      <c r="AR37" s="189"/>
      <c r="AS37" s="190">
        <f>SUMPRODUCT(--(WEEKDAY(D$3:AG$3,2)&lt;5),--ISNUMBER(MATCH(D37:AG37,{"DM","CS1","CS2","SB1","AE","CS/B"},0)))</f>
        <v>3</v>
      </c>
      <c r="AT37" s="194"/>
      <c r="AU37" s="190">
        <f>SUMPRODUCT(--(WEEKDAY(D$3:AG$3,2)=5),--ISNUMBER(MATCH(D37:AG37,{"DM","CS1","CS2","SB1","AE","CS/B","WEEKEND OUTFIELD RESERVE"},0)))</f>
        <v>1</v>
      </c>
      <c r="AV37" s="190">
        <f>SUMPRODUCT(--(WEEKDAY(D$3:AG$3,2)&gt;5),--ISNUMBER(MATCH(D37:AG37,{"DM","CS1","CS2","SB1","AE","CS/B","WEEKEND OUTFIELD RESERVE"},0)))</f>
        <v>0</v>
      </c>
      <c r="AW37" s="194"/>
      <c r="AX37" s="190">
        <f t="shared" si="3"/>
        <v>6</v>
      </c>
      <c r="AY37" s="190">
        <f t="shared" si="4"/>
        <v>4</v>
      </c>
      <c r="AZ37" s="190">
        <f t="shared" si="34"/>
        <v>2</v>
      </c>
      <c r="BA37" s="189">
        <f t="shared" si="6"/>
        <v>8</v>
      </c>
      <c r="BB37" s="189">
        <f t="shared" si="36"/>
        <v>-0.5</v>
      </c>
      <c r="BC37" s="190">
        <f t="shared" si="7"/>
        <v>2</v>
      </c>
      <c r="BD37" s="190">
        <f t="shared" si="8"/>
        <v>1</v>
      </c>
      <c r="BE37" s="190">
        <f t="shared" si="9"/>
        <v>1.5</v>
      </c>
      <c r="BF37" s="190">
        <f t="shared" si="10"/>
        <v>0</v>
      </c>
      <c r="BG37" s="190">
        <f t="shared" si="11"/>
        <v>0</v>
      </c>
      <c r="BH37" s="190">
        <f t="shared" si="12"/>
        <v>0</v>
      </c>
      <c r="BI37" s="190">
        <f t="shared" si="13"/>
        <v>0</v>
      </c>
      <c r="BJ37" s="190">
        <f t="shared" si="14"/>
        <v>1</v>
      </c>
      <c r="BK37" s="190">
        <f t="shared" si="15"/>
        <v>0.5</v>
      </c>
      <c r="BL37" s="190">
        <f t="shared" si="16"/>
        <v>0</v>
      </c>
      <c r="BM37" s="190">
        <f t="shared" si="17"/>
        <v>0</v>
      </c>
      <c r="BN37" s="190">
        <f>COUNTIF($E37:$AA37,BN$4)</f>
        <v>0</v>
      </c>
      <c r="BO37" s="190">
        <f>COUNTIF($E37:$AA37,BO$4)</f>
        <v>1</v>
      </c>
      <c r="BP37" s="190">
        <f>COUNTIF($E37:$AA37,BP$4)</f>
        <v>0</v>
      </c>
      <c r="BQ37" s="194"/>
    </row>
    <row r="38" ht="19.5" customHeight="1" spans="1:69">
      <c r="A38" s="184"/>
      <c r="B38" s="186" t="s">
        <v>659</v>
      </c>
      <c r="C38" s="186"/>
      <c r="D38" s="53"/>
      <c r="E38" s="137" t="s">
        <v>350</v>
      </c>
      <c r="F38" s="53"/>
      <c r="G38" s="53"/>
      <c r="H38" s="53"/>
      <c r="I38" s="53" t="s">
        <v>566</v>
      </c>
      <c r="J38" s="53"/>
      <c r="K38" s="53" t="s">
        <v>56</v>
      </c>
      <c r="L38" s="53"/>
      <c r="M38" s="53" t="s">
        <v>743</v>
      </c>
      <c r="N38" s="53"/>
      <c r="O38" s="53"/>
      <c r="P38" s="53" t="s">
        <v>738</v>
      </c>
      <c r="Q38" s="53"/>
      <c r="R38" s="53" t="s">
        <v>573</v>
      </c>
      <c r="S38" s="53"/>
      <c r="T38" s="53"/>
      <c r="U38" s="53" t="s">
        <v>59</v>
      </c>
      <c r="V38" s="53"/>
      <c r="W38" s="136"/>
      <c r="X38" s="53"/>
      <c r="Y38" s="53" t="s">
        <v>58</v>
      </c>
      <c r="Z38" s="53"/>
      <c r="AA38" s="53"/>
      <c r="AB38" s="53"/>
      <c r="AC38" s="53"/>
      <c r="AD38" s="53" t="s">
        <v>566</v>
      </c>
      <c r="AE38" s="53"/>
      <c r="AF38" s="53"/>
      <c r="AG38" s="53" t="s">
        <v>56</v>
      </c>
      <c r="AH38" s="188">
        <f t="shared" ref="AH38:AP38" si="56">COUNTIF($D38:$AG38,AH$4)</f>
        <v>0</v>
      </c>
      <c r="AI38" s="188">
        <f t="shared" si="56"/>
        <v>2</v>
      </c>
      <c r="AJ38" s="188">
        <f t="shared" si="56"/>
        <v>1</v>
      </c>
      <c r="AK38" s="188">
        <f t="shared" si="56"/>
        <v>2</v>
      </c>
      <c r="AL38" s="188">
        <f t="shared" si="56"/>
        <v>1</v>
      </c>
      <c r="AM38" s="188">
        <f t="shared" si="56"/>
        <v>0</v>
      </c>
      <c r="AN38" s="188">
        <f t="shared" si="56"/>
        <v>0</v>
      </c>
      <c r="AO38" s="188">
        <f t="shared" si="56"/>
        <v>0</v>
      </c>
      <c r="AP38" s="188">
        <f t="shared" si="56"/>
        <v>0</v>
      </c>
      <c r="AQ38" s="189">
        <v>0.5</v>
      </c>
      <c r="AR38" s="189"/>
      <c r="AS38" s="190">
        <f>SUMPRODUCT(--(WEEKDAY(D$3:AG$3,2)&lt;5),--ISNUMBER(MATCH(D38:AG38,{"DM","CS1","CS2","SB1","AE","CS/B"},0)))</f>
        <v>5</v>
      </c>
      <c r="AT38" s="194"/>
      <c r="AU38" s="190">
        <f>SUMPRODUCT(--(WEEKDAY(D$3:AG$3,2)=5),--ISNUMBER(MATCH(D38:AG38,{"DM","CS1","CS2","SB1","AE","CS/B","WEEKEND OUTFIELD RESERVE"},0)))</f>
        <v>0</v>
      </c>
      <c r="AV38" s="190">
        <f>SUMPRODUCT(--(WEEKDAY(D$3:AG$3,2)&gt;5),--ISNUMBER(MATCH(D38:AG38,{"DM","CS1","CS2","SB1","AE","CS/B","WEEKEND OUTFIELD RESERVE"},0)))</f>
        <v>1</v>
      </c>
      <c r="AW38" s="194"/>
      <c r="AX38" s="190">
        <f t="shared" si="3"/>
        <v>7.5</v>
      </c>
      <c r="AY38" s="190">
        <f t="shared" si="4"/>
        <v>6</v>
      </c>
      <c r="AZ38" s="190">
        <f t="shared" si="34"/>
        <v>2</v>
      </c>
      <c r="BA38" s="189">
        <f t="shared" si="6"/>
        <v>9.5</v>
      </c>
      <c r="BB38" s="189">
        <f t="shared" si="36"/>
        <v>1</v>
      </c>
      <c r="BC38" s="190">
        <f t="shared" si="7"/>
        <v>2</v>
      </c>
      <c r="BD38" s="190">
        <f t="shared" si="8"/>
        <v>1</v>
      </c>
      <c r="BE38" s="190">
        <f t="shared" si="9"/>
        <v>1.5</v>
      </c>
      <c r="BF38" s="190">
        <f t="shared" si="10"/>
        <v>0</v>
      </c>
      <c r="BG38" s="190">
        <f t="shared" si="11"/>
        <v>0</v>
      </c>
      <c r="BH38" s="190">
        <f t="shared" si="12"/>
        <v>0</v>
      </c>
      <c r="BI38" s="190">
        <f t="shared" si="13"/>
        <v>0</v>
      </c>
      <c r="BJ38" s="190">
        <f t="shared" si="14"/>
        <v>1</v>
      </c>
      <c r="BK38" s="190">
        <f t="shared" si="15"/>
        <v>0.5</v>
      </c>
      <c r="BL38" s="190">
        <f t="shared" si="16"/>
        <v>0</v>
      </c>
      <c r="BM38" s="190">
        <f t="shared" si="17"/>
        <v>0</v>
      </c>
      <c r="BN38" s="190">
        <f>COUNTIF($E38:$AA38,BN$4)</f>
        <v>0</v>
      </c>
      <c r="BO38" s="190">
        <f>COUNTIF($E38:$AA38,BO$4)</f>
        <v>1</v>
      </c>
      <c r="BP38" s="190">
        <f>COUNTIF($E38:$AA38,BP$4)</f>
        <v>0</v>
      </c>
      <c r="BQ38" s="194"/>
    </row>
    <row r="39" ht="19.5" customHeight="1" spans="1:69">
      <c r="A39" s="184"/>
      <c r="B39" s="186" t="s">
        <v>744</v>
      </c>
      <c r="C39" s="186"/>
      <c r="D39" s="53" t="s">
        <v>93</v>
      </c>
      <c r="E39" s="53" t="s">
        <v>745</v>
      </c>
      <c r="F39" s="53"/>
      <c r="G39" s="53"/>
      <c r="H39" s="53"/>
      <c r="I39" s="53"/>
      <c r="J39" s="53" t="s">
        <v>745</v>
      </c>
      <c r="K39" s="192" t="s">
        <v>746</v>
      </c>
      <c r="L39" s="53"/>
      <c r="M39" s="53"/>
      <c r="N39" s="53"/>
      <c r="O39" s="53"/>
      <c r="P39" s="53"/>
      <c r="Q39" s="53" t="s">
        <v>65</v>
      </c>
      <c r="R39" s="53"/>
      <c r="S39" s="53"/>
      <c r="T39" s="53" t="s">
        <v>573</v>
      </c>
      <c r="U39" s="53"/>
      <c r="V39" s="53"/>
      <c r="W39" s="53"/>
      <c r="X39" s="53" t="s">
        <v>573</v>
      </c>
      <c r="Y39" s="53" t="s">
        <v>747</v>
      </c>
      <c r="Z39" s="53"/>
      <c r="AA39" s="187" t="s">
        <v>92</v>
      </c>
      <c r="AB39" s="187" t="s">
        <v>92</v>
      </c>
      <c r="AC39" s="187" t="s">
        <v>92</v>
      </c>
      <c r="AD39" s="187" t="s">
        <v>92</v>
      </c>
      <c r="AE39" s="187" t="s">
        <v>92</v>
      </c>
      <c r="AF39" s="53"/>
      <c r="AG39" s="53"/>
      <c r="AH39" s="188">
        <f t="shared" ref="AH39:AP39" si="57">COUNTIF($D39:$AG39,AH$4)</f>
        <v>0</v>
      </c>
      <c r="AI39" s="188">
        <f t="shared" si="57"/>
        <v>0</v>
      </c>
      <c r="AJ39" s="188">
        <f t="shared" si="57"/>
        <v>0</v>
      </c>
      <c r="AK39" s="188">
        <f t="shared" si="57"/>
        <v>0</v>
      </c>
      <c r="AL39" s="188">
        <f t="shared" si="57"/>
        <v>0</v>
      </c>
      <c r="AM39" s="188">
        <f t="shared" si="57"/>
        <v>1</v>
      </c>
      <c r="AN39" s="188">
        <f t="shared" si="57"/>
        <v>1</v>
      </c>
      <c r="AO39" s="188">
        <f t="shared" si="57"/>
        <v>0</v>
      </c>
      <c r="AP39" s="188">
        <f t="shared" si="57"/>
        <v>0</v>
      </c>
      <c r="AQ39" s="189"/>
      <c r="AR39" s="189"/>
      <c r="AS39" s="190">
        <f>SUMPRODUCT(--(WEEKDAY(D$3:AG$3,2)&lt;5),--ISNUMBER(MATCH(D39:AG39,{"DM","CS1","CS2","SB1","AE","CS/B"},0)))</f>
        <v>1</v>
      </c>
      <c r="AT39" s="194"/>
      <c r="AU39" s="190">
        <f>SUMPRODUCT(--(WEEKDAY(D$3:AG$3,2)=5),--ISNUMBER(MATCH(D39:AG39,{"DM","CS1","CS2","SB1","AE","CS/B","WEEKEND OUTFIELD RESERVE"},0)))</f>
        <v>0</v>
      </c>
      <c r="AV39" s="190">
        <f>SUMPRODUCT(--(WEEKDAY(D$3:AG$3,2)&gt;5),--ISNUMBER(MATCH(D39:AG39,{"DM","CS1","CS2","SB1","AE","CS/B","WEEKEND OUTFIELD RESERVE"},0)))</f>
        <v>0</v>
      </c>
      <c r="AW39" s="194"/>
      <c r="AX39" s="190">
        <f t="shared" si="3"/>
        <v>1.5</v>
      </c>
      <c r="AY39" s="190">
        <f t="shared" si="4"/>
        <v>1</v>
      </c>
      <c r="AZ39" s="190">
        <f t="shared" si="34"/>
        <v>7</v>
      </c>
      <c r="BA39" s="189">
        <f t="shared" si="6"/>
        <v>8.5</v>
      </c>
      <c r="BB39" s="189">
        <f t="shared" si="36"/>
        <v>0</v>
      </c>
      <c r="BC39" s="190">
        <f t="shared" si="7"/>
        <v>7</v>
      </c>
      <c r="BD39" s="190">
        <f t="shared" si="8"/>
        <v>1</v>
      </c>
      <c r="BE39" s="190">
        <f t="shared" si="9"/>
        <v>1.5</v>
      </c>
      <c r="BF39" s="190">
        <f t="shared" si="10"/>
        <v>0</v>
      </c>
      <c r="BG39" s="190">
        <f t="shared" si="11"/>
        <v>0</v>
      </c>
      <c r="BH39" s="190">
        <f t="shared" si="12"/>
        <v>1</v>
      </c>
      <c r="BI39" s="190">
        <f t="shared" si="13"/>
        <v>0.5</v>
      </c>
      <c r="BJ39" s="190">
        <f t="shared" si="14"/>
        <v>0</v>
      </c>
      <c r="BK39" s="190">
        <f t="shared" si="15"/>
        <v>0</v>
      </c>
      <c r="BL39" s="190">
        <f t="shared" si="16"/>
        <v>5</v>
      </c>
      <c r="BM39" s="190">
        <f t="shared" si="17"/>
        <v>5</v>
      </c>
      <c r="BN39" s="190">
        <f>COUNTIF($E39:$Z39,BN$4)</f>
        <v>0</v>
      </c>
      <c r="BO39" s="190">
        <f>COUNTIF($E39:$Z39,BO$4)</f>
        <v>0</v>
      </c>
      <c r="BP39" s="190">
        <f>COUNTIF($E39:$Z39,BP$4)</f>
        <v>0</v>
      </c>
      <c r="BQ39" s="194"/>
    </row>
    <row r="40" ht="19.5" customHeight="1" spans="1:69">
      <c r="A40" s="184"/>
      <c r="B40" s="186" t="s">
        <v>748</v>
      </c>
      <c r="C40" s="186"/>
      <c r="D40" s="53"/>
      <c r="E40" s="53" t="s">
        <v>745</v>
      </c>
      <c r="F40" s="53"/>
      <c r="G40" s="53"/>
      <c r="H40" s="53"/>
      <c r="I40" s="53" t="s">
        <v>93</v>
      </c>
      <c r="J40" s="53" t="s">
        <v>745</v>
      </c>
      <c r="K40" s="53"/>
      <c r="L40" s="192" t="s">
        <v>746</v>
      </c>
      <c r="M40" s="53"/>
      <c r="N40" s="53"/>
      <c r="O40" s="53"/>
      <c r="P40" s="192" t="s">
        <v>749</v>
      </c>
      <c r="Q40" s="53"/>
      <c r="R40" s="53"/>
      <c r="S40" s="53"/>
      <c r="T40" s="53"/>
      <c r="U40" s="53" t="s">
        <v>65</v>
      </c>
      <c r="V40" s="53"/>
      <c r="W40" s="53"/>
      <c r="X40" s="53" t="s">
        <v>750</v>
      </c>
      <c r="Y40" s="53"/>
      <c r="Z40" s="53"/>
      <c r="AA40" s="53"/>
      <c r="AB40" s="187" t="s">
        <v>751</v>
      </c>
      <c r="AC40" s="187" t="s">
        <v>751</v>
      </c>
      <c r="AD40" s="187" t="s">
        <v>751</v>
      </c>
      <c r="AE40" s="187" t="s">
        <v>751</v>
      </c>
      <c r="AF40" s="187" t="s">
        <v>751</v>
      </c>
      <c r="AG40" s="53"/>
      <c r="AH40" s="188">
        <f t="shared" ref="AH40:AP40" si="58">COUNTIF($D40:$AG40,AH$4)</f>
        <v>0</v>
      </c>
      <c r="AI40" s="188">
        <f t="shared" si="58"/>
        <v>0</v>
      </c>
      <c r="AJ40" s="188">
        <f t="shared" si="58"/>
        <v>0</v>
      </c>
      <c r="AK40" s="188">
        <f t="shared" si="58"/>
        <v>0</v>
      </c>
      <c r="AL40" s="188">
        <f t="shared" si="58"/>
        <v>0</v>
      </c>
      <c r="AM40" s="188">
        <f t="shared" si="58"/>
        <v>1</v>
      </c>
      <c r="AN40" s="188">
        <f t="shared" si="58"/>
        <v>1</v>
      </c>
      <c r="AO40" s="188">
        <f t="shared" si="58"/>
        <v>0</v>
      </c>
      <c r="AP40" s="188">
        <f t="shared" si="58"/>
        <v>0</v>
      </c>
      <c r="AQ40" s="189"/>
      <c r="AR40" s="189"/>
      <c r="AS40" s="190">
        <f>SUMPRODUCT(--(WEEKDAY(D$3:AG$3,2)&lt;5),--ISNUMBER(MATCH(D40:AG40,{"DM","CS1","CS2","SB1","AE","CS/B"},0)))</f>
        <v>0</v>
      </c>
      <c r="AT40" s="194"/>
      <c r="AU40" s="190">
        <f>SUMPRODUCT(--(WEEKDAY(D$3:AG$3,2)=5),--ISNUMBER(MATCH(D40:AG40,{"DM","CS1","CS2","SB1","AE","CS/B","WEEKEND OUTFIELD RESERVE"},0)))</f>
        <v>0</v>
      </c>
      <c r="AV40" s="190">
        <f>SUMPRODUCT(--(WEEKDAY(D$3:AG$3,2)&gt;5),--ISNUMBER(MATCH(D40:AG40,{"DM","CS1","CS2","SB1","AE","CS/B","WEEKEND OUTFIELD RESERVE"},0)))</f>
        <v>1</v>
      </c>
      <c r="AW40" s="194"/>
      <c r="AX40" s="190">
        <f t="shared" si="3"/>
        <v>2.5</v>
      </c>
      <c r="AY40" s="190">
        <f t="shared" si="4"/>
        <v>1</v>
      </c>
      <c r="AZ40" s="190">
        <f t="shared" si="34"/>
        <v>8</v>
      </c>
      <c r="BA40" s="189">
        <f t="shared" si="6"/>
        <v>10.5</v>
      </c>
      <c r="BB40" s="189">
        <f t="shared" si="36"/>
        <v>2</v>
      </c>
      <c r="BC40" s="190">
        <f t="shared" si="7"/>
        <v>8</v>
      </c>
      <c r="BD40" s="190">
        <f t="shared" si="8"/>
        <v>1</v>
      </c>
      <c r="BE40" s="190">
        <f t="shared" si="9"/>
        <v>1.5</v>
      </c>
      <c r="BF40" s="190">
        <f t="shared" si="10"/>
        <v>1</v>
      </c>
      <c r="BG40" s="190">
        <f t="shared" si="11"/>
        <v>1</v>
      </c>
      <c r="BH40" s="190">
        <f t="shared" si="12"/>
        <v>0</v>
      </c>
      <c r="BI40" s="190">
        <f t="shared" si="13"/>
        <v>0</v>
      </c>
      <c r="BJ40" s="190">
        <f t="shared" si="14"/>
        <v>1</v>
      </c>
      <c r="BK40" s="190">
        <f t="shared" si="15"/>
        <v>0.5</v>
      </c>
      <c r="BL40" s="190">
        <f t="shared" si="16"/>
        <v>5</v>
      </c>
      <c r="BM40" s="190">
        <f t="shared" si="17"/>
        <v>5</v>
      </c>
      <c r="BN40" s="190">
        <f>COUNTIF($E40:$AA40,BN$4)</f>
        <v>0</v>
      </c>
      <c r="BO40" s="190">
        <f>COUNTIF($E40:$AA40,BO$4)</f>
        <v>0</v>
      </c>
      <c r="BP40" s="190">
        <f>COUNTIF($E40:$AA40,BP$4)</f>
        <v>0</v>
      </c>
      <c r="BQ40" s="194"/>
    </row>
    <row r="41" ht="19.5" customHeight="1" spans="1:69">
      <c r="A41" s="184"/>
      <c r="B41" s="186" t="s">
        <v>752</v>
      </c>
      <c r="C41" s="186"/>
      <c r="D41" s="53"/>
      <c r="E41" s="53" t="s">
        <v>745</v>
      </c>
      <c r="F41" s="53"/>
      <c r="G41" s="53" t="s">
        <v>65</v>
      </c>
      <c r="H41" s="53"/>
      <c r="I41" s="53"/>
      <c r="J41" s="53" t="s">
        <v>745</v>
      </c>
      <c r="K41" s="53" t="s">
        <v>93</v>
      </c>
      <c r="L41" s="53" t="s">
        <v>65</v>
      </c>
      <c r="M41" s="53"/>
      <c r="N41" s="53"/>
      <c r="O41" s="53"/>
      <c r="P41" s="53"/>
      <c r="Q41" s="53" t="s">
        <v>685</v>
      </c>
      <c r="R41" s="53"/>
      <c r="S41" s="53" t="s">
        <v>573</v>
      </c>
      <c r="T41" s="53" t="s">
        <v>65</v>
      </c>
      <c r="U41" s="53"/>
      <c r="V41" s="53"/>
      <c r="W41" s="53"/>
      <c r="X41" s="53"/>
      <c r="Y41" s="53" t="s">
        <v>573</v>
      </c>
      <c r="Z41" s="53" t="s">
        <v>65</v>
      </c>
      <c r="AA41" s="53"/>
      <c r="AB41" s="53"/>
      <c r="AC41" s="53" t="s">
        <v>65</v>
      </c>
      <c r="AD41" s="53"/>
      <c r="AE41" s="53"/>
      <c r="AF41" s="53"/>
      <c r="AG41" s="53" t="s">
        <v>573</v>
      </c>
      <c r="AH41" s="188">
        <f t="shared" ref="AH41:AP41" si="59">COUNTIF($D41:$AG41,AH$4)</f>
        <v>0</v>
      </c>
      <c r="AI41" s="188">
        <f t="shared" si="59"/>
        <v>0</v>
      </c>
      <c r="AJ41" s="188">
        <f t="shared" si="59"/>
        <v>0</v>
      </c>
      <c r="AK41" s="188">
        <f t="shared" si="59"/>
        <v>0</v>
      </c>
      <c r="AL41" s="188">
        <f t="shared" si="59"/>
        <v>0</v>
      </c>
      <c r="AM41" s="188">
        <f t="shared" si="59"/>
        <v>1</v>
      </c>
      <c r="AN41" s="188">
        <f t="shared" si="59"/>
        <v>5</v>
      </c>
      <c r="AO41" s="188">
        <f t="shared" si="59"/>
        <v>0</v>
      </c>
      <c r="AP41" s="188">
        <f t="shared" si="59"/>
        <v>0</v>
      </c>
      <c r="AQ41" s="189"/>
      <c r="AR41" s="189"/>
      <c r="AS41" s="190">
        <f>SUMPRODUCT(--(WEEKDAY(D$3:AG$3,2)&lt;5),--ISNUMBER(MATCH(D41:AG41,{"DM","CS1","CS2","SB1","AE","CS/B"},0)))</f>
        <v>2</v>
      </c>
      <c r="AT41" s="194"/>
      <c r="AU41" s="190">
        <f>SUMPRODUCT(--(WEEKDAY(D$3:AG$3,2)=5),--ISNUMBER(MATCH(D41:AG41,{"DM","CS1","CS2","SB1","AE","CS/B","WEEKEND OUTFIELD RESERVE"},0)))</f>
        <v>1</v>
      </c>
      <c r="AV41" s="190">
        <f>SUMPRODUCT(--(WEEKDAY(D$3:AG$3,2)&gt;5),--ISNUMBER(MATCH(D41:AG41,{"DM","CS1","CS2","SB1","AE","CS/B","WEEKEND OUTFIELD RESERVE"},0)))</f>
        <v>2</v>
      </c>
      <c r="AW41" s="194"/>
      <c r="AX41" s="190">
        <f t="shared" si="3"/>
        <v>8</v>
      </c>
      <c r="AY41" s="190">
        <f t="shared" si="4"/>
        <v>5</v>
      </c>
      <c r="AZ41" s="190">
        <f t="shared" si="34"/>
        <v>1</v>
      </c>
      <c r="BA41" s="189">
        <f t="shared" si="6"/>
        <v>8.5</v>
      </c>
      <c r="BB41" s="189">
        <f t="shared" si="36"/>
        <v>0</v>
      </c>
      <c r="BC41" s="190">
        <f t="shared" si="7"/>
        <v>0.5</v>
      </c>
      <c r="BD41" s="190">
        <f t="shared" si="8"/>
        <v>0</v>
      </c>
      <c r="BE41" s="190">
        <f t="shared" si="9"/>
        <v>0</v>
      </c>
      <c r="BF41" s="190">
        <f t="shared" si="10"/>
        <v>0</v>
      </c>
      <c r="BG41" s="190">
        <f t="shared" si="11"/>
        <v>0</v>
      </c>
      <c r="BH41" s="190">
        <f t="shared" si="12"/>
        <v>0</v>
      </c>
      <c r="BI41" s="190">
        <f t="shared" si="13"/>
        <v>0</v>
      </c>
      <c r="BJ41" s="190">
        <f t="shared" si="14"/>
        <v>1</v>
      </c>
      <c r="BK41" s="190">
        <f t="shared" si="15"/>
        <v>0.5</v>
      </c>
      <c r="BL41" s="190">
        <f t="shared" si="16"/>
        <v>0</v>
      </c>
      <c r="BM41" s="190">
        <f t="shared" si="17"/>
        <v>0</v>
      </c>
      <c r="BN41" s="190">
        <f>COUNTIF($E41:$AA41,BN$4)</f>
        <v>0</v>
      </c>
      <c r="BO41" s="190">
        <f>COUNTIF($E41:$AA41,BO$4)</f>
        <v>0</v>
      </c>
      <c r="BP41" s="190">
        <f>COUNTIF($E41:$AA41,BP$4)</f>
        <v>0</v>
      </c>
      <c r="BQ41" s="194"/>
    </row>
    <row r="42" ht="19.5" customHeight="1" spans="1:69">
      <c r="A42" s="184"/>
      <c r="B42" s="186" t="s">
        <v>753</v>
      </c>
      <c r="C42" s="186"/>
      <c r="D42" s="53"/>
      <c r="E42" s="53" t="s">
        <v>745</v>
      </c>
      <c r="F42" s="53"/>
      <c r="G42" s="53"/>
      <c r="H42" s="53"/>
      <c r="I42" s="53"/>
      <c r="J42" s="53" t="s">
        <v>745</v>
      </c>
      <c r="K42" s="53"/>
      <c r="L42" s="53" t="s">
        <v>93</v>
      </c>
      <c r="M42" s="53"/>
      <c r="N42" s="53" t="s">
        <v>65</v>
      </c>
      <c r="O42" s="53"/>
      <c r="P42" s="53"/>
      <c r="Q42" s="53"/>
      <c r="R42" s="53" t="s">
        <v>728</v>
      </c>
      <c r="S42" s="53"/>
      <c r="T42" s="53"/>
      <c r="U42" s="53"/>
      <c r="V42" s="53"/>
      <c r="W42" s="53" t="s">
        <v>573</v>
      </c>
      <c r="X42" s="53"/>
      <c r="Y42" s="53"/>
      <c r="Z42" s="53"/>
      <c r="AA42" s="53" t="s">
        <v>754</v>
      </c>
      <c r="AB42" s="53" t="s">
        <v>754</v>
      </c>
      <c r="AC42" s="53" t="s">
        <v>754</v>
      </c>
      <c r="AD42" s="53" t="s">
        <v>754</v>
      </c>
      <c r="AE42" s="53" t="s">
        <v>754</v>
      </c>
      <c r="AF42" s="53"/>
      <c r="AG42" s="53"/>
      <c r="AH42" s="188">
        <f t="shared" ref="AH42:AP42" si="60">COUNTIF($D42:$AG42,AH$4)</f>
        <v>0</v>
      </c>
      <c r="AI42" s="188">
        <f t="shared" si="60"/>
        <v>0</v>
      </c>
      <c r="AJ42" s="188">
        <f t="shared" si="60"/>
        <v>0</v>
      </c>
      <c r="AK42" s="188">
        <f t="shared" si="60"/>
        <v>0</v>
      </c>
      <c r="AL42" s="188">
        <f t="shared" si="60"/>
        <v>0</v>
      </c>
      <c r="AM42" s="188">
        <f t="shared" si="60"/>
        <v>1</v>
      </c>
      <c r="AN42" s="188">
        <f t="shared" si="60"/>
        <v>1</v>
      </c>
      <c r="AO42" s="188">
        <f t="shared" si="60"/>
        <v>0</v>
      </c>
      <c r="AP42" s="188">
        <f t="shared" si="60"/>
        <v>0</v>
      </c>
      <c r="AQ42" s="189"/>
      <c r="AR42" s="189"/>
      <c r="AS42" s="190">
        <f>SUMPRODUCT(--(WEEKDAY(D$3:AG$3,2)&lt;5),--ISNUMBER(MATCH(D42:AG42,{"DM","CS1","CS2","SB1","AE","CS/B"},0)))</f>
        <v>0</v>
      </c>
      <c r="AT42" s="194"/>
      <c r="AU42" s="190">
        <f>SUMPRODUCT(--(WEEKDAY(D$3:AG$3,2)=5),--ISNUMBER(MATCH(D42:AG42,{"DM","CS1","CS2","SB1","AE","CS/B","WEEKEND OUTFIELD RESERVE"},0)))</f>
        <v>0</v>
      </c>
      <c r="AV42" s="190">
        <f>SUMPRODUCT(--(WEEKDAY(D$3:AG$3,2)&gt;5),--ISNUMBER(MATCH(D42:AG42,{"DM","CS1","CS2","SB1","AE","CS/B","WEEKEND OUTFIELD RESERVE"},0)))</f>
        <v>1</v>
      </c>
      <c r="AW42" s="194"/>
      <c r="AX42" s="190">
        <f t="shared" si="3"/>
        <v>2.5</v>
      </c>
      <c r="AY42" s="190">
        <f t="shared" si="4"/>
        <v>1</v>
      </c>
      <c r="AZ42" s="190">
        <f t="shared" si="34"/>
        <v>6</v>
      </c>
      <c r="BA42" s="189">
        <f t="shared" si="6"/>
        <v>9</v>
      </c>
      <c r="BB42" s="189">
        <f t="shared" si="36"/>
        <v>0.5</v>
      </c>
      <c r="BC42" s="190">
        <f t="shared" si="7"/>
        <v>6.5</v>
      </c>
      <c r="BD42" s="190">
        <f t="shared" si="8"/>
        <v>1</v>
      </c>
      <c r="BE42" s="190">
        <f t="shared" si="9"/>
        <v>1.5</v>
      </c>
      <c r="BF42" s="190">
        <f t="shared" si="10"/>
        <v>0</v>
      </c>
      <c r="BG42" s="190">
        <f t="shared" si="11"/>
        <v>0</v>
      </c>
      <c r="BH42" s="190">
        <f t="shared" si="12"/>
        <v>0</v>
      </c>
      <c r="BI42" s="190">
        <f t="shared" si="13"/>
        <v>0</v>
      </c>
      <c r="BJ42" s="190">
        <f t="shared" si="14"/>
        <v>0</v>
      </c>
      <c r="BK42" s="190">
        <f t="shared" si="15"/>
        <v>0</v>
      </c>
      <c r="BL42" s="190">
        <f t="shared" si="16"/>
        <v>5</v>
      </c>
      <c r="BM42" s="190">
        <f t="shared" si="17"/>
        <v>5</v>
      </c>
      <c r="BN42" s="190">
        <f>COUNTIF($E42:$Z42,BN$4)</f>
        <v>0</v>
      </c>
      <c r="BO42" s="190">
        <f>COUNTIF($E42:$Z42,BO$4)</f>
        <v>0</v>
      </c>
      <c r="BP42" s="190">
        <f>COUNTIF($E42:$Z42,BP$4)</f>
        <v>0</v>
      </c>
      <c r="BQ42" s="194"/>
    </row>
    <row r="43" ht="19.5" customHeight="1" spans="1:69">
      <c r="A43" s="184"/>
      <c r="B43" s="195" t="s">
        <v>148</v>
      </c>
      <c r="C43" s="195"/>
      <c r="D43" s="196"/>
      <c r="E43" s="197"/>
      <c r="F43" s="197"/>
      <c r="G43" s="197"/>
      <c r="H43" s="53"/>
      <c r="I43" s="53"/>
      <c r="J43" s="197"/>
      <c r="K43" s="197"/>
      <c r="L43" s="197"/>
      <c r="M43" s="197"/>
      <c r="N43" s="53"/>
      <c r="O43" s="197"/>
      <c r="P43" s="197"/>
      <c r="Q43" s="197"/>
      <c r="R43" s="53"/>
      <c r="S43" s="53"/>
      <c r="T43" s="197"/>
      <c r="U43" s="196"/>
      <c r="V43" s="198"/>
      <c r="W43" s="53"/>
      <c r="X43" s="137"/>
      <c r="Y43" s="197"/>
      <c r="Z43" s="197"/>
      <c r="AA43" s="53"/>
      <c r="AB43" s="53"/>
      <c r="AC43" s="53"/>
      <c r="AD43" s="53"/>
      <c r="AE43" s="53"/>
      <c r="AF43" s="197"/>
      <c r="AG43" s="197"/>
      <c r="AH43" s="188"/>
      <c r="AI43" s="188"/>
      <c r="AJ43" s="188"/>
      <c r="AK43" s="188"/>
      <c r="AL43" s="194"/>
      <c r="AM43" s="194"/>
      <c r="AN43" s="194"/>
      <c r="AO43" s="194"/>
      <c r="AP43" s="194"/>
      <c r="AQ43" s="194"/>
      <c r="AR43" s="194"/>
      <c r="AS43" s="190"/>
      <c r="AT43" s="194"/>
      <c r="AU43" s="194"/>
      <c r="AV43" s="190"/>
      <c r="AW43" s="194"/>
      <c r="AX43" s="194"/>
      <c r="AY43" s="190"/>
      <c r="AZ43" s="190"/>
      <c r="BA43" s="190"/>
      <c r="BB43" s="190"/>
      <c r="BC43" s="190"/>
      <c r="BD43" s="190"/>
      <c r="BE43" s="190"/>
      <c r="BF43" s="190"/>
      <c r="BG43" s="190"/>
      <c r="BH43" s="190"/>
      <c r="BI43" s="190"/>
      <c r="BJ43" s="190"/>
      <c r="BK43" s="190"/>
      <c r="BL43" s="190"/>
      <c r="BM43" s="190"/>
      <c r="BN43" s="194"/>
      <c r="BO43" s="194"/>
      <c r="BP43" s="194"/>
      <c r="BQ43" s="194"/>
    </row>
    <row r="44" ht="19.5" customHeight="1" spans="1:69">
      <c r="A44" s="184"/>
      <c r="B44" s="199" t="s">
        <v>664</v>
      </c>
      <c r="C44" s="199"/>
      <c r="D44" s="196"/>
      <c r="E44" s="197"/>
      <c r="F44" s="197"/>
      <c r="G44" s="197"/>
      <c r="H44" s="197"/>
      <c r="I44" s="197"/>
      <c r="J44" s="197"/>
      <c r="K44" s="197"/>
      <c r="L44" s="197"/>
      <c r="M44" s="197"/>
      <c r="N44" s="53"/>
      <c r="O44" s="197"/>
      <c r="P44" s="197"/>
      <c r="Q44" s="197"/>
      <c r="R44" s="53"/>
      <c r="S44" s="53"/>
      <c r="T44" s="197"/>
      <c r="U44" s="196"/>
      <c r="V44" s="198"/>
      <c r="W44" s="200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88"/>
      <c r="AI44" s="188"/>
      <c r="AJ44" s="188"/>
      <c r="AK44" s="188"/>
      <c r="AL44" s="194"/>
      <c r="AM44" s="194"/>
      <c r="AN44" s="194"/>
      <c r="AO44" s="194"/>
      <c r="AP44" s="194"/>
      <c r="AQ44" s="194"/>
      <c r="AR44" s="194"/>
      <c r="AS44" s="190"/>
      <c r="AT44" s="194"/>
      <c r="AU44" s="194"/>
      <c r="AV44" s="190"/>
      <c r="AW44" s="194"/>
      <c r="AX44" s="194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4"/>
      <c r="BO44" s="194"/>
      <c r="BP44" s="194"/>
      <c r="BQ44" s="194"/>
    </row>
    <row r="45" ht="19.5" customHeight="1" spans="1:69">
      <c r="A45" s="184"/>
      <c r="B45" s="199" t="s">
        <v>667</v>
      </c>
      <c r="C45" s="199"/>
      <c r="D45" s="196"/>
      <c r="E45" s="197"/>
      <c r="F45" s="197"/>
      <c r="G45" s="197"/>
      <c r="H45" s="197"/>
      <c r="I45" s="197"/>
      <c r="J45" s="197"/>
      <c r="K45" s="197"/>
      <c r="L45" s="197"/>
      <c r="M45" s="197"/>
      <c r="N45" s="53"/>
      <c r="O45" s="197"/>
      <c r="P45" s="197"/>
      <c r="Q45" s="197"/>
      <c r="R45" s="53"/>
      <c r="S45" s="53"/>
      <c r="T45" s="197"/>
      <c r="U45" s="196"/>
      <c r="V45" s="198" t="s">
        <v>700</v>
      </c>
      <c r="W45" s="200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88"/>
      <c r="AI45" s="188"/>
      <c r="AJ45" s="188"/>
      <c r="AK45" s="188"/>
      <c r="AL45" s="194"/>
      <c r="AM45" s="194"/>
      <c r="AN45" s="194"/>
      <c r="AO45" s="194"/>
      <c r="AP45" s="194"/>
      <c r="AQ45" s="194"/>
      <c r="AR45" s="194"/>
      <c r="AS45" s="190"/>
      <c r="AT45" s="194"/>
      <c r="AU45" s="194"/>
      <c r="AV45" s="190"/>
      <c r="AW45" s="194"/>
      <c r="AX45" s="194"/>
      <c r="AY45" s="190"/>
      <c r="AZ45" s="190"/>
      <c r="BA45" s="190"/>
      <c r="BB45" s="190"/>
      <c r="BC45" s="190"/>
      <c r="BD45" s="190"/>
      <c r="BE45" s="190"/>
      <c r="BF45" s="190"/>
      <c r="BG45" s="190"/>
      <c r="BH45" s="190"/>
      <c r="BI45" s="190"/>
      <c r="BJ45" s="190"/>
      <c r="BK45" s="190"/>
      <c r="BL45" s="190"/>
      <c r="BM45" s="190"/>
      <c r="BN45" s="194"/>
      <c r="BO45" s="194"/>
      <c r="BP45" s="194"/>
      <c r="BQ45" s="194"/>
    </row>
    <row r="46" ht="19.5" customHeight="1" spans="1:69">
      <c r="A46" s="184"/>
      <c r="B46" s="199" t="s">
        <v>668</v>
      </c>
      <c r="C46" s="199"/>
      <c r="D46" s="196"/>
      <c r="E46" s="197"/>
      <c r="F46" s="197"/>
      <c r="G46" s="197"/>
      <c r="H46" s="197"/>
      <c r="I46" s="197"/>
      <c r="J46" s="197"/>
      <c r="K46" s="197"/>
      <c r="L46" s="197"/>
      <c r="M46" s="197"/>
      <c r="N46" s="53"/>
      <c r="O46" s="197"/>
      <c r="P46" s="197"/>
      <c r="Q46" s="197"/>
      <c r="R46" s="53"/>
      <c r="S46" s="53"/>
      <c r="T46" s="197"/>
      <c r="U46" s="196"/>
      <c r="V46" s="198"/>
      <c r="W46" s="200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88"/>
      <c r="AI46" s="188"/>
      <c r="AJ46" s="188"/>
      <c r="AK46" s="188"/>
      <c r="AL46" s="194"/>
      <c r="AM46" s="194"/>
      <c r="AN46" s="194"/>
      <c r="AO46" s="194"/>
      <c r="AP46" s="194"/>
      <c r="AQ46" s="194"/>
      <c r="AR46" s="194"/>
      <c r="AS46" s="190"/>
      <c r="AT46" s="194"/>
      <c r="AU46" s="194"/>
      <c r="AV46" s="190"/>
      <c r="AW46" s="194"/>
      <c r="AX46" s="194"/>
      <c r="AY46" s="190"/>
      <c r="AZ46" s="190"/>
      <c r="BA46" s="190"/>
      <c r="BB46" s="190"/>
      <c r="BC46" s="190"/>
      <c r="BD46" s="190"/>
      <c r="BE46" s="190"/>
      <c r="BF46" s="190"/>
      <c r="BG46" s="190"/>
      <c r="BH46" s="190"/>
      <c r="BI46" s="190"/>
      <c r="BJ46" s="190"/>
      <c r="BK46" s="190"/>
      <c r="BL46" s="190"/>
      <c r="BM46" s="190"/>
      <c r="BN46" s="194"/>
      <c r="BO46" s="194"/>
      <c r="BP46" s="194"/>
      <c r="BQ46" s="194"/>
    </row>
    <row r="47" ht="19.5" customHeight="1" spans="1:69">
      <c r="A47" s="184"/>
      <c r="B47" s="201"/>
      <c r="C47" s="201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3"/>
      <c r="AI47" s="203"/>
      <c r="AJ47" s="203"/>
      <c r="AK47" s="203"/>
      <c r="AL47" s="204"/>
      <c r="AM47" s="204"/>
      <c r="AN47" s="204"/>
      <c r="AO47" s="204"/>
      <c r="AP47" s="204"/>
      <c r="AQ47" s="204"/>
      <c r="AR47" s="204"/>
      <c r="AS47" s="204"/>
      <c r="AT47" s="204"/>
      <c r="AU47" s="204"/>
      <c r="AV47" s="204">
        <f>SUMPRODUCT(--WEEKDAY(D$3:AG$3,2)&gt;5,--((D47:AG47="DM"))+(D47:AG47="CS1")+((D47:AG47="CS2"))+(D47:AG47="SB1")+(D47:AG47="AE")+(D47:AG47="EM"))</f>
        <v>0</v>
      </c>
      <c r="AW47" s="204"/>
      <c r="AX47" s="204">
        <f>(AS47-AT47)/2+(AV47-AW47)</f>
        <v>0</v>
      </c>
      <c r="AY47" s="204"/>
      <c r="AZ47" s="204"/>
      <c r="BA47" s="204"/>
      <c r="BB47" s="204"/>
      <c r="BC47" s="204"/>
      <c r="BD47" s="204"/>
      <c r="BE47" s="204"/>
      <c r="BF47" s="204"/>
      <c r="BG47" s="204"/>
      <c r="BH47" s="204"/>
      <c r="BI47" s="204"/>
      <c r="BJ47" s="204"/>
      <c r="BK47" s="204"/>
      <c r="BL47" s="204"/>
      <c r="BM47" s="204"/>
      <c r="BN47" s="204"/>
      <c r="BO47" s="204"/>
      <c r="BP47" s="204"/>
      <c r="BQ47" s="204"/>
    </row>
    <row r="48" ht="19.5" customHeight="1" spans="1:69">
      <c r="A48" s="184"/>
      <c r="B48" s="205" t="s">
        <v>57</v>
      </c>
      <c r="C48" s="205"/>
      <c r="D48" s="206" t="str">
        <f t="shared" ref="D48:P48" si="61">VLOOKUP("DM",D5:D42,1,FALSE)</f>
        <v>DM</v>
      </c>
      <c r="E48" s="206" t="str">
        <f t="shared" si="61"/>
        <v>DM</v>
      </c>
      <c r="F48" s="206" t="str">
        <f t="shared" si="61"/>
        <v>DM</v>
      </c>
      <c r="G48" s="206" t="str">
        <f t="shared" si="61"/>
        <v>DM</v>
      </c>
      <c r="H48" s="206" t="str">
        <f t="shared" si="61"/>
        <v>DM</v>
      </c>
      <c r="I48" s="206" t="str">
        <f t="shared" si="61"/>
        <v>DM</v>
      </c>
      <c r="J48" s="206" t="str">
        <f t="shared" si="61"/>
        <v>DM</v>
      </c>
      <c r="K48" s="206" t="str">
        <f t="shared" si="61"/>
        <v>DM</v>
      </c>
      <c r="L48" s="206" t="str">
        <f t="shared" si="61"/>
        <v>DM</v>
      </c>
      <c r="M48" s="206" t="str">
        <f t="shared" si="61"/>
        <v>DM</v>
      </c>
      <c r="N48" s="206" t="str">
        <f t="shared" si="61"/>
        <v>DM</v>
      </c>
      <c r="O48" s="206" t="str">
        <f t="shared" si="61"/>
        <v>DM</v>
      </c>
      <c r="P48" s="206" t="str">
        <f t="shared" si="61"/>
        <v>DM</v>
      </c>
      <c r="Q48" s="206" t="str">
        <f>VLOOKUP("DM",Q5:Q41,1,FALSE)</f>
        <v>DM</v>
      </c>
      <c r="R48" s="206" t="str">
        <f>VLOOKUP("DM",R5:R42,1,FALSE)</f>
        <v>DM</v>
      </c>
      <c r="S48" s="206" t="str">
        <f>VLOOKUP("DM",S5:S41,1,FALSE)</f>
        <v>DM</v>
      </c>
      <c r="T48" s="206" t="str">
        <f>VLOOKUP("DM",T5:T42,1,FALSE)</f>
        <v>DM</v>
      </c>
      <c r="U48" s="206" t="str">
        <f>VLOOKUP("DM",U5:U42,1,FALSE)</f>
        <v>DM</v>
      </c>
      <c r="V48" s="206" t="str">
        <f>VLOOKUP("DM",V5:V42,1,FALSE)</f>
        <v>DM</v>
      </c>
      <c r="W48" s="206" t="str">
        <f>VLOOKUP("DM",W5:W42,1,FALSE)</f>
        <v>DM</v>
      </c>
      <c r="X48" s="206" t="str">
        <f>VLOOKUP("DM",X5:X42,1,FALSE)</f>
        <v>DM</v>
      </c>
      <c r="Y48" s="206" t="str">
        <f>VLOOKUP("DM",Y5:Y40,1,FALSE)</f>
        <v>DM</v>
      </c>
      <c r="Z48" s="206" t="str">
        <f t="shared" ref="Z48:AG48" si="62">VLOOKUP("DM",Z5:Z42,1,FALSE)</f>
        <v>DM</v>
      </c>
      <c r="AA48" s="206" t="str">
        <f t="shared" si="62"/>
        <v>DM</v>
      </c>
      <c r="AB48" s="206" t="str">
        <f t="shared" si="62"/>
        <v>DM</v>
      </c>
      <c r="AC48" s="206" t="str">
        <f t="shared" si="62"/>
        <v>DM</v>
      </c>
      <c r="AD48" s="206" t="str">
        <f t="shared" si="62"/>
        <v>DM</v>
      </c>
      <c r="AE48" s="206" t="str">
        <f t="shared" si="62"/>
        <v>DM</v>
      </c>
      <c r="AF48" s="206" t="str">
        <f t="shared" si="62"/>
        <v>DM</v>
      </c>
      <c r="AG48" s="206" t="str">
        <f t="shared" si="62"/>
        <v>DM</v>
      </c>
      <c r="AH48" s="188"/>
      <c r="AI48" s="188"/>
      <c r="AJ48" s="188"/>
      <c r="AK48" s="188"/>
      <c r="AL48" s="190"/>
      <c r="AM48" s="190"/>
      <c r="AN48" s="190"/>
      <c r="AO48" s="190"/>
      <c r="AP48" s="190"/>
      <c r="AQ48" s="190"/>
      <c r="AR48" s="190"/>
      <c r="AS48" s="190"/>
      <c r="AT48" s="190"/>
      <c r="AU48" s="190"/>
      <c r="AV48" s="190"/>
      <c r="AW48" s="190"/>
      <c r="AX48" s="190"/>
      <c r="AY48" s="190"/>
      <c r="AZ48" s="190"/>
      <c r="BA48" s="190"/>
      <c r="BB48" s="190"/>
      <c r="BC48" s="190"/>
      <c r="BD48" s="190"/>
      <c r="BE48" s="190"/>
      <c r="BF48" s="190"/>
      <c r="BG48" s="190"/>
      <c r="BH48" s="190"/>
      <c r="BI48" s="190"/>
      <c r="BJ48" s="190"/>
      <c r="BK48" s="190"/>
      <c r="BL48" s="190"/>
      <c r="BM48" s="190"/>
      <c r="BN48" s="190"/>
      <c r="BO48" s="190"/>
      <c r="BP48" s="190"/>
      <c r="BQ48" s="190"/>
    </row>
    <row r="49" ht="19.5" customHeight="1" spans="1:69">
      <c r="A49" s="184" t="e">
        <f>LTE()</f>
        <v>#NAME?</v>
      </c>
      <c r="B49" s="207" t="s">
        <v>56</v>
      </c>
      <c r="C49" s="207"/>
      <c r="D49" s="206" t="str">
        <f t="shared" ref="D49:Z49" si="63">VLOOKUP("CS1",D5:D43,1,FALSE)</f>
        <v>CS1</v>
      </c>
      <c r="E49" s="206" t="str">
        <f t="shared" si="63"/>
        <v>CS1</v>
      </c>
      <c r="F49" s="206" t="str">
        <f t="shared" si="63"/>
        <v>CS1</v>
      </c>
      <c r="G49" s="206" t="str">
        <f t="shared" si="63"/>
        <v>CS1</v>
      </c>
      <c r="H49" s="206" t="str">
        <f t="shared" si="63"/>
        <v>CS1</v>
      </c>
      <c r="I49" s="206" t="str">
        <f t="shared" si="63"/>
        <v>CS1</v>
      </c>
      <c r="J49" s="206" t="str">
        <f t="shared" si="63"/>
        <v>CS1</v>
      </c>
      <c r="K49" s="206" t="str">
        <f t="shared" si="63"/>
        <v>CS1</v>
      </c>
      <c r="L49" s="206" t="str">
        <f t="shared" si="63"/>
        <v>CS1</v>
      </c>
      <c r="M49" s="206" t="str">
        <f t="shared" si="63"/>
        <v>CS1</v>
      </c>
      <c r="N49" s="206" t="str">
        <f t="shared" si="63"/>
        <v>CS1</v>
      </c>
      <c r="O49" s="206" t="str">
        <f t="shared" si="63"/>
        <v>CS1</v>
      </c>
      <c r="P49" s="206" t="str">
        <f t="shared" si="63"/>
        <v>CS1</v>
      </c>
      <c r="Q49" s="206" t="str">
        <f t="shared" si="63"/>
        <v>CS1</v>
      </c>
      <c r="R49" s="206" t="str">
        <f t="shared" si="63"/>
        <v>CS1</v>
      </c>
      <c r="S49" s="206" t="str">
        <f t="shared" si="63"/>
        <v>CS1</v>
      </c>
      <c r="T49" s="206" t="str">
        <f t="shared" si="63"/>
        <v>CS1</v>
      </c>
      <c r="U49" s="206" t="str">
        <f t="shared" si="63"/>
        <v>CS1</v>
      </c>
      <c r="V49" s="206" t="str">
        <f t="shared" si="63"/>
        <v>CS1</v>
      </c>
      <c r="W49" s="206" t="str">
        <f t="shared" si="63"/>
        <v>CS1</v>
      </c>
      <c r="X49" s="206" t="str">
        <f t="shared" si="63"/>
        <v>CS1</v>
      </c>
      <c r="Y49" s="206" t="str">
        <f t="shared" si="63"/>
        <v>CS1</v>
      </c>
      <c r="Z49" s="206" t="str">
        <f t="shared" si="63"/>
        <v>CS1</v>
      </c>
      <c r="AA49" s="206" t="str">
        <f>VLOOKUP("CS1",AA5:AA42,1,FALSE)</f>
        <v>CS1</v>
      </c>
      <c r="AB49" s="206" t="str">
        <f>VLOOKUP("CS1",AB5:AB42,1,FALSE)</f>
        <v>CS1</v>
      </c>
      <c r="AC49" s="206" t="str">
        <f>VLOOKUP("CS1",AC5:AC42,1,FALSE)</f>
        <v>CS1</v>
      </c>
      <c r="AD49" s="206" t="str">
        <f>VLOOKUP("CS1",AD5:AD42,1,FALSE)</f>
        <v>CS1</v>
      </c>
      <c r="AE49" s="206" t="str">
        <f>VLOOKUP("CS1",AE5:AE42,1,FALSE)</f>
        <v>CS1</v>
      </c>
      <c r="AF49" s="206" t="str">
        <f>VLOOKUP("CS1",AF5:AF43,1,FALSE)</f>
        <v>CS1</v>
      </c>
      <c r="AG49" s="206" t="str">
        <f>VLOOKUP("CS1",AG5:AG43,1,FALSE)</f>
        <v>CS1</v>
      </c>
      <c r="AH49" s="188"/>
      <c r="AI49" s="188"/>
      <c r="AJ49" s="188"/>
      <c r="AK49" s="188"/>
      <c r="AL49" s="190"/>
      <c r="AM49" s="190"/>
      <c r="AN49" s="190"/>
      <c r="AO49" s="190"/>
      <c r="AP49" s="190"/>
      <c r="AQ49" s="190"/>
      <c r="AR49" s="190"/>
      <c r="AS49" s="190"/>
      <c r="AT49" s="190"/>
      <c r="AU49" s="190"/>
      <c r="AV49" s="190"/>
      <c r="AW49" s="190"/>
      <c r="AX49" s="190"/>
      <c r="AY49" s="190"/>
      <c r="AZ49" s="190"/>
      <c r="BA49" s="190"/>
      <c r="BB49" s="190"/>
      <c r="BC49" s="190"/>
      <c r="BD49" s="190"/>
      <c r="BE49" s="190"/>
      <c r="BF49" s="190"/>
      <c r="BG49" s="190"/>
      <c r="BH49" s="190"/>
      <c r="BI49" s="190"/>
      <c r="BJ49" s="190"/>
      <c r="BK49" s="190"/>
      <c r="BL49" s="190"/>
      <c r="BM49" s="190"/>
      <c r="BN49" s="190"/>
      <c r="BO49" s="190"/>
      <c r="BP49" s="190"/>
      <c r="BQ49" s="190"/>
    </row>
    <row r="50" ht="19.5" customHeight="1" spans="1:69">
      <c r="A50" s="184"/>
      <c r="B50" s="208" t="s">
        <v>59</v>
      </c>
      <c r="C50" s="208"/>
      <c r="D50" s="206" t="str">
        <f t="shared" ref="D50:Z50" si="64">VLOOKUP("CS2",D5:D43,1,FALSE)</f>
        <v>CS2</v>
      </c>
      <c r="E50" s="206" t="str">
        <f t="shared" si="64"/>
        <v>CS2</v>
      </c>
      <c r="F50" s="206" t="str">
        <f t="shared" si="64"/>
        <v>CS2</v>
      </c>
      <c r="G50" s="206" t="str">
        <f t="shared" si="64"/>
        <v>CS2</v>
      </c>
      <c r="H50" s="206" t="str">
        <f t="shared" si="64"/>
        <v>CS2</v>
      </c>
      <c r="I50" s="206" t="e">
        <f t="shared" si="64"/>
        <v>#N/A</v>
      </c>
      <c r="J50" s="206" t="str">
        <f t="shared" si="64"/>
        <v>CS2</v>
      </c>
      <c r="K50" s="206" t="str">
        <f t="shared" si="64"/>
        <v>CS2</v>
      </c>
      <c r="L50" s="206" t="e">
        <f t="shared" si="64"/>
        <v>#N/A</v>
      </c>
      <c r="M50" s="206" t="str">
        <f t="shared" si="64"/>
        <v>CS2</v>
      </c>
      <c r="N50" s="206" t="str">
        <f t="shared" si="64"/>
        <v>CS2</v>
      </c>
      <c r="O50" s="206" t="e">
        <f t="shared" si="64"/>
        <v>#N/A</v>
      </c>
      <c r="P50" s="206" t="e">
        <f t="shared" si="64"/>
        <v>#N/A</v>
      </c>
      <c r="Q50" s="206" t="str">
        <f t="shared" si="64"/>
        <v>CS2</v>
      </c>
      <c r="R50" s="206" t="str">
        <f t="shared" si="64"/>
        <v>CS2</v>
      </c>
      <c r="S50" s="206" t="e">
        <f t="shared" si="64"/>
        <v>#N/A</v>
      </c>
      <c r="T50" s="206" t="str">
        <f t="shared" si="64"/>
        <v>CS2</v>
      </c>
      <c r="U50" s="206" t="str">
        <f t="shared" si="64"/>
        <v>CS2</v>
      </c>
      <c r="V50" s="206" t="e">
        <f t="shared" si="64"/>
        <v>#N/A</v>
      </c>
      <c r="W50" s="206" t="e">
        <f t="shared" si="64"/>
        <v>#N/A</v>
      </c>
      <c r="X50" s="206" t="str">
        <f t="shared" si="64"/>
        <v>CS2</v>
      </c>
      <c r="Y50" s="206" t="str">
        <f t="shared" si="64"/>
        <v>CS2</v>
      </c>
      <c r="Z50" s="206" t="e">
        <f t="shared" si="64"/>
        <v>#N/A</v>
      </c>
      <c r="AA50" s="206" t="str">
        <f>VLOOKUP("CS2",AA5:AA42,1,FALSE)</f>
        <v>CS2</v>
      </c>
      <c r="AB50" s="206" t="str">
        <f>VLOOKUP("CS2",AB5:AB42,1,FALSE)</f>
        <v>CS2</v>
      </c>
      <c r="AC50" s="206" t="e">
        <f>VLOOKUP("CS2",AC5:AC42,1,FALSE)</f>
        <v>#N/A</v>
      </c>
      <c r="AD50" s="206" t="e">
        <f>VLOOKUP("CS2",AD5:AD42,1,FALSE)</f>
        <v>#N/A</v>
      </c>
      <c r="AE50" s="206" t="str">
        <f>VLOOKUP("CS2",AE5:AE42,1,FALSE)</f>
        <v>CS2</v>
      </c>
      <c r="AF50" s="206" t="str">
        <f>VLOOKUP("CS2",AF5:AF43,1,FALSE)</f>
        <v>CS2</v>
      </c>
      <c r="AG50" s="206" t="e">
        <f>VLOOKUP("CS2",AG5:AG43,1,FALSE)</f>
        <v>#N/A</v>
      </c>
      <c r="AH50" s="188"/>
      <c r="AI50" s="188"/>
      <c r="AJ50" s="188"/>
      <c r="AK50" s="188"/>
      <c r="AL50" s="190"/>
      <c r="AM50" s="190"/>
      <c r="AN50" s="190"/>
      <c r="AO50" s="190"/>
      <c r="AP50" s="190"/>
      <c r="AQ50" s="190"/>
      <c r="AR50" s="190"/>
      <c r="AS50" s="190"/>
      <c r="AT50" s="190"/>
      <c r="AU50" s="190"/>
      <c r="AV50" s="190"/>
      <c r="AW50" s="190"/>
      <c r="AX50" s="190"/>
      <c r="AY50" s="190"/>
      <c r="AZ50" s="190"/>
      <c r="BA50" s="190"/>
      <c r="BB50" s="190"/>
      <c r="BC50" s="190"/>
      <c r="BD50" s="190"/>
      <c r="BE50" s="190"/>
      <c r="BF50" s="190"/>
      <c r="BG50" s="190"/>
      <c r="BH50" s="190"/>
      <c r="BI50" s="190"/>
      <c r="BJ50" s="190"/>
      <c r="BK50" s="190"/>
      <c r="BL50" s="190"/>
      <c r="BM50" s="190"/>
      <c r="BN50" s="190"/>
      <c r="BO50" s="190"/>
      <c r="BP50" s="190"/>
      <c r="BQ50" s="190"/>
    </row>
    <row r="51" ht="19.5" customHeight="1" spans="1:69">
      <c r="A51" s="184"/>
      <c r="B51" s="209" t="s">
        <v>566</v>
      </c>
      <c r="C51" s="209"/>
      <c r="D51" s="206" t="e">
        <f t="shared" ref="D51:Z51" si="65">VLOOKUP("CS/B",D5:D43,1,FALSE)</f>
        <v>#N/A</v>
      </c>
      <c r="E51" s="206" t="e">
        <f t="shared" si="65"/>
        <v>#N/A</v>
      </c>
      <c r="F51" s="206" t="e">
        <f t="shared" si="65"/>
        <v>#N/A</v>
      </c>
      <c r="G51" s="206" t="e">
        <f t="shared" si="65"/>
        <v>#N/A</v>
      </c>
      <c r="H51" s="206" t="e">
        <f t="shared" si="65"/>
        <v>#N/A</v>
      </c>
      <c r="I51" s="206" t="str">
        <f t="shared" si="65"/>
        <v>CS/B</v>
      </c>
      <c r="J51" s="206" t="e">
        <f t="shared" si="65"/>
        <v>#N/A</v>
      </c>
      <c r="K51" s="206" t="e">
        <f t="shared" si="65"/>
        <v>#N/A</v>
      </c>
      <c r="L51" s="206" t="str">
        <f t="shared" si="65"/>
        <v>CS/B</v>
      </c>
      <c r="M51" s="206" t="e">
        <f t="shared" si="65"/>
        <v>#N/A</v>
      </c>
      <c r="N51" s="206" t="e">
        <f t="shared" si="65"/>
        <v>#N/A</v>
      </c>
      <c r="O51" s="206" t="str">
        <f t="shared" si="65"/>
        <v>CS/B</v>
      </c>
      <c r="P51" s="206" t="str">
        <f t="shared" si="65"/>
        <v>CS/B</v>
      </c>
      <c r="Q51" s="206" t="e">
        <f t="shared" si="65"/>
        <v>#N/A</v>
      </c>
      <c r="R51" s="206" t="e">
        <f t="shared" si="65"/>
        <v>#N/A</v>
      </c>
      <c r="S51" s="206" t="str">
        <f t="shared" si="65"/>
        <v>CS/B</v>
      </c>
      <c r="T51" s="206" t="e">
        <f t="shared" si="65"/>
        <v>#N/A</v>
      </c>
      <c r="U51" s="206" t="e">
        <f t="shared" si="65"/>
        <v>#N/A</v>
      </c>
      <c r="V51" s="206" t="str">
        <f t="shared" si="65"/>
        <v>CS/B</v>
      </c>
      <c r="W51" s="206" t="str">
        <f t="shared" si="65"/>
        <v>CS/B</v>
      </c>
      <c r="X51" s="206" t="e">
        <f t="shared" si="65"/>
        <v>#N/A</v>
      </c>
      <c r="Y51" s="206" t="e">
        <f t="shared" si="65"/>
        <v>#N/A</v>
      </c>
      <c r="Z51" s="206" t="str">
        <f t="shared" si="65"/>
        <v>CS/B</v>
      </c>
      <c r="AA51" s="206" t="e">
        <f>VLOOKUP("CS/B",AA5:AA42,1,FALSE)</f>
        <v>#N/A</v>
      </c>
      <c r="AB51" s="206" t="e">
        <f>VLOOKUP("CS/B",AB5:AB42,1,FALSE)</f>
        <v>#N/A</v>
      </c>
      <c r="AC51" s="206" t="str">
        <f>VLOOKUP("CS/B",AC5:AC42,1,FALSE)</f>
        <v>CS/B</v>
      </c>
      <c r="AD51" s="206" t="str">
        <f>VLOOKUP("CS/B",AD5:AD42,1,FALSE)</f>
        <v>CS/B</v>
      </c>
      <c r="AE51" s="206" t="e">
        <f>VLOOKUP("CS/B",AE5:AE42,1,FALSE)</f>
        <v>#N/A</v>
      </c>
      <c r="AF51" s="206" t="e">
        <f>VLOOKUP("CS/B",AF5:AF43,1,FALSE)</f>
        <v>#N/A</v>
      </c>
      <c r="AG51" s="206" t="str">
        <f>VLOOKUP("CS/B",AG5:AG43,1,FALSE)</f>
        <v>CS/B</v>
      </c>
      <c r="AH51" s="188"/>
      <c r="AI51" s="188"/>
      <c r="AJ51" s="188"/>
      <c r="AK51" s="188"/>
      <c r="AL51" s="190"/>
      <c r="AM51" s="190"/>
      <c r="AN51" s="190"/>
      <c r="AO51" s="190"/>
      <c r="AP51" s="190"/>
      <c r="AQ51" s="190"/>
      <c r="AR51" s="190"/>
      <c r="AS51" s="190"/>
      <c r="AT51" s="190"/>
      <c r="AU51" s="190"/>
      <c r="AV51" s="190"/>
      <c r="AW51" s="190"/>
      <c r="AX51" s="190"/>
      <c r="AY51" s="190"/>
      <c r="AZ51" s="190"/>
      <c r="BA51" s="190"/>
      <c r="BB51" s="190"/>
      <c r="BC51" s="190"/>
      <c r="BD51" s="190"/>
      <c r="BE51" s="190"/>
      <c r="BF51" s="190"/>
      <c r="BG51" s="190"/>
      <c r="BH51" s="190"/>
      <c r="BI51" s="190"/>
      <c r="BJ51" s="190"/>
      <c r="BK51" s="190"/>
      <c r="BL51" s="190"/>
      <c r="BM51" s="190"/>
      <c r="BN51" s="190"/>
      <c r="BO51" s="190"/>
      <c r="BP51" s="190"/>
      <c r="BQ51" s="190"/>
    </row>
    <row r="52" ht="19.5" customHeight="1" spans="1:69">
      <c r="A52" s="184"/>
      <c r="B52" s="210" t="s">
        <v>58</v>
      </c>
      <c r="C52" s="210"/>
      <c r="D52" s="206" t="e">
        <f t="shared" ref="D52:Z52" si="66">VLOOKUP("SB1",D5:D43,1,FALSE)</f>
        <v>#N/A</v>
      </c>
      <c r="E52" s="206" t="e">
        <f t="shared" si="66"/>
        <v>#N/A</v>
      </c>
      <c r="F52" s="206" t="e">
        <f t="shared" si="66"/>
        <v>#N/A</v>
      </c>
      <c r="G52" s="206" t="e">
        <f t="shared" si="66"/>
        <v>#N/A</v>
      </c>
      <c r="H52" s="206" t="e">
        <f t="shared" si="66"/>
        <v>#N/A</v>
      </c>
      <c r="I52" s="206" t="e">
        <f t="shared" si="66"/>
        <v>#N/A</v>
      </c>
      <c r="J52" s="206" t="str">
        <f t="shared" si="66"/>
        <v>SB1</v>
      </c>
      <c r="K52" s="206" t="str">
        <f t="shared" si="66"/>
        <v>SB1</v>
      </c>
      <c r="L52" s="206" t="e">
        <f t="shared" si="66"/>
        <v>#N/A</v>
      </c>
      <c r="M52" s="206" t="str">
        <f t="shared" si="66"/>
        <v>SB1</v>
      </c>
      <c r="N52" s="206" t="str">
        <f t="shared" si="66"/>
        <v>SB1</v>
      </c>
      <c r="O52" s="206" t="e">
        <f t="shared" si="66"/>
        <v>#N/A</v>
      </c>
      <c r="P52" s="206" t="e">
        <f t="shared" si="66"/>
        <v>#N/A</v>
      </c>
      <c r="Q52" s="206" t="str">
        <f t="shared" si="66"/>
        <v>SB1</v>
      </c>
      <c r="R52" s="206" t="str">
        <f t="shared" si="66"/>
        <v>SB1</v>
      </c>
      <c r="S52" s="206" t="e">
        <f t="shared" si="66"/>
        <v>#N/A</v>
      </c>
      <c r="T52" s="206" t="str">
        <f t="shared" si="66"/>
        <v>SB1</v>
      </c>
      <c r="U52" s="206" t="str">
        <f t="shared" si="66"/>
        <v>SB1</v>
      </c>
      <c r="V52" s="206" t="e">
        <f t="shared" si="66"/>
        <v>#N/A</v>
      </c>
      <c r="W52" s="206" t="e">
        <f t="shared" si="66"/>
        <v>#N/A</v>
      </c>
      <c r="X52" s="206" t="str">
        <f t="shared" si="66"/>
        <v>SB1</v>
      </c>
      <c r="Y52" s="206" t="str">
        <f t="shared" si="66"/>
        <v>SB1</v>
      </c>
      <c r="Z52" s="206" t="e">
        <f t="shared" si="66"/>
        <v>#N/A</v>
      </c>
      <c r="AA52" s="206" t="str">
        <f>VLOOKUP("SB1",AA5:AA42,1,FALSE)</f>
        <v>SB1</v>
      </c>
      <c r="AB52" s="206" t="str">
        <f>VLOOKUP("SB1",AB5:AB42,1,FALSE)</f>
        <v>SB1</v>
      </c>
      <c r="AC52" s="206" t="e">
        <f>VLOOKUP("SB1",AC5:AC42,1,FALSE)</f>
        <v>#N/A</v>
      </c>
      <c r="AD52" s="206" t="e">
        <f>VLOOKUP("SB1",AD5:AD42,1,FALSE)</f>
        <v>#N/A</v>
      </c>
      <c r="AE52" s="206" t="str">
        <f>VLOOKUP("SB1",AE5:AE42,1,FALSE)</f>
        <v>SB1</v>
      </c>
      <c r="AF52" s="206" t="str">
        <f>VLOOKUP("SB1",AF5:AF43,1,FALSE)</f>
        <v>SB1</v>
      </c>
      <c r="AG52" s="206" t="e">
        <f>VLOOKUP("SB1",AG5:AG43,1,FALSE)</f>
        <v>#N/A</v>
      </c>
      <c r="AH52" s="188"/>
      <c r="AI52" s="188"/>
      <c r="AJ52" s="188"/>
      <c r="AK52" s="188"/>
      <c r="AL52" s="190"/>
      <c r="AM52" s="190"/>
      <c r="AN52" s="190"/>
      <c r="AO52" s="190"/>
      <c r="AP52" s="190"/>
      <c r="AQ52" s="190"/>
      <c r="AR52" s="190"/>
      <c r="AS52" s="190"/>
      <c r="AT52" s="190"/>
      <c r="AU52" s="190"/>
      <c r="AV52" s="190"/>
      <c r="AW52" s="190"/>
      <c r="AX52" s="190"/>
      <c r="AY52" s="190"/>
      <c r="AZ52" s="190"/>
      <c r="BA52" s="190"/>
      <c r="BB52" s="190"/>
      <c r="BC52" s="190"/>
      <c r="BD52" s="190"/>
      <c r="BE52" s="190"/>
      <c r="BF52" s="190"/>
      <c r="BG52" s="190"/>
      <c r="BH52" s="190"/>
      <c r="BI52" s="190"/>
      <c r="BJ52" s="190"/>
      <c r="BK52" s="190"/>
      <c r="BL52" s="190"/>
      <c r="BM52" s="190"/>
      <c r="BN52" s="190"/>
      <c r="BO52" s="190"/>
      <c r="BP52" s="190"/>
      <c r="BQ52" s="190"/>
    </row>
    <row r="53" ht="18.75" customHeight="1" spans="1:69">
      <c r="A53" s="184"/>
      <c r="B53" s="211" t="s">
        <v>93</v>
      </c>
      <c r="C53" s="211"/>
      <c r="D53" s="206" t="str">
        <f t="shared" ref="D53:Z53" si="67">VLOOKUP("SB2",D5:D43,1,FALSE)</f>
        <v>SB2</v>
      </c>
      <c r="E53" s="206" t="str">
        <f t="shared" si="67"/>
        <v>SB2</v>
      </c>
      <c r="F53" s="206" t="e">
        <f t="shared" si="67"/>
        <v>#N/A</v>
      </c>
      <c r="G53" s="206" t="e">
        <f t="shared" si="67"/>
        <v>#N/A</v>
      </c>
      <c r="H53" s="206" t="e">
        <f t="shared" si="67"/>
        <v>#N/A</v>
      </c>
      <c r="I53" s="206" t="str">
        <f t="shared" si="67"/>
        <v>SB2</v>
      </c>
      <c r="J53" s="206" t="str">
        <f t="shared" si="67"/>
        <v>SB2</v>
      </c>
      <c r="K53" s="206" t="str">
        <f t="shared" si="67"/>
        <v>SB2</v>
      </c>
      <c r="L53" s="206" t="str">
        <f t="shared" si="67"/>
        <v>SB2</v>
      </c>
      <c r="M53" s="206" t="str">
        <f t="shared" si="67"/>
        <v>SB2</v>
      </c>
      <c r="N53" s="206" t="e">
        <f t="shared" si="67"/>
        <v>#N/A</v>
      </c>
      <c r="O53" s="206" t="e">
        <f t="shared" si="67"/>
        <v>#N/A</v>
      </c>
      <c r="P53" s="206" t="str">
        <f t="shared" si="67"/>
        <v>SB2</v>
      </c>
      <c r="Q53" s="206" t="str">
        <f t="shared" si="67"/>
        <v>SB2</v>
      </c>
      <c r="R53" s="206" t="str">
        <f t="shared" si="67"/>
        <v>SB2</v>
      </c>
      <c r="S53" s="206" t="str">
        <f t="shared" si="67"/>
        <v>SB2</v>
      </c>
      <c r="T53" s="206" t="str">
        <f t="shared" si="67"/>
        <v>SB2</v>
      </c>
      <c r="U53" s="206" t="e">
        <f t="shared" si="67"/>
        <v>#N/A</v>
      </c>
      <c r="V53" s="206" t="e">
        <f t="shared" si="67"/>
        <v>#N/A</v>
      </c>
      <c r="W53" s="206" t="str">
        <f t="shared" si="67"/>
        <v>SB2</v>
      </c>
      <c r="X53" s="206" t="str">
        <f t="shared" si="67"/>
        <v>SB2</v>
      </c>
      <c r="Y53" s="206" t="str">
        <f t="shared" si="67"/>
        <v>SB2</v>
      </c>
      <c r="Z53" s="206" t="str">
        <f t="shared" si="67"/>
        <v>SB2</v>
      </c>
      <c r="AA53" s="206" t="str">
        <f>VLOOKUP("SB2",AA5:AA42,1,FALSE)</f>
        <v>SB2</v>
      </c>
      <c r="AB53" s="206" t="e">
        <f>VLOOKUP("SB2",AB5:AB42,1,FALSE)</f>
        <v>#N/A</v>
      </c>
      <c r="AC53" s="206" t="e">
        <f>VLOOKUP("SB2",AC5:AC42,1,FALSE)</f>
        <v>#N/A</v>
      </c>
      <c r="AD53" s="206" t="str">
        <f>VLOOKUP("SB2",AD5:AD42,1,FALSE)</f>
        <v>SB2</v>
      </c>
      <c r="AE53" s="206" t="str">
        <f>VLOOKUP("SB2",AE5:AE42,1,FALSE)</f>
        <v>SB2</v>
      </c>
      <c r="AF53" s="206" t="str">
        <f>VLOOKUP("SB2",AF5:AF43,1,FALSE)</f>
        <v>SB2</v>
      </c>
      <c r="AG53" s="206" t="str">
        <f>VLOOKUP("SB2",AG5:AG43,1,FALSE)</f>
        <v>SB2</v>
      </c>
      <c r="AH53" s="188"/>
      <c r="AI53" s="188"/>
      <c r="AJ53" s="188"/>
      <c r="AK53" s="188"/>
      <c r="AL53" s="190"/>
      <c r="AM53" s="190"/>
      <c r="AN53" s="190"/>
      <c r="AO53" s="190"/>
      <c r="AP53" s="190"/>
      <c r="AQ53" s="190"/>
      <c r="AR53" s="190"/>
      <c r="AS53" s="190"/>
      <c r="AT53" s="190"/>
      <c r="AU53" s="190"/>
      <c r="AV53" s="190"/>
      <c r="AW53" s="190"/>
      <c r="AX53" s="190"/>
      <c r="AY53" s="190"/>
      <c r="AZ53" s="190"/>
      <c r="BA53" s="190"/>
      <c r="BB53" s="190"/>
      <c r="BC53" s="190"/>
      <c r="BD53" s="190"/>
      <c r="BE53" s="190"/>
      <c r="BF53" s="190"/>
      <c r="BG53" s="190"/>
      <c r="BH53" s="190"/>
      <c r="BI53" s="190"/>
      <c r="BJ53" s="190"/>
      <c r="BK53" s="190"/>
      <c r="BL53" s="190"/>
      <c r="BM53" s="190"/>
      <c r="BN53" s="190"/>
      <c r="BO53" s="190"/>
      <c r="BP53" s="190"/>
      <c r="BQ53" s="190"/>
    </row>
    <row r="54" ht="19.5" customHeight="1" spans="1:69">
      <c r="A54" s="184"/>
      <c r="B54" s="212" t="s">
        <v>65</v>
      </c>
      <c r="C54" s="212"/>
      <c r="D54" s="206" t="str">
        <f t="shared" ref="D54:Z54" si="68">VLOOKUP("AE",D5:D43,1,FALSE)</f>
        <v>AE</v>
      </c>
      <c r="E54" s="206" t="str">
        <f t="shared" si="68"/>
        <v>AE</v>
      </c>
      <c r="F54" s="206" t="str">
        <f t="shared" si="68"/>
        <v>AE</v>
      </c>
      <c r="G54" s="206" t="str">
        <f t="shared" si="68"/>
        <v>AE</v>
      </c>
      <c r="H54" s="206" t="str">
        <f t="shared" si="68"/>
        <v>AE</v>
      </c>
      <c r="I54" s="206" t="str">
        <f t="shared" si="68"/>
        <v>AE</v>
      </c>
      <c r="J54" s="206" t="str">
        <f t="shared" si="68"/>
        <v>AE</v>
      </c>
      <c r="K54" s="206" t="str">
        <f t="shared" si="68"/>
        <v>AE</v>
      </c>
      <c r="L54" s="206" t="str">
        <f t="shared" si="68"/>
        <v>AE</v>
      </c>
      <c r="M54" s="206" t="str">
        <f t="shared" si="68"/>
        <v>AE</v>
      </c>
      <c r="N54" s="206" t="str">
        <f t="shared" si="68"/>
        <v>AE</v>
      </c>
      <c r="O54" s="206" t="str">
        <f t="shared" si="68"/>
        <v>AE</v>
      </c>
      <c r="P54" s="206" t="str">
        <f t="shared" si="68"/>
        <v>AE</v>
      </c>
      <c r="Q54" s="206" t="str">
        <f t="shared" si="68"/>
        <v>AE</v>
      </c>
      <c r="R54" s="206" t="str">
        <f t="shared" si="68"/>
        <v>AE</v>
      </c>
      <c r="S54" s="206" t="str">
        <f t="shared" si="68"/>
        <v>AE</v>
      </c>
      <c r="T54" s="206" t="str">
        <f t="shared" si="68"/>
        <v>AE</v>
      </c>
      <c r="U54" s="206" t="str">
        <f t="shared" si="68"/>
        <v>AE</v>
      </c>
      <c r="V54" s="206" t="str">
        <f t="shared" si="68"/>
        <v>AE</v>
      </c>
      <c r="W54" s="206" t="str">
        <f t="shared" si="68"/>
        <v>AE</v>
      </c>
      <c r="X54" s="206" t="str">
        <f t="shared" si="68"/>
        <v>AE</v>
      </c>
      <c r="Y54" s="206" t="str">
        <f t="shared" si="68"/>
        <v>AE</v>
      </c>
      <c r="Z54" s="206" t="str">
        <f t="shared" si="68"/>
        <v>AE</v>
      </c>
      <c r="AA54" s="206" t="str">
        <f>VLOOKUP("AE",AA5:AA42,1,FALSE)</f>
        <v>AE</v>
      </c>
      <c r="AB54" s="206" t="str">
        <f>VLOOKUP("AE",AB5:AB42,1,FALSE)</f>
        <v>AE</v>
      </c>
      <c r="AC54" s="206" t="str">
        <f>VLOOKUP("AE",AC5:AC42,1,FALSE)</f>
        <v>AE</v>
      </c>
      <c r="AD54" s="206" t="str">
        <f>VLOOKUP("AE",AD5:AD42,1,FALSE)</f>
        <v>AE</v>
      </c>
      <c r="AE54" s="206" t="str">
        <f>VLOOKUP("AE",AE5:AE42,1,FALSE)</f>
        <v>AE</v>
      </c>
      <c r="AF54" s="206" t="str">
        <f>VLOOKUP("AE",AF5:AF43,1,FALSE)</f>
        <v>AE</v>
      </c>
      <c r="AG54" s="206" t="str">
        <f>VLOOKUP("AE",AG5:AG43,1,FALSE)</f>
        <v>AE</v>
      </c>
      <c r="AH54" s="188"/>
      <c r="AI54" s="188"/>
      <c r="AJ54" s="188"/>
      <c r="AK54" s="188"/>
      <c r="AL54" s="190"/>
      <c r="AM54" s="190"/>
      <c r="AN54" s="190"/>
      <c r="AO54" s="190"/>
      <c r="AP54" s="190"/>
      <c r="AQ54" s="190"/>
      <c r="AR54" s="190"/>
      <c r="AS54" s="190"/>
      <c r="AT54" s="190"/>
      <c r="AU54" s="190"/>
      <c r="AV54" s="190"/>
      <c r="AW54" s="190"/>
      <c r="AX54" s="190"/>
      <c r="AY54" s="190"/>
      <c r="AZ54" s="190"/>
      <c r="BA54" s="190"/>
      <c r="BB54" s="190"/>
      <c r="BC54" s="190"/>
      <c r="BD54" s="190"/>
      <c r="BE54" s="190"/>
      <c r="BF54" s="190"/>
      <c r="BG54" s="190"/>
      <c r="BH54" s="190"/>
      <c r="BI54" s="190"/>
      <c r="BJ54" s="190"/>
      <c r="BK54" s="190"/>
      <c r="BL54" s="190"/>
      <c r="BM54" s="190"/>
      <c r="BN54" s="190"/>
      <c r="BO54" s="190"/>
      <c r="BP54" s="190"/>
      <c r="BQ54" s="190"/>
    </row>
    <row r="55" ht="19.5" customHeight="1" spans="1:69">
      <c r="A55" s="184"/>
      <c r="B55" s="53" t="s">
        <v>350</v>
      </c>
      <c r="C55" s="53"/>
      <c r="D55" s="53" t="str">
        <f t="shared" ref="D55:P55" si="69">VLOOKUP("RESERVE",D5:D42,1,FALSE)</f>
        <v>RESERVE</v>
      </c>
      <c r="E55" s="53" t="str">
        <f t="shared" si="69"/>
        <v>RESERVE</v>
      </c>
      <c r="F55" s="53" t="str">
        <f t="shared" si="69"/>
        <v>RESERVE</v>
      </c>
      <c r="G55" s="53" t="str">
        <f t="shared" si="69"/>
        <v>RESERVE</v>
      </c>
      <c r="H55" s="53" t="str">
        <f t="shared" si="69"/>
        <v>RESERVE</v>
      </c>
      <c r="I55" s="53" t="str">
        <f t="shared" si="69"/>
        <v>RESERVE</v>
      </c>
      <c r="J55" s="53" t="str">
        <f t="shared" si="69"/>
        <v>RESERVE</v>
      </c>
      <c r="K55" s="53" t="str">
        <f t="shared" si="69"/>
        <v>RESERVE</v>
      </c>
      <c r="L55" s="53" t="str">
        <f t="shared" si="69"/>
        <v>RESERVE</v>
      </c>
      <c r="M55" s="53" t="str">
        <f t="shared" si="69"/>
        <v>RESERVE</v>
      </c>
      <c r="N55" s="53" t="str">
        <f t="shared" si="69"/>
        <v>RESERVE</v>
      </c>
      <c r="O55" s="53" t="str">
        <f t="shared" si="69"/>
        <v>RESERVE</v>
      </c>
      <c r="P55" s="53" t="str">
        <f t="shared" si="69"/>
        <v>RESERVE</v>
      </c>
      <c r="Q55" s="53" t="e">
        <f>VLOOKUP("RESERVE",Q5:Q41,1,FALSE)</f>
        <v>#N/A</v>
      </c>
      <c r="R55" s="53" t="str">
        <f>VLOOKUP("RESERVE",R5:R42,1,FALSE)</f>
        <v>RESERVE</v>
      </c>
      <c r="S55" s="53" t="str">
        <f>VLOOKUP("RESERVE",S5:S41,1,FALSE)</f>
        <v>RESERVE</v>
      </c>
      <c r="T55" s="53" t="str">
        <f>VLOOKUP("RESERVE",T5:T42,1,FALSE)</f>
        <v>RESERVE</v>
      </c>
      <c r="U55" s="53" t="str">
        <f>VLOOKUP("RESERVE",U5:U42,1,FALSE)</f>
        <v>RESERVE</v>
      </c>
      <c r="V55" s="53" t="str">
        <f>VLOOKUP("RESERVE",V5:V42,1,FALSE)</f>
        <v>RESERVE</v>
      </c>
      <c r="W55" s="53" t="str">
        <f>VLOOKUP("RESERVE",W5:W42,1,FALSE)</f>
        <v>RESERVE</v>
      </c>
      <c r="X55" s="53" t="str">
        <f>VLOOKUP("RESERVE",X5:X42,1,FALSE)</f>
        <v>RESERVE</v>
      </c>
      <c r="Y55" s="53" t="str">
        <f>VLOOKUP("RESERVE",Y5:Y40,1,FALSE)</f>
        <v>RESERVE</v>
      </c>
      <c r="Z55" s="53" t="str">
        <f t="shared" ref="Z55:AG55" si="70">VLOOKUP("RESERVE",Z5:Z42,1,FALSE)</f>
        <v>RESERVE</v>
      </c>
      <c r="AA55" s="53" t="str">
        <f t="shared" si="70"/>
        <v>RESERVE</v>
      </c>
      <c r="AB55" s="53" t="str">
        <f t="shared" si="70"/>
        <v>RESERVE</v>
      </c>
      <c r="AC55" s="53" t="str">
        <f t="shared" si="70"/>
        <v>RESERVE</v>
      </c>
      <c r="AD55" s="53" t="str">
        <f t="shared" si="70"/>
        <v>RESERVE</v>
      </c>
      <c r="AE55" s="53" t="e">
        <f t="shared" si="70"/>
        <v>#N/A</v>
      </c>
      <c r="AF55" s="53" t="str">
        <f t="shared" si="70"/>
        <v>RESERVE</v>
      </c>
      <c r="AG55" s="53" t="str">
        <f t="shared" si="70"/>
        <v>RESERVE</v>
      </c>
      <c r="AH55" s="188"/>
      <c r="AI55" s="188"/>
      <c r="AJ55" s="188"/>
      <c r="AK55" s="188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</row>
    <row r="56" ht="19.5" customHeight="1" spans="1:69">
      <c r="A56" s="184"/>
      <c r="B56" s="53" t="s">
        <v>755</v>
      </c>
      <c r="C56" s="53"/>
      <c r="D56" s="53">
        <f t="shared" ref="D56:P56" si="71">COUNTIF(D5:D42,"DM")</f>
        <v>1</v>
      </c>
      <c r="E56" s="53">
        <f t="shared" si="71"/>
        <v>1</v>
      </c>
      <c r="F56" s="53">
        <f t="shared" si="71"/>
        <v>1</v>
      </c>
      <c r="G56" s="53">
        <f t="shared" si="71"/>
        <v>1</v>
      </c>
      <c r="H56" s="53">
        <f t="shared" si="71"/>
        <v>1</v>
      </c>
      <c r="I56" s="53">
        <f t="shared" si="71"/>
        <v>2</v>
      </c>
      <c r="J56" s="53">
        <f t="shared" si="71"/>
        <v>2</v>
      </c>
      <c r="K56" s="53">
        <f t="shared" si="71"/>
        <v>2</v>
      </c>
      <c r="L56" s="53">
        <f t="shared" si="71"/>
        <v>2</v>
      </c>
      <c r="M56" s="53">
        <f t="shared" si="71"/>
        <v>1</v>
      </c>
      <c r="N56" s="53">
        <f t="shared" si="71"/>
        <v>1</v>
      </c>
      <c r="O56" s="53">
        <f t="shared" si="71"/>
        <v>1</v>
      </c>
      <c r="P56" s="53">
        <f t="shared" si="71"/>
        <v>2</v>
      </c>
      <c r="Q56" s="53">
        <f>COUNTIF(Q5:Q41,"DM")</f>
        <v>2</v>
      </c>
      <c r="R56" s="53">
        <f>COUNTIF(R5:R42,"DM")</f>
        <v>2</v>
      </c>
      <c r="S56" s="53">
        <f>COUNTIF(S5:S41,"DM")</f>
        <v>2</v>
      </c>
      <c r="T56" s="53">
        <f>COUNTIF(T5:T42,"DM")</f>
        <v>2</v>
      </c>
      <c r="U56" s="53">
        <f>COUNTIF(U5:U42,"DM")</f>
        <v>1</v>
      </c>
      <c r="V56" s="53">
        <f>COUNTIF(V5:V42,"DM")</f>
        <v>1</v>
      </c>
      <c r="W56" s="53">
        <f>COUNTIF(W5:W42,"DM")</f>
        <v>2</v>
      </c>
      <c r="X56" s="53">
        <f>COUNTIF(X5:X42,"DM")</f>
        <v>2</v>
      </c>
      <c r="Y56" s="53">
        <f>COUNTIF(Y5:Y40,"DM")</f>
        <v>2</v>
      </c>
      <c r="Z56" s="53">
        <f t="shared" ref="Z56:AG56" si="72">COUNTIF(Z5:Z42,"DM")</f>
        <v>2</v>
      </c>
      <c r="AA56" s="53">
        <f t="shared" si="72"/>
        <v>1</v>
      </c>
      <c r="AB56" s="53">
        <f t="shared" si="72"/>
        <v>1</v>
      </c>
      <c r="AC56" s="53">
        <f t="shared" si="72"/>
        <v>1</v>
      </c>
      <c r="AD56" s="53">
        <f t="shared" si="72"/>
        <v>2</v>
      </c>
      <c r="AE56" s="53">
        <f t="shared" si="72"/>
        <v>2</v>
      </c>
      <c r="AF56" s="53">
        <f t="shared" si="72"/>
        <v>1</v>
      </c>
      <c r="AG56" s="53">
        <f t="shared" si="72"/>
        <v>2</v>
      </c>
      <c r="AH56" s="188"/>
      <c r="AI56" s="188"/>
      <c r="AJ56" s="188"/>
      <c r="AK56" s="188"/>
      <c r="AL56" s="190"/>
      <c r="AM56" s="190"/>
      <c r="AN56" s="190"/>
      <c r="AO56" s="190"/>
      <c r="AP56" s="190"/>
      <c r="AQ56" s="190"/>
      <c r="AR56" s="190"/>
      <c r="AS56" s="190"/>
      <c r="AT56" s="190"/>
      <c r="AU56" s="190"/>
      <c r="AV56" s="190"/>
      <c r="AW56" s="190"/>
      <c r="AX56" s="190"/>
      <c r="AY56" s="190"/>
      <c r="AZ56" s="190"/>
      <c r="BA56" s="190"/>
      <c r="BB56" s="190"/>
      <c r="BC56" s="190"/>
      <c r="BD56" s="190"/>
      <c r="BE56" s="190"/>
      <c r="BF56" s="190"/>
      <c r="BG56" s="190"/>
      <c r="BH56" s="190"/>
      <c r="BI56" s="190"/>
      <c r="BJ56" s="190"/>
      <c r="BK56" s="190"/>
      <c r="BL56" s="190"/>
      <c r="BM56" s="190"/>
      <c r="BN56" s="190"/>
      <c r="BO56" s="190"/>
      <c r="BP56" s="190"/>
      <c r="BQ56" s="190"/>
    </row>
  </sheetData>
  <mergeCells count="3">
    <mergeCell ref="D1:T1"/>
    <mergeCell ref="AQ3:AQ4"/>
    <mergeCell ref="AR3:AR4"/>
  </mergeCells>
  <conditionalFormatting sqref="AE7">
    <cfRule type="notContainsBlanks" dxfId="837" priority="77">
      <formula>LEN(TRIM(AE7))&gt;0</formula>
    </cfRule>
  </conditionalFormatting>
  <conditionalFormatting sqref="E23">
    <cfRule type="expression" dxfId="136" priority="6">
      <formula>WEEKDAY(H$3,2)&gt;5</formula>
    </cfRule>
    <cfRule type="expression" dxfId="136" priority="7">
      <formula>WEEKDAY(G$3,2)&gt;5</formula>
    </cfRule>
  </conditionalFormatting>
  <conditionalFormatting sqref="D21:D22">
    <cfRule type="expression" dxfId="136" priority="9">
      <formula>WEEKDAY(E$3,2)&gt;5</formula>
    </cfRule>
  </conditionalFormatting>
  <conditionalFormatting sqref="J11:J12">
    <cfRule type="expression" dxfId="136" priority="1">
      <formula>WEEKDAY(#REF!,2)&gt;5</formula>
    </cfRule>
    <cfRule type="containsText" dxfId="154" priority="2" operator="between" text="VACC">
      <formula>NOT(ISERROR(SEARCH("VACC",J11)))</formula>
    </cfRule>
  </conditionalFormatting>
  <conditionalFormatting sqref="A1:I56 J1:J10 K1:BQ56 J12:J56">
    <cfRule type="cellIs" dxfId="155" priority="76" operator="equal">
      <formula>"RESERVE"</formula>
    </cfRule>
  </conditionalFormatting>
  <conditionalFormatting sqref="A1:BQ56">
    <cfRule type="cellIs" dxfId="1665" priority="78" operator="equal">
      <formula>"WEEKEND OUTFIELD RESERVE"</formula>
    </cfRule>
  </conditionalFormatting>
  <conditionalFormatting sqref="U2:Y46 D3:I46 J3:J10 K3:T46 Z3:AG46 J12:J46">
    <cfRule type="expression" dxfId="136" priority="69">
      <formula>WEEKDAY(U$3,2)&gt;5</formula>
    </cfRule>
  </conditionalFormatting>
  <conditionalFormatting sqref="K4:K56 AB4:AB56 D5:I56 J5:J10 L5:AA56 AC5:AG56 J12:J56">
    <cfRule type="cellIs" dxfId="137" priority="54" operator="equal">
      <formula>"B"</formula>
    </cfRule>
    <cfRule type="cellIs" dxfId="137" priority="55" operator="equal">
      <formula>"AL"</formula>
    </cfRule>
    <cfRule type="cellIs" dxfId="138" priority="56" operator="equal">
      <formula>"DM"</formula>
    </cfRule>
    <cfRule type="cellIs" dxfId="139" priority="57" operator="equal">
      <formula>"CS1"</formula>
    </cfRule>
    <cfRule type="cellIs" dxfId="140" priority="58" operator="equal">
      <formula>"CS2"</formula>
    </cfRule>
    <cfRule type="cellIs" dxfId="141" priority="59" operator="equal">
      <formula>"SB1"</formula>
    </cfRule>
    <cfRule type="cellIs" dxfId="142" priority="60" operator="equal">
      <formula>"SB2"</formula>
    </cfRule>
    <cfRule type="cellIs" dxfId="143" priority="61" operator="equal">
      <formula>"AE"</formula>
    </cfRule>
  </conditionalFormatting>
  <conditionalFormatting sqref="K4:K46 AB4:AB46 D5:I46 J5:J10 L5:AA46 AC5:AG46 J12:J46">
    <cfRule type="cellIs" dxfId="137" priority="63" operator="equal">
      <formula>"DB"</formula>
    </cfRule>
    <cfRule type="containsText" dxfId="144" priority="64" operator="between" text="$AM">
      <formula>NOT(ISERROR(SEARCH("$AM",D4)))</formula>
    </cfRule>
    <cfRule type="containsText" dxfId="145" priority="65" operator="between" text="$PM">
      <formula>NOT(ISERROR(SEARCH("$PM",D4)))</formula>
    </cfRule>
    <cfRule type="containsText" dxfId="146" priority="66" operator="between" text="$L">
      <formula>NOT(ISERROR(SEARCH("$L",D4)))</formula>
    </cfRule>
    <cfRule type="containsText" dxfId="147" priority="67" operator="between" text="$BTP">
      <formula>NOT(ISERROR(SEARCH("$BTP",D4)))</formula>
    </cfRule>
    <cfRule type="containsText" dxfId="148" priority="68" operator="between" text="$M">
      <formula>NOT(ISERROR(SEARCH("$M",D4)))</formula>
    </cfRule>
    <cfRule type="containsText" dxfId="149" priority="70" operator="between" text="$N">
      <formula>NOT(ISERROR(SEARCH("$N",D4)))</formula>
    </cfRule>
    <cfRule type="containsText" dxfId="150" priority="71" operator="between" text="$FC">
      <formula>NOT(ISERROR(SEARCH("$FC",D4)))</formula>
    </cfRule>
    <cfRule type="containsText" dxfId="151" priority="72" operator="between" text="OAL">
      <formula>NOT(ISERROR(SEARCH("OAL",D4)))</formula>
    </cfRule>
    <cfRule type="containsText" dxfId="152" priority="73" operator="between" text="S+">
      <formula>NOT(ISERROR(SEARCH("S+",D4)))</formula>
    </cfRule>
    <cfRule type="containsText" dxfId="153" priority="74" operator="between" text="EX-D">
      <formula>NOT(ISERROR(SEARCH("EX-D",D4)))</formula>
    </cfRule>
  </conditionalFormatting>
  <conditionalFormatting sqref="K4:K8 D5:D10 F5:F6 H5:H16 I5 J5:J10 L5:L6 N5:N7 O5:P6 Q5 R5:R17 S5:S6 T5:T9 U5:W6 X5:Y22 Z5:Z42 AA5:AC43 AD5:AD34 AE5:AF28 AG5:AG17 E6 G6:G10 M6:M9 I7:I9 Q7:Q10 E8:F8 L8:L12 P8:P29 S8:S10 U8:U17 W8:W13 N9:N25 V9 F10:F12 K10:K16 I11:I25 T11:T12 V11:V21 D12:D23 E12:E17 G12 M12 O12:O25 S12:S30 J13:J16 Q13:Q23 F14:F20 G14:G19 L14:L16 M14:M17 T14:T23 W15:W16 H18:H27 J18:J22 K18:K20 L18:L27 W18:W21 E19:E25 R19:R22 U19:U23 AG19:AG27 M20:M26 G21:G22 K22:K25 V23:V24 W23 F24:F25 J24:J30 X24:X25 D25 G25:G28 Q25:Q29 R25:R28 T25:T30 U25:U28 W25 Y25 V26:V29 E27 F27:F28 I27:I30 N27:N28 W27:W42 X27:Y30 D28 K28:K30 M28 O28 E29 L29 F30:G30 M30 N30:N32 O30:O31 R30 U30 AE30:AF32 AG30:AG31 E31:E32 H31:H32 V31 D32 F32:G32 P32:P33 S32:S33 T32 J33 K33:K35 L33 O33:O34 U33 X33:X34 Y33:Y36 F34:H34 I34:I35 M34 N34:N36 Q34 L35:L40 P35:P36 S35 V35:V37 F36:F42 G36:H37 J36:J37 O36 AD36:AD43 E37 I37:I42 K37:K42 T37:T38 X37:X42 AE37:AE43 AF37:AF41 D38:D42 M38:N42 S38:S42 U38 Y38:Y42 J39 P40 G41 Q41 T41 L42 R42 V43:V46">
    <cfRule type="containsText" dxfId="154" priority="75" operator="between" text="VACC">
      <formula>NOT(ISERROR(SEARCH("VACC",D4)))</formula>
    </cfRule>
  </conditionalFormatting>
  <conditionalFormatting sqref="D5:D10 F5:F6 H5:H8 I5 J5:J10 K5:K8 L5:L6 N5:N16 O5:P6 Q5 R5:R9 S5:S36 T5:W6 X5:X21 Y5:Y9 Z5:Z8 AF5:AG5 E6 G6:G10 M6:M9 AA6:AA7 I7:I9 Q7:Q10 AB7:AB11 AC7:AC8 AD7:AD10 AE7:AF11 E8:F8 P8:P10 T8:T9 U8:U13 AG8:AG16 L9 V9 F10:F12 H10:H16 K10:K13 W10:W11 AA10:AA11 AC10 I11:I17 R11:R17 T11 V11:V13 Y11:Y17 Z11:Z21 D12:D23 E12:E17 G12 L12:M12 P12 J13:J16 O13:O16 W13 AB13:AF13 F14:F16 G14:G19 M14:M17 P14:P17 Q14:Q16 K15:L16 T15:T20 U15:U17 V15:V21 W15:W16 AA15:AA17 AB15:AB19 AC15:AC22 AE15:AE16 AF15:AF19 AD16 F18:F20 H18:H21 J18:J22 L18:L22 N18:N25 Q18:Q23 W18:W21 AE18:AE19 E19:E20 I19:I25 K19 M19:M25 O19:O22 P19:P27 R19:R22 U19:U20 Y19:Y22 AA19 AD19:AD22 AG19:AG20 G21:G22 AB21 K22:K24 T22:U23 AE22 AF22:AF26 AG22 E23 H23:H27 AA23 F24:F25 J24:J25 L24:L27 V24 X24:X25 AD24 D25:D30 E25 G25:G28 O25 Q25:Q26 W25 R26 T26:T30 V26 Z26 AB26 AD26 E27 F27:F28 I27:J30 N27:N28 AA27:AA28 AE27 K28:K30 M28 O28 R28 U28:X28 AC28 AD28:AD33 E29 L29 P29:Q29 Y29:Y30 F30:G30 M30 W30:W35 X30 Z30:AA30 AC30 AG30 E31:E32 H31:H32 N31:N32 O31 AB31:AB32 AE31:AE32 D32 F32:G32 P32:P33 T32 AC32 AF32 J33:L33 O33 U33 X33:X34 Y33:Y36 F34:H34 I34:I35 M34 N34:N36 Q34 AC34:AC35 P35:P36 F36:F42 G36:H37 J36:J37 O36 V36 AA36 E37 I37:I38 K37:K39 L37:L40 T37 W37 X37:X42 D38:D42 M38:N42 S38:S42 U38 Y38:Y42 AA39 AB39:AB43 AC39:AC40 AD39:AE43 AF39:AF41 I40:I42 P40 G41 Q41 T41 L42 R42 AA42:AA43 AC42:AC43">
    <cfRule type="cellIs" dxfId="137" priority="10" operator="equal">
      <formula>"B"</formula>
    </cfRule>
    <cfRule type="cellIs" dxfId="137" priority="11" operator="equal">
      <formula>"AL"</formula>
    </cfRule>
    <cfRule type="cellIs" dxfId="138" priority="12" operator="equal">
      <formula>"DM"</formula>
    </cfRule>
    <cfRule type="cellIs" dxfId="139" priority="13" operator="equal">
      <formula>"CS1"</formula>
    </cfRule>
    <cfRule type="cellIs" dxfId="140" priority="14" operator="equal">
      <formula>"CS2"</formula>
    </cfRule>
    <cfRule type="cellIs" dxfId="141" priority="15" operator="equal">
      <formula>"SB1"</formula>
    </cfRule>
    <cfRule type="cellIs" dxfId="142" priority="16" operator="equal">
      <formula>"SB2"</formula>
    </cfRule>
    <cfRule type="cellIs" dxfId="143" priority="17" operator="equal">
      <formula>"AE"</formula>
    </cfRule>
    <cfRule type="cellIs" dxfId="137" priority="18" operator="equal">
      <formula>"DB"</formula>
    </cfRule>
    <cfRule type="containsText" dxfId="144" priority="19" operator="between" text="$AM">
      <formula>NOT(ISERROR(SEARCH("$AM",D5)))</formula>
    </cfRule>
    <cfRule type="containsText" dxfId="145" priority="20" operator="between" text="$PM">
      <formula>NOT(ISERROR(SEARCH("$PM",D5)))</formula>
    </cfRule>
    <cfRule type="containsText" dxfId="146" priority="21" operator="between" text="$L">
      <formula>NOT(ISERROR(SEARCH("$L",D5)))</formula>
    </cfRule>
    <cfRule type="containsText" dxfId="147" priority="22" operator="between" text="$BTP">
      <formula>NOT(ISERROR(SEARCH("$BTP",D5)))</formula>
    </cfRule>
    <cfRule type="containsText" dxfId="148" priority="23" operator="between" text="$M">
      <formula>NOT(ISERROR(SEARCH("$M",D5)))</formula>
    </cfRule>
    <cfRule type="containsText" dxfId="149" priority="24" operator="between" text="$N">
      <formula>NOT(ISERROR(SEARCH("$N",D5)))</formula>
    </cfRule>
    <cfRule type="containsText" dxfId="150" priority="25" operator="between" text="$FC">
      <formula>NOT(ISERROR(SEARCH("$FC",D5)))</formula>
    </cfRule>
    <cfRule type="containsText" dxfId="151" priority="26" operator="between" text="OAL">
      <formula>NOT(ISERROR(SEARCH("OAL",D5)))</formula>
    </cfRule>
    <cfRule type="containsText" dxfId="152" priority="27" operator="between" text="S+">
      <formula>NOT(ISERROR(SEARCH("S+",D5)))</formula>
    </cfRule>
    <cfRule type="containsText" dxfId="153" priority="28" operator="between" text="EX-D">
      <formula>NOT(ISERROR(SEARCH("EX-D",D5)))</formula>
    </cfRule>
  </conditionalFormatting>
  <conditionalFormatting sqref="D5:D10 F5:F6 H5:H8 I5 J5:J10 K5:K13 L5:L6 N5:N7 O5:O6 P5:Q5 R5:R17 S5:W6 X5:X21 Y5:Y9 Z5:Z8 AA5:AA7 AB5:AG5 E6 G6:G10 M6 I7:I9 Q7:Q10 AB7:AB8 AC7:AC22 AD7:AD10 AE7:AE16 AF7:AF13 E8:F8 M8:M9 P8:P10 S8:S10 T8:T9 U8:U13 AG8:AG16 L9 N9:N16 V9 F10:F12 H10:H16 W10:W13 AA10:AA11 AB10:AB19 I11:I17 T11 V11:V13 Y11:Y17 Z11 D12:D23 E12:E17 G12 L12:M12 S12:S30 AD12:AD14 J13:J16 O13:O16 P13:P17 Z13:Z17 F14:F16 G14:G19 M14:M17 Q14:Q16 AA14:AA17 K15:L16 T15:T20 U15:U17 V15:V21 W15:W16 AF15:AF19 AD16 F18:F20 H18:H27 J18:J22 L18:L22 N18:N25 O18:O22 Q18:Q26 W18:W21 AE18:AE19 E19:E20 I19:I25 K19 P19:P20 R19:R22 U19:U20 Y19:Y22 Z19:Z21 AA19 AD19:AD26 AG19:AG20 M20:M26 G21:G22 AB21:AB22 K22:K24 P22:P27 T22 U22:U23 AA22:AA25 AE22 AF22:AF26 AG22 E23 F23:F25 J24:J30 L24:L27 V24 X24:X25 D25:E25 G25:G28 O25 U25 W25 AB25:AB26 AG25 R26 T26:T30 V26 Z26 AE26:AE27 E27 F27:F28 I27:I30 N27:N28 AA27:AA30 AC27:AC30 D28 K28:K30 M28 O28 Q28:Q29 R28 U28:X28 Y28:Y30 Z28 AB28:AB29 AD28:AD33 E29 L29 P29 F30:G30 M30 N30:N32 W30:W33 X30 AG30 E31:E32 H31:H32 O31 Z31 AB31:AB32 AE31:AE32 D32 F32:G32 P32:P33 S32:S33 T32 AC32 AF32 J33 K33:K35 L33 O33 U33 X33:X34 Y33:Y36 F34:H34 I34:I35 M34 N34:N36 Q34 AA34:AA36 AB34:AB43 AC34:AC40 L35 P35:P36 S35 W35 Z35 F36:F42 G36:H37 J36:J37 O36 V36 E37 I37:I42 K37:K39 L37:L40 T37 W37 X37:X42 AD37:AE43 AF37:AF41 D38:D42 M38:N42 S38:S42 U38 Y38:Y42 AA38:AA43 J39 W39:W42 P40 G41 Q41 T41 L42 R42 AC42:AC43">
    <cfRule type="expression" dxfId="136" priority="29">
      <formula>WEEKDAY(#REF!,2)&gt;5</formula>
    </cfRule>
  </conditionalFormatting>
  <conditionalFormatting sqref="H5 X6:Y7 T8:T9 Y9 X10:X12 AA10:AA11 AB10:AE10 T11 W11 Y11:Z11 D12 V12 U13 W13 Y13:Z13 AB13 AA15:AA16 AB15 AG15 W18 AC20 AF24:AF25 X25 T27 AA27:AA28 AD30 AE31 AB32:AC32 T37">
    <cfRule type="expression" dxfId="136" priority="30">
      <formula>WEEKDAY(J$3,2)&gt;5</formula>
    </cfRule>
  </conditionalFormatting>
  <conditionalFormatting sqref="H5 T8:T9 D9 K11 D12 S17:S18 D19:D20 F19 K19 T19:T20 AA19 AD19:AF19 S20:S21 T22 D32:H32 S33">
    <cfRule type="expression" dxfId="136" priority="32">
      <formula>WEEKDAY(J$3,2)&gt;5</formula>
    </cfRule>
  </conditionalFormatting>
  <conditionalFormatting sqref="D5:D10 F5:F6 H5:H16 I5 J5:J10 K5:K8 L5:L6 N5:N7 O5:P6 Q5 R5:R17 S5:S6 T5:T9 U5:W6 X5:Y22 Z5:Z42 AA5:AC43 AD5:AD34 AE5:AF28 AG5:AG17 E6 G6:G10 M6:M9 I7:I9 Q7:Q10 E8:F8 L8:L12 P8:P29 U8:U17 W8:W13 N9:N19 V9 F10:F12 K10:K16 S10 I11:I25 T11:T12 D12:D23 E12:E17 G12 M12 O12:O25 S12:S26 V12:V21 J13:J16 Q13:Q23 F14:F20 G14:G19 L14:L16 M14:M17 T14:T23 W15:W16 H18:H27 J18:J22 K18:K20 L18:L27 W18:W21 E19:E25 R19:R22 U19:U23 AG19:AG27 M20:M26 G21:G22 K22:K25 N22:N25 V23:V24 W23 F24:F25 J24:J30 X24:X25 D25 G25:G28 Q25:Q29 R25:R28 T25:T30 U25:U28 W25 Y25 V26:V29 E27 F27:F28 I27:I30 N27:N28 W27:W42 X27:Y30 D28 K28:K30 M28 O28 S28:S30 E29 L29 F30:G30 M30 N30:N32 O30:O31 R30 U30 AE30:AF32 AG30:AG31 E31:E32 H31:H32 V31 D32 F32:G32 P32:P33 S32:T32 J33 K33:K35 L33 O33:O34 U33 X33:X34 Y33:Y36 F34:H34 I34:I35 M34 N34:N36 Q34 L35:L40 P35:P36 S35 V35:V37 F36:F42 G36:H37 J36:J37 O36 AD36:AD43 E37 I37:I42 K37:K42 T37:T38 X37:X42 AE37:AE43 AF37:AF41 D38:D42 M38:N42 S38:S42 U38 Y38:Y42 J39 P40 G41 Q41 T41 L42 R42 V43:V46">
    <cfRule type="cellIs" dxfId="137" priority="33" operator="equal">
      <formula>"B"</formula>
    </cfRule>
    <cfRule type="cellIs" dxfId="137" priority="34" operator="equal">
      <formula>"AL"</formula>
    </cfRule>
    <cfRule type="cellIs" dxfId="138" priority="35" operator="equal">
      <formula>"DM"</formula>
    </cfRule>
    <cfRule type="cellIs" dxfId="139" priority="36" operator="equal">
      <formula>"CS1"</formula>
    </cfRule>
    <cfRule type="cellIs" dxfId="140" priority="37" operator="equal">
      <formula>"CS2"</formula>
    </cfRule>
    <cfRule type="cellIs" dxfId="141" priority="38" operator="equal">
      <formula>"SB1"</formula>
    </cfRule>
    <cfRule type="cellIs" dxfId="142" priority="39" operator="equal">
      <formula>"SB2"</formula>
    </cfRule>
    <cfRule type="cellIs" dxfId="143" priority="40" operator="equal">
      <formula>"AE"</formula>
    </cfRule>
    <cfRule type="cellIs" dxfId="137" priority="42" operator="equal">
      <formula>"DB"</formula>
    </cfRule>
    <cfRule type="containsText" dxfId="144" priority="43" operator="between" text="$AM">
      <formula>NOT(ISERROR(SEARCH("$AM",D5)))</formula>
    </cfRule>
    <cfRule type="containsText" dxfId="145" priority="44" operator="between" text="$PM">
      <formula>NOT(ISERROR(SEARCH("$PM",D5)))</formula>
    </cfRule>
    <cfRule type="containsText" dxfId="146" priority="45" operator="between" text="$L">
      <formula>NOT(ISERROR(SEARCH("$L",D5)))</formula>
    </cfRule>
    <cfRule type="containsText" dxfId="147" priority="46" operator="between" text="$BTP">
      <formula>NOT(ISERROR(SEARCH("$BTP",D5)))</formula>
    </cfRule>
    <cfRule type="containsText" dxfId="148" priority="47" operator="between" text="$M">
      <formula>NOT(ISERROR(SEARCH("$M",D5)))</formula>
    </cfRule>
    <cfRule type="containsText" dxfId="149" priority="48" operator="between" text="$N">
      <formula>NOT(ISERROR(SEARCH("$N",D5)))</formula>
    </cfRule>
    <cfRule type="containsText" dxfId="150" priority="49" operator="between" text="$FC">
      <formula>NOT(ISERROR(SEARCH("$FC",D5)))</formula>
    </cfRule>
    <cfRule type="containsText" dxfId="151" priority="50" operator="between" text="OAL">
      <formula>NOT(ISERROR(SEARCH("OAL",D5)))</formula>
    </cfRule>
    <cfRule type="containsText" dxfId="152" priority="51" operator="between" text="S+">
      <formula>NOT(ISERROR(SEARCH("S+",D5)))</formula>
    </cfRule>
    <cfRule type="containsText" dxfId="153" priority="52" operator="between" text="EX-D">
      <formula>NOT(ISERROR(SEARCH("EX-D",D5)))</formula>
    </cfRule>
    <cfRule type="expression" dxfId="136" priority="53">
      <formula>WEEKDAY(#REF!,2)&gt;5</formula>
    </cfRule>
  </conditionalFormatting>
  <conditionalFormatting sqref="D5:I56 J5:J10 K5:AG56 J12:J56">
    <cfRule type="containsText" dxfId="1388" priority="41" operator="between" text="CS/B">
      <formula>NOT(ISERROR(SEARCH("CS/B",D5)))</formula>
    </cfRule>
  </conditionalFormatting>
  <conditionalFormatting sqref="BP5:BQ46">
    <cfRule type="cellIs" dxfId="155" priority="62" operator="lessThan">
      <formula>1</formula>
    </cfRule>
  </conditionalFormatting>
  <conditionalFormatting sqref="X6:Y7 Y9 X10:X12 AA10:AA11 AB10:AE10 T11 W11 Y11:Z11 V12 U13 W13 Y13:Z13 AB13 AA15:AA16 AB15 AG15 W18 AB18:AC18 H20 AC20 AF24:AF25 X25 T27 AA27:AA28 AD30 AE31 AB32:AC32 T37 V43:V46">
    <cfRule type="expression" dxfId="136" priority="31">
      <formula>WEEKDAY(Y$3,2)&gt;5</formula>
    </cfRule>
  </conditionalFormatting>
  <conditionalFormatting sqref="S8:S9 D12:E12 G19:H19 I19:I20 T22 D23 H23 I23:I24 N23 S25 G28 U28 E29 W35">
    <cfRule type="expression" dxfId="136" priority="8">
      <formula>WEEKDAY(T$3,2)&gt;5</formula>
    </cfRule>
  </conditionalFormatting>
  <conditionalFormatting sqref="S9 D12:E12 W35 P36">
    <cfRule type="expression" dxfId="136" priority="3">
      <formula>WEEKDAY(U$3,2)&gt;5</formula>
    </cfRule>
  </conditionalFormatting>
  <conditionalFormatting sqref="R19:R20 S22">
    <cfRule type="expression" dxfId="136" priority="4">
      <formula>WEEKDAY(U$3,2)&gt;5</formula>
    </cfRule>
    <cfRule type="expression" dxfId="136" priority="5">
      <formula>WEEKDAY(V$3,2)&gt;5</formula>
    </cfRule>
  </conditionalFormatting>
  <dataValidations count="4">
    <dataValidation type="custom" allowBlank="1" sqref="D5 F5:K5 M5:O5 T5:Y5 D6:H6 K6:M6 O6 T6:X6 Z6 O7:P7 X7:AC7 AE7:AG7 O8 Z8:AB8 AD8:AG8 G9:J9 M9 O9:R9 U9:V9 X9 Z9 AB9 AE9:AG9 F10:J10 M10:P10 U10 W10:X10 Z10:AG10 N11:P11 R11 T11:U11 X11:AG11 K12:P12 R12:AA12 D13:G13 I13:P13 R13:S13 U13:W13 Y13:AA13 AG13 D14:I14 L14:W14 Y14:Z14 D15:Z15 D16:P16 R16:Z16 D17:Z17 AE17 AG17 D18:K18 M18:X18 Z18 AB18:AG18 AG19 D20:K20 R20:V20 Z20:AG20 J21:M21 O21:R21 T21 V21:X21 Z21 AB21:AD21 AF21:AG21 K22 M22 O22 R22 T22:W22 Z22:AG22 D23:I23 K23:M23 O23:AG23 D24:G24 I24:J24 L24:M24 O24:Q24 X24 Z24:AC24 AE24:AG24 D25:F25 I25 M25:S25 X25:AG25 D26 F26:H26 J26 L26 O26:AD26 AG26 D27:AG27 L28 N28:Z28 AB28:AC28 AE28:AG28 K29 M29:O29 S29:T29 V29:X29 Z29:AF29 D30:K30 N30:U30 W30:AD30 AF30 D31:F31 H31:I31 K31:T31 W31:Z31 AB31:AC31 AE31:AG31 D32:I32 K32 N32:P32 R32 U32:AA32 AG32 D33:F33 H33:R33 T33:U33 W33:AC33 AE33:AG33 D34:J34 M34:V34 X34 Z34:AG34 D35:H35 K35:P35 R35:U35 Y35:AC35 AF35:AG35 K36:S36 U36 X36:AG36 K37:O37 Q37:S37 V37:AC37 E38:L38 N38 P38:R38 U38:V38 X38:AC38 D39:H39 J39 M39:O39 W39:X39 Z39 D40:E40 H40:K40 N40:O40 W40:AA40 D41:L41 N41:P41 R41:T41 V41:AA41 AC41 D42:P42 T42:X42 Z42 AF42:AG42 D9:D11 Q39:Q40 R6:R8 U7:U8 AG5:AG6 AG37:AG41 D7:M8 D21:H22 D28:I29 D36:I37 F11:I12 S39:U40 U24:V25">
      <formula1>NOT(ISERROR(SEARCH((#REF!),(D5))))</formula1>
    </dataValidation>
    <dataValidation type="list" allowBlank="1" sqref="L5 P5:Q5 Y6 P8:Q8 N9 Q10 S10 E11 K11 D12:E12 J12 AG12 AB13 AE13:AF13 AA15:AC15 AE15:AG15 AA16:AE16 AG16 AB17:AC17 AF17 D19:L19 N19:X19 Z19:AF19 L20:Q20 W20 L22 N22 P22:Q22 Y22 N24 S24 AF26 L29 P29:Q29 AG30 T32 AB32:AF32 AD33 Y34 I35 W35 V36 J37 T37 M38 Y39 AA39:AF39 P40 AB40:AF40 Q41 R42 AA42:AE42 N6:N7 S21:S22 T8:T9 Y8:Y9" showDropDown="1">
      <formula1>'Setting key Duty'!$B$7:$B$54</formula1>
    </dataValidation>
    <dataValidation type="list" allowBlank="1" sqref="S5 K39 L40 D43:G43 J43:M43 T43:V43 Y43:Z43 AF43:AG43 B5:B11 B13:B26 D44:M46 O43:Q46 T44:AG46" showDropDown="1">
      <formula1>'Setting key Duty'!$B$7:$B$56</formula1>
    </dataValidation>
    <dataValidation type="list" allowBlank="1" sqref="D47:AG54" showDropDown="1">
      <formula1>'Setting key Duty'!$B$7:$B$23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BR87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C5" sqref="C5"/>
    </sheetView>
  </sheetViews>
  <sheetFormatPr defaultColWidth="12.6285714285714" defaultRowHeight="15.75" customHeight="1"/>
  <cols>
    <col min="1" max="1" width="2.13333333333333" customWidth="1"/>
    <col min="2" max="2" width="29.752380952381" customWidth="1"/>
    <col min="3" max="3" width="29.752380952381" hidden="1" customWidth="1"/>
    <col min="4" max="12" width="9.24761904761905" customWidth="1"/>
    <col min="13" max="13" width="9.38095238095238" customWidth="1"/>
    <col min="14" max="14" width="10.6285714285714" customWidth="1"/>
    <col min="15" max="15" width="9.24761904761905" customWidth="1"/>
    <col min="16" max="16" width="10" customWidth="1"/>
    <col min="17" max="17" width="10.752380952381" customWidth="1"/>
    <col min="18" max="18" width="10.247619047619" customWidth="1"/>
    <col min="19" max="19" width="9.62857142857143" customWidth="1"/>
    <col min="20" max="20" width="9.13333333333333" customWidth="1"/>
    <col min="21" max="27" width="9.24761904761905" customWidth="1"/>
    <col min="28" max="28" width="10.5047619047619" customWidth="1"/>
    <col min="29" max="31" width="9.24761904761905" customWidth="1"/>
    <col min="32" max="32" width="10.5047619047619" customWidth="1"/>
    <col min="33" max="34" width="9.38095238095238" customWidth="1"/>
    <col min="35" max="41" width="9.38095238095238" customWidth="1" outlineLevel="1"/>
    <col min="42" max="42" width="12" customWidth="1" outlineLevel="1"/>
    <col min="43" max="43" width="9.38095238095238" customWidth="1" outlineLevel="1"/>
    <col min="44" max="45" width="6.75238095238095" customWidth="1"/>
    <col min="46" max="46" width="8.87619047619048" customWidth="1" outlineLevel="1"/>
    <col min="47" max="48" width="7.87619047619048" customWidth="1" outlineLevel="1"/>
    <col min="49" max="49" width="9.13333333333333" customWidth="1" outlineLevel="1"/>
    <col min="50" max="50" width="8.24761904761905" customWidth="1" outlineLevel="1"/>
    <col min="51" max="51" width="5.5047619047619" customWidth="1" outlineLevel="1"/>
    <col min="52" max="54" width="9.38095238095238" customWidth="1"/>
    <col min="55" max="65" width="9.38095238095238" hidden="1" customWidth="1" outlineLevel="1"/>
    <col min="66" max="66" width="9.38095238095238" customWidth="1" collapsed="1"/>
    <col min="67" max="67" width="9.38095238095238" customWidth="1"/>
    <col min="68" max="68" width="9.5047619047619" customWidth="1"/>
    <col min="69" max="70" width="9.38095238095238" customWidth="1"/>
  </cols>
  <sheetData>
    <row r="1" ht="3" customHeight="1" spans="1:70">
      <c r="A1" s="44" t="s">
        <v>756</v>
      </c>
      <c r="B1" s="45" t="s">
        <v>0</v>
      </c>
      <c r="C1" s="45"/>
      <c r="D1" s="46" t="str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>
  Enter DM for DM, CS1 for CS1, CS2 for CS2, and SB1 for SB1. Use the 'Setting key' tab to customise. Change Date on highlighted cell
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</row>
    <row r="2" ht="26.25" customHeight="1" spans="1:70">
      <c r="A2" s="51"/>
      <c r="B2" s="52" t="s">
        <v>1</v>
      </c>
      <c r="C2" s="52"/>
      <c r="D2" s="52" t="s">
        <v>411</v>
      </c>
      <c r="E2" s="52"/>
      <c r="F2" s="52"/>
      <c r="G2" s="52"/>
      <c r="H2" s="52"/>
      <c r="I2" s="52"/>
      <c r="J2" s="52"/>
      <c r="K2" s="52"/>
      <c r="L2" s="52"/>
      <c r="M2" s="52"/>
      <c r="N2" s="52" t="s">
        <v>197</v>
      </c>
      <c r="O2" s="52" t="s">
        <v>197</v>
      </c>
      <c r="P2" s="52" t="s">
        <v>757</v>
      </c>
      <c r="Q2" s="52" t="s">
        <v>197</v>
      </c>
      <c r="R2" s="52"/>
      <c r="S2" s="52"/>
      <c r="T2" s="52"/>
      <c r="U2" s="56" t="s">
        <v>758</v>
      </c>
      <c r="V2" s="52" t="s">
        <v>272</v>
      </c>
      <c r="W2" s="58" t="s">
        <v>759</v>
      </c>
      <c r="X2" s="52" t="s">
        <v>3</v>
      </c>
      <c r="Y2" s="52" t="s">
        <v>760</v>
      </c>
      <c r="Z2" s="52"/>
      <c r="AA2" s="52"/>
      <c r="AB2" s="52" t="s">
        <v>271</v>
      </c>
      <c r="AC2" s="52" t="s">
        <v>206</v>
      </c>
      <c r="AD2" s="52" t="s">
        <v>761</v>
      </c>
      <c r="AE2" s="52"/>
      <c r="AF2" s="52" t="s">
        <v>206</v>
      </c>
      <c r="AG2" s="52"/>
      <c r="AH2" s="59" t="s">
        <v>414</v>
      </c>
      <c r="AI2" s="59"/>
      <c r="AJ2" s="59"/>
      <c r="AK2" s="59"/>
      <c r="AL2" s="59"/>
      <c r="AM2" s="59"/>
      <c r="AN2" s="59"/>
      <c r="AO2" s="59"/>
      <c r="AP2" s="59"/>
      <c r="AQ2" s="59"/>
      <c r="AR2" s="60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</row>
    <row r="3" ht="26.25" customHeight="1" spans="1:70">
      <c r="A3" s="51"/>
      <c r="B3" s="52" t="s">
        <v>21</v>
      </c>
      <c r="C3" s="52"/>
      <c r="D3" s="61">
        <v>46143</v>
      </c>
      <c r="E3" s="62">
        <f t="shared" ref="E3:AH3" si="0">D3+1</f>
        <v>46144</v>
      </c>
      <c r="F3" s="62">
        <f t="shared" si="0"/>
        <v>46145</v>
      </c>
      <c r="G3" s="62">
        <f t="shared" si="0"/>
        <v>46146</v>
      </c>
      <c r="H3" s="62">
        <f t="shared" si="0"/>
        <v>46147</v>
      </c>
      <c r="I3" s="62">
        <f t="shared" si="0"/>
        <v>46148</v>
      </c>
      <c r="J3" s="62">
        <f t="shared" si="0"/>
        <v>46149</v>
      </c>
      <c r="K3" s="62">
        <f t="shared" si="0"/>
        <v>46150</v>
      </c>
      <c r="L3" s="62">
        <f t="shared" si="0"/>
        <v>46151</v>
      </c>
      <c r="M3" s="62">
        <f t="shared" si="0"/>
        <v>46152</v>
      </c>
      <c r="N3" s="62">
        <f t="shared" si="0"/>
        <v>46153</v>
      </c>
      <c r="O3" s="62">
        <f t="shared" si="0"/>
        <v>46154</v>
      </c>
      <c r="P3" s="62">
        <f t="shared" si="0"/>
        <v>46155</v>
      </c>
      <c r="Q3" s="62">
        <f t="shared" si="0"/>
        <v>46156</v>
      </c>
      <c r="R3" s="62">
        <f t="shared" si="0"/>
        <v>46157</v>
      </c>
      <c r="S3" s="62">
        <f t="shared" si="0"/>
        <v>46158</v>
      </c>
      <c r="T3" s="62">
        <f t="shared" si="0"/>
        <v>46159</v>
      </c>
      <c r="U3" s="63">
        <f t="shared" si="0"/>
        <v>46160</v>
      </c>
      <c r="V3" s="62">
        <f t="shared" si="0"/>
        <v>46161</v>
      </c>
      <c r="W3" s="64">
        <f t="shared" si="0"/>
        <v>46162</v>
      </c>
      <c r="X3" s="62">
        <f t="shared" si="0"/>
        <v>46163</v>
      </c>
      <c r="Y3" s="62">
        <f t="shared" si="0"/>
        <v>46164</v>
      </c>
      <c r="Z3" s="62">
        <f t="shared" si="0"/>
        <v>46165</v>
      </c>
      <c r="AA3" s="62">
        <f t="shared" si="0"/>
        <v>46166</v>
      </c>
      <c r="AB3" s="62">
        <f t="shared" si="0"/>
        <v>46167</v>
      </c>
      <c r="AC3" s="62">
        <f t="shared" si="0"/>
        <v>46168</v>
      </c>
      <c r="AD3" s="62">
        <f t="shared" si="0"/>
        <v>46169</v>
      </c>
      <c r="AE3" s="62">
        <f t="shared" si="0"/>
        <v>46170</v>
      </c>
      <c r="AF3" s="62">
        <f t="shared" si="0"/>
        <v>46171</v>
      </c>
      <c r="AG3" s="62">
        <f t="shared" si="0"/>
        <v>46172</v>
      </c>
      <c r="AH3" s="62">
        <f t="shared" si="0"/>
        <v>46173</v>
      </c>
      <c r="AI3" s="59" t="str">
        <f>'Setting key Duty'!$C7</f>
        <v>DM</v>
      </c>
      <c r="AJ3" s="59" t="str">
        <f>'Setting key Duty'!$C8</f>
        <v>CS1</v>
      </c>
      <c r="AK3" s="59" t="str">
        <f>'Setting key Duty'!$C9</f>
        <v>CS2</v>
      </c>
      <c r="AL3" s="59" t="str">
        <f>'Setting key Duty'!$C10</f>
        <v>CS/B</v>
      </c>
      <c r="AM3" s="59" t="str">
        <f>'Setting key Duty'!$C11</f>
        <v>SB1</v>
      </c>
      <c r="AN3" s="59" t="str">
        <f>'Setting key Duty'!$C12</f>
        <v>SB2</v>
      </c>
      <c r="AO3" s="59" t="str">
        <f>'Setting key Duty'!$C13</f>
        <v>AE</v>
      </c>
      <c r="AP3" s="59" t="str">
        <f>'Setting key Duty'!$C16</f>
        <v>Outfield Reserve</v>
      </c>
      <c r="AQ3" s="59" t="str">
        <f>'Setting key Duty'!C14</f>
        <v>EM</v>
      </c>
      <c r="AR3" s="65" t="s">
        <v>559</v>
      </c>
      <c r="AS3" s="65" t="s">
        <v>560</v>
      </c>
      <c r="AT3" s="59" t="s">
        <v>22</v>
      </c>
      <c r="AU3" s="59" t="s">
        <v>23</v>
      </c>
      <c r="AV3" s="59" t="s">
        <v>561</v>
      </c>
      <c r="AW3" s="59" t="s">
        <v>24</v>
      </c>
      <c r="AX3" s="59" t="s">
        <v>25</v>
      </c>
      <c r="AY3" s="59" t="s">
        <v>26</v>
      </c>
      <c r="AZ3" s="59" t="s">
        <v>27</v>
      </c>
      <c r="BA3" s="59" t="s">
        <v>28</v>
      </c>
      <c r="BB3" s="66" t="s">
        <v>29</v>
      </c>
      <c r="BC3" s="59" t="s">
        <v>30</v>
      </c>
      <c r="BD3" s="59" t="s">
        <v>32</v>
      </c>
      <c r="BE3" s="59" t="s">
        <v>33</v>
      </c>
      <c r="BF3" s="59" t="s">
        <v>36</v>
      </c>
      <c r="BG3" s="59" t="s">
        <v>37</v>
      </c>
      <c r="BH3" s="59" t="s">
        <v>39</v>
      </c>
      <c r="BI3" s="59" t="s">
        <v>40</v>
      </c>
      <c r="BJ3" s="59" t="s">
        <v>41</v>
      </c>
      <c r="BK3" s="59" t="s">
        <v>42</v>
      </c>
      <c r="BL3" s="59" t="str">
        <f>'Setting key Duty'!C52</f>
        <v>Field Camp</v>
      </c>
      <c r="BM3" s="59" t="s">
        <v>43</v>
      </c>
      <c r="BN3" s="59" t="s">
        <v>762</v>
      </c>
      <c r="BO3" s="59" t="str">
        <f>'Setting key Duty'!$C15</f>
        <v>Block</v>
      </c>
      <c r="BP3" s="59" t="str">
        <f>'Setting key Duty'!C17</f>
        <v>Reserve</v>
      </c>
      <c r="BQ3" s="59" t="str">
        <f>'Setting key Duty'!$C22</f>
        <v>AL</v>
      </c>
      <c r="BR3" s="59"/>
    </row>
    <row r="4" ht="18" customHeight="1" spans="1:70">
      <c r="A4" s="67"/>
      <c r="B4" s="68" t="s">
        <v>156</v>
      </c>
      <c r="C4" s="68"/>
      <c r="D4" s="69" t="str">
        <f t="shared" ref="D4:AH4" si="1">TEXT(D3,"ddd")</f>
        <v>Fri</v>
      </c>
      <c r="E4" s="70" t="str">
        <f t="shared" si="1"/>
        <v>Sat</v>
      </c>
      <c r="F4" s="70" t="str">
        <f t="shared" si="1"/>
        <v>Sun</v>
      </c>
      <c r="G4" s="70" t="str">
        <f t="shared" si="1"/>
        <v>Mon</v>
      </c>
      <c r="H4" s="70" t="str">
        <f t="shared" si="1"/>
        <v>Tue</v>
      </c>
      <c r="I4" s="70" t="str">
        <f t="shared" si="1"/>
        <v>Wed</v>
      </c>
      <c r="J4" s="70" t="str">
        <f t="shared" si="1"/>
        <v>Thu</v>
      </c>
      <c r="K4" s="70" t="str">
        <f t="shared" si="1"/>
        <v>Fri</v>
      </c>
      <c r="L4" s="70" t="str">
        <f t="shared" si="1"/>
        <v>Sat</v>
      </c>
      <c r="M4" s="70" t="str">
        <f t="shared" si="1"/>
        <v>Sun</v>
      </c>
      <c r="N4" s="70" t="str">
        <f t="shared" si="1"/>
        <v>Mon</v>
      </c>
      <c r="O4" s="70" t="str">
        <f t="shared" si="1"/>
        <v>Tue</v>
      </c>
      <c r="P4" s="70" t="str">
        <f t="shared" si="1"/>
        <v>Wed</v>
      </c>
      <c r="Q4" s="70" t="str">
        <f t="shared" si="1"/>
        <v>Thu</v>
      </c>
      <c r="R4" s="70" t="str">
        <f t="shared" si="1"/>
        <v>Fri</v>
      </c>
      <c r="S4" s="70" t="str">
        <f t="shared" si="1"/>
        <v>Sat</v>
      </c>
      <c r="T4" s="70" t="str">
        <f t="shared" si="1"/>
        <v>Sun</v>
      </c>
      <c r="U4" s="69" t="str">
        <f t="shared" si="1"/>
        <v>Mon</v>
      </c>
      <c r="V4" s="70" t="str">
        <f t="shared" si="1"/>
        <v>Tue</v>
      </c>
      <c r="W4" s="71" t="str">
        <f t="shared" si="1"/>
        <v>Wed</v>
      </c>
      <c r="X4" s="70" t="str">
        <f t="shared" si="1"/>
        <v>Thu</v>
      </c>
      <c r="Y4" s="70" t="str">
        <f t="shared" si="1"/>
        <v>Fri</v>
      </c>
      <c r="Z4" s="70" t="str">
        <f t="shared" si="1"/>
        <v>Sat</v>
      </c>
      <c r="AA4" s="70" t="str">
        <f t="shared" si="1"/>
        <v>Sun</v>
      </c>
      <c r="AB4" s="70" t="str">
        <f t="shared" si="1"/>
        <v>Mon</v>
      </c>
      <c r="AC4" s="70" t="str">
        <f t="shared" si="1"/>
        <v>Tue</v>
      </c>
      <c r="AD4" s="70" t="str">
        <f t="shared" si="1"/>
        <v>Wed</v>
      </c>
      <c r="AE4" s="70" t="str">
        <f t="shared" si="1"/>
        <v>Thu</v>
      </c>
      <c r="AF4" s="70" t="str">
        <f t="shared" si="1"/>
        <v>Fri</v>
      </c>
      <c r="AG4" s="70" t="str">
        <f t="shared" si="1"/>
        <v>Sat</v>
      </c>
      <c r="AH4" s="70" t="str">
        <f t="shared" si="1"/>
        <v>Sun</v>
      </c>
      <c r="AI4" s="68" t="str">
        <f>'Setting key Duty'!$B7</f>
        <v>DM</v>
      </c>
      <c r="AJ4" s="68" t="str">
        <f>'Setting key Duty'!$B8</f>
        <v>CS1</v>
      </c>
      <c r="AK4" s="68" t="str">
        <f>'Setting key Duty'!$B9</f>
        <v>CS2</v>
      </c>
      <c r="AL4" s="68" t="str">
        <f>'Setting key Duty'!$B10</f>
        <v>CS/B</v>
      </c>
      <c r="AM4" s="68" t="str">
        <f>'Setting key Duty'!$B11</f>
        <v>SB1</v>
      </c>
      <c r="AN4" s="68" t="str">
        <f>'Setting key Duty'!$B12</f>
        <v>SB2</v>
      </c>
      <c r="AO4" s="68" t="str">
        <f>'Setting key Duty'!$B13</f>
        <v>AE</v>
      </c>
      <c r="AP4" s="68" t="str">
        <f>'Setting key Duty'!$B16</f>
        <v>Outfield Reserve</v>
      </c>
      <c r="AQ4" s="68" t="str">
        <f>'Setting key Duty'!B14</f>
        <v>EM</v>
      </c>
      <c r="AR4" s="72"/>
      <c r="AS4" s="72"/>
      <c r="AT4" s="68"/>
      <c r="AU4" s="68"/>
      <c r="AV4" s="68"/>
      <c r="AW4" s="68"/>
      <c r="AX4" s="68"/>
      <c r="AY4" s="68"/>
      <c r="AZ4" s="68"/>
      <c r="BA4" s="68"/>
      <c r="BB4" s="73"/>
      <c r="BC4" s="68"/>
      <c r="BD4" s="68" t="s">
        <v>46</v>
      </c>
      <c r="BE4" s="68"/>
      <c r="BF4" s="68" t="s">
        <v>48</v>
      </c>
      <c r="BG4" s="68"/>
      <c r="BH4" s="68" t="s">
        <v>50</v>
      </c>
      <c r="BI4" s="68"/>
      <c r="BJ4" s="68" t="s">
        <v>51</v>
      </c>
      <c r="BK4" s="68"/>
      <c r="BL4" s="68" t="str">
        <f>'Setting key Duty'!B52</f>
        <v>$FC</v>
      </c>
      <c r="BM4" s="68"/>
      <c r="BN4" s="68"/>
      <c r="BO4" s="68">
        <f>'Setting key Duty'!$B15</f>
        <v>0</v>
      </c>
      <c r="BP4" s="68" t="str">
        <f>'Setting key Duty'!B17</f>
        <v>RESERVE</v>
      </c>
      <c r="BQ4" s="68" t="str">
        <f>'Setting key Duty'!$B22</f>
        <v>AL</v>
      </c>
      <c r="BR4" s="68"/>
    </row>
    <row r="5" ht="60" hidden="1" customHeight="1" spans="1:70">
      <c r="A5" s="77"/>
      <c r="B5" s="77" t="s">
        <v>562</v>
      </c>
      <c r="C5" s="76"/>
      <c r="D5" s="107"/>
      <c r="E5" s="107"/>
      <c r="F5" s="107"/>
      <c r="G5" s="107" t="s">
        <v>763</v>
      </c>
      <c r="H5" s="107" t="s">
        <v>55</v>
      </c>
      <c r="I5" s="107"/>
      <c r="J5" s="107"/>
      <c r="K5" s="107" t="s">
        <v>55</v>
      </c>
      <c r="L5" s="107"/>
      <c r="M5" s="107"/>
      <c r="N5" s="107" t="s">
        <v>55</v>
      </c>
      <c r="O5" s="107" t="s">
        <v>55</v>
      </c>
      <c r="P5" s="107"/>
      <c r="Q5" s="107"/>
      <c r="R5" s="107" t="s">
        <v>724</v>
      </c>
      <c r="S5" s="107"/>
      <c r="T5" s="107"/>
      <c r="U5" s="107"/>
      <c r="V5" s="107"/>
      <c r="W5" s="107"/>
      <c r="X5" s="107"/>
      <c r="Y5" s="141"/>
      <c r="Z5" s="107"/>
      <c r="AA5" s="107"/>
      <c r="AB5" s="107"/>
      <c r="AC5" s="107"/>
      <c r="AD5" s="107"/>
      <c r="AE5" s="107"/>
      <c r="AF5" s="107"/>
      <c r="AG5" s="107"/>
      <c r="AH5" s="107"/>
      <c r="AI5" s="77">
        <f t="shared" ref="AI5:AQ5" si="2">COUNTIF($D5:$AG5,AI$4)</f>
        <v>0</v>
      </c>
      <c r="AJ5" s="77">
        <f t="shared" si="2"/>
        <v>0</v>
      </c>
      <c r="AK5" s="77">
        <f t="shared" si="2"/>
        <v>0</v>
      </c>
      <c r="AL5" s="77">
        <f t="shared" si="2"/>
        <v>0</v>
      </c>
      <c r="AM5" s="77">
        <f t="shared" si="2"/>
        <v>0</v>
      </c>
      <c r="AN5" s="77">
        <f t="shared" si="2"/>
        <v>0</v>
      </c>
      <c r="AO5" s="77">
        <f t="shared" si="2"/>
        <v>0</v>
      </c>
      <c r="AP5" s="77">
        <f t="shared" si="2"/>
        <v>0</v>
      </c>
      <c r="AQ5" s="77">
        <f t="shared" si="2"/>
        <v>0</v>
      </c>
      <c r="AR5" s="76"/>
      <c r="AS5" s="76">
        <v>3</v>
      </c>
      <c r="AT5" s="77">
        <f t="array" ref="AT5">SUMPRODUCT(--(WEEKDAY(D$3:AG$3,2)&lt;5),--ISNUMBER(MATCH(D5:AG5,{"DM","CS1","CS2","SB1","AE","CS/B"},0)))</f>
        <v>0</v>
      </c>
      <c r="AU5" s="77"/>
      <c r="AV5" s="77">
        <f t="array" ref="AV5">SUMPRODUCT(--(WEEKDAY(D$3:AG$3,2)=5),--ISNUMBER(MATCH(D5:AG5,{"DM","CS1","CS2","SB1","AE","CS/B"},0)))</f>
        <v>0</v>
      </c>
      <c r="AW5" s="77">
        <f t="array" ref="AW5">SUMPRODUCT(--(WEEKDAY(D$3:AG$3,2)&gt;5),--ISNUMBER(MATCH(D5:AG5,{"DM","CS1","CS2","SB1","AE","CS/B"},0)))</f>
        <v>0</v>
      </c>
      <c r="AX5" s="77"/>
      <c r="AY5" s="77">
        <f t="shared" ref="AY5:AY42" si="3">(AT5-AU5)+AV5*1.5+(AW5-AX5)*2+AN5*0.5+AP5*0.5+AR5-AS5</f>
        <v>-3</v>
      </c>
      <c r="AZ5" s="77">
        <f t="shared" ref="AZ5:AZ42" si="4">AT5+AV5+AW5</f>
        <v>0</v>
      </c>
      <c r="BA5" s="77">
        <f t="shared" ref="BA5:BA42" si="5">BD5+BF5+BH5+BJ5+BL5</f>
        <v>0</v>
      </c>
      <c r="BB5" s="76">
        <f t="shared" ref="BB5:BB42" si="6">AY5+BC5</f>
        <v>-3</v>
      </c>
      <c r="BC5" s="77">
        <f t="shared" ref="BC5:BC42" si="7">BE5+BG5+BI5+BK5+BM5</f>
        <v>0</v>
      </c>
      <c r="BD5" s="77">
        <f t="shared" ref="BD5:BD42" si="8">COUNTIF(A5:AI5,"*$BTP*")</f>
        <v>0</v>
      </c>
      <c r="BE5" s="77">
        <f t="shared" ref="BE5:BE42" si="9">BD5*1.5</f>
        <v>0</v>
      </c>
      <c r="BF5" s="77">
        <f t="shared" ref="BF5:BF42" si="10">COUNTIF(A5:AI5,"*$M*")</f>
        <v>0</v>
      </c>
      <c r="BG5" s="77">
        <f t="shared" ref="BG5:BG42" si="11">BF5*1</f>
        <v>0</v>
      </c>
      <c r="BH5" s="77">
        <f t="shared" ref="BH5:BH42" si="12">COUNTIF(A5:AI5,"*$PM*")</f>
        <v>0</v>
      </c>
      <c r="BI5" s="77">
        <f t="shared" ref="BI5:BI42" si="13">BH5*0.5</f>
        <v>0</v>
      </c>
      <c r="BJ5" s="77">
        <f t="shared" ref="BJ5:BJ42" si="14">COUNTIF(A5:AI5,"*$AM*")</f>
        <v>0</v>
      </c>
      <c r="BK5" s="77">
        <f t="shared" ref="BK5:BK42" si="15">BJ5*0.5</f>
        <v>0</v>
      </c>
      <c r="BL5" s="77">
        <f t="shared" ref="BL5:BL42" si="16">COUNTIF(A5:AI5,"*$FC*")</f>
        <v>0</v>
      </c>
      <c r="BM5" s="77">
        <f t="shared" ref="BM5:BM42" si="17">BL5*1</f>
        <v>0</v>
      </c>
      <c r="BN5" s="77"/>
      <c r="BO5" s="77">
        <f>COUNTIF($E5:$AB5,BO$4)</f>
        <v>0</v>
      </c>
      <c r="BP5" s="77">
        <f>COUNTIF($E5:$AB5,BP$4)</f>
        <v>0</v>
      </c>
      <c r="BQ5" s="77">
        <f>COUNTIF($E5:$AB5,BQ$4)</f>
        <v>4</v>
      </c>
      <c r="BR5" s="77"/>
    </row>
    <row r="6" ht="87" customHeight="1" spans="1:70">
      <c r="A6" s="74"/>
      <c r="B6" s="74" t="s">
        <v>565</v>
      </c>
      <c r="C6" s="76"/>
      <c r="D6" s="110"/>
      <c r="E6" s="110" t="s">
        <v>57</v>
      </c>
      <c r="F6" s="110"/>
      <c r="G6" s="110"/>
      <c r="H6" s="110" t="s">
        <v>57</v>
      </c>
      <c r="I6" s="110"/>
      <c r="J6" s="110" t="s">
        <v>93</v>
      </c>
      <c r="K6" s="110"/>
      <c r="L6" s="110"/>
      <c r="M6" s="110"/>
      <c r="N6" s="110" t="s">
        <v>764</v>
      </c>
      <c r="O6" s="110" t="s">
        <v>56</v>
      </c>
      <c r="P6" s="110" t="s">
        <v>93</v>
      </c>
      <c r="Q6" s="110"/>
      <c r="R6" s="110"/>
      <c r="S6" s="110"/>
      <c r="T6" s="110"/>
      <c r="U6" s="110"/>
      <c r="V6" s="110" t="s">
        <v>59</v>
      </c>
      <c r="W6" s="110"/>
      <c r="X6" s="110" t="s">
        <v>57</v>
      </c>
      <c r="Y6" s="110"/>
      <c r="Z6" s="110"/>
      <c r="AA6" s="110"/>
      <c r="AB6" s="110" t="s">
        <v>765</v>
      </c>
      <c r="AC6" s="110"/>
      <c r="AD6" s="110"/>
      <c r="AE6" s="110"/>
      <c r="AF6" s="110" t="s">
        <v>57</v>
      </c>
      <c r="AG6" s="110"/>
      <c r="AH6" s="110"/>
      <c r="AI6" s="74">
        <f t="shared" ref="AI6:AQ6" si="18">COUNTIF($D6:$AG6,AI$4)</f>
        <v>4</v>
      </c>
      <c r="AJ6" s="74">
        <f t="shared" si="18"/>
        <v>1</v>
      </c>
      <c r="AK6" s="74">
        <f t="shared" si="18"/>
        <v>1</v>
      </c>
      <c r="AL6" s="74">
        <f t="shared" si="18"/>
        <v>0</v>
      </c>
      <c r="AM6" s="74">
        <f t="shared" si="18"/>
        <v>0</v>
      </c>
      <c r="AN6" s="74">
        <f t="shared" si="18"/>
        <v>2</v>
      </c>
      <c r="AO6" s="74">
        <f t="shared" si="18"/>
        <v>0</v>
      </c>
      <c r="AP6" s="74">
        <f t="shared" si="18"/>
        <v>0</v>
      </c>
      <c r="AQ6" s="74">
        <f t="shared" si="18"/>
        <v>0</v>
      </c>
      <c r="AR6" s="76"/>
      <c r="AS6" s="76">
        <v>1</v>
      </c>
      <c r="AT6" s="74">
        <f>SUMPRODUCT(--(WEEKDAY(D$3:AH$3,2)&lt;5),--ISNUMBER(MATCH(D6:AH6,{"DM","CS1","CS2","SB1","AE","CS/B"},0)))</f>
        <v>4</v>
      </c>
      <c r="AU6" s="74"/>
      <c r="AV6" s="74">
        <f>SUMPRODUCT(--(WEEKDAY(D$3:AH$3,2)=5),--ISNUMBER(MATCH(D6:AH6,{"DM","CS1","CS2","SB1","AE","CS/B","WEEKEND OUTFIELD RESERVE"},0)))</f>
        <v>1</v>
      </c>
      <c r="AW6" s="74">
        <f>SUMPRODUCT(--(WEEKDAY(D$3:AH$3,2)&gt;5),--ISNUMBER(MATCH(D6:AH6,{"DM","CS1","CS2","SB1","AE","CS/B","WEEKEND OUTFIELD RESERVE"},0)))</f>
        <v>1</v>
      </c>
      <c r="AX6" s="74"/>
      <c r="AY6" s="74">
        <f t="shared" si="3"/>
        <v>7.5</v>
      </c>
      <c r="AZ6" s="74">
        <f t="shared" si="4"/>
        <v>6</v>
      </c>
      <c r="BA6" s="74">
        <f t="shared" si="5"/>
        <v>0</v>
      </c>
      <c r="BB6" s="76">
        <f t="shared" si="6"/>
        <v>7.5</v>
      </c>
      <c r="BC6" s="74">
        <f t="shared" si="7"/>
        <v>0</v>
      </c>
      <c r="BD6" s="74">
        <f t="shared" si="8"/>
        <v>0</v>
      </c>
      <c r="BE6" s="74">
        <f t="shared" si="9"/>
        <v>0</v>
      </c>
      <c r="BF6" s="74">
        <f t="shared" si="10"/>
        <v>0</v>
      </c>
      <c r="BG6" s="74">
        <f t="shared" si="11"/>
        <v>0</v>
      </c>
      <c r="BH6" s="74">
        <f t="shared" si="12"/>
        <v>0</v>
      </c>
      <c r="BI6" s="74">
        <f t="shared" si="13"/>
        <v>0</v>
      </c>
      <c r="BJ6" s="74">
        <f t="shared" si="14"/>
        <v>0</v>
      </c>
      <c r="BK6" s="74">
        <f t="shared" si="15"/>
        <v>0</v>
      </c>
      <c r="BL6" s="74">
        <f t="shared" si="16"/>
        <v>0</v>
      </c>
      <c r="BM6" s="74">
        <f t="shared" si="17"/>
        <v>0</v>
      </c>
      <c r="BN6" s="74">
        <f t="shared" ref="BN6:BN16" si="19">(BB6-8)</f>
        <v>-0.5</v>
      </c>
      <c r="BO6" s="74">
        <f>COUNTIF($E6:$AA6,BO$4)</f>
        <v>0</v>
      </c>
      <c r="BP6" s="74">
        <f>COUNTIF($E6:$AA6,BP$4)</f>
        <v>0</v>
      </c>
      <c r="BQ6" s="74">
        <f>COUNTIF($E6:$AA6,BQ$4)</f>
        <v>0</v>
      </c>
      <c r="BR6" s="74"/>
    </row>
    <row r="7" ht="73.5" customHeight="1" spans="1:70">
      <c r="A7" s="77"/>
      <c r="B7" s="77" t="s">
        <v>567</v>
      </c>
      <c r="C7" s="76">
        <f>COUNTIF(D7:AG7,"DM")</f>
        <v>0</v>
      </c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 t="s">
        <v>61</v>
      </c>
      <c r="X7" s="107" t="s">
        <v>93</v>
      </c>
      <c r="Y7" s="107"/>
      <c r="Z7" s="107"/>
      <c r="AA7" s="107"/>
      <c r="AB7" s="107" t="s">
        <v>65</v>
      </c>
      <c r="AD7" s="107"/>
      <c r="AE7" s="107"/>
      <c r="AF7" s="86" t="s">
        <v>59</v>
      </c>
      <c r="AG7" s="107"/>
      <c r="AH7" s="107"/>
      <c r="AI7" s="77">
        <f t="shared" ref="AI7:AQ7" si="20">COUNTIF($D7:$AG7,AI$4)</f>
        <v>0</v>
      </c>
      <c r="AJ7" s="77">
        <f t="shared" si="20"/>
        <v>0</v>
      </c>
      <c r="AK7" s="77">
        <f t="shared" si="20"/>
        <v>1</v>
      </c>
      <c r="AL7" s="77">
        <f t="shared" si="20"/>
        <v>0</v>
      </c>
      <c r="AM7" s="77">
        <f t="shared" si="20"/>
        <v>0</v>
      </c>
      <c r="AN7" s="77">
        <f t="shared" si="20"/>
        <v>1</v>
      </c>
      <c r="AO7" s="77">
        <f t="shared" si="20"/>
        <v>1</v>
      </c>
      <c r="AP7" s="77">
        <f t="shared" si="20"/>
        <v>0</v>
      </c>
      <c r="AQ7" s="77">
        <f t="shared" si="20"/>
        <v>0</v>
      </c>
      <c r="AR7" s="76"/>
      <c r="AS7" s="76"/>
      <c r="AT7" s="77">
        <f>SUMPRODUCT(--(WEEKDAY(D$3:AH$3,2)&lt;5),--ISNUMBER(MATCH(D7:AH7,{"DM","CS1","CS2","SB1","AE","CS/B"},0)))</f>
        <v>1</v>
      </c>
      <c r="AU7" s="77"/>
      <c r="AV7" s="77">
        <f>SUMPRODUCT(--(WEEKDAY(D$3:AH$3,2)=5),--ISNUMBER(MATCH(D7:AH7,{"DM","CS1","CS2","SB1","AE","CS/B","WEEKEND OUTFIELD RESERVE"},0)))</f>
        <v>1</v>
      </c>
      <c r="AW7" s="77">
        <f>SUMPRODUCT(--(WEEKDAY(D$3:AH$3,2)&gt;5),--ISNUMBER(MATCH(D7:AH7,{"DM","CS1","CS2","SB1","AE","CS/B","WEEKEND OUTFIELD RESERVE"},0)))</f>
        <v>0</v>
      </c>
      <c r="AX7" s="77"/>
      <c r="AY7" s="77">
        <f t="shared" si="3"/>
        <v>3</v>
      </c>
      <c r="AZ7" s="77">
        <f t="shared" si="4"/>
        <v>2</v>
      </c>
      <c r="BA7" s="77">
        <f t="shared" si="5"/>
        <v>0</v>
      </c>
      <c r="BB7" s="76">
        <f t="shared" si="6"/>
        <v>3</v>
      </c>
      <c r="BC7" s="77">
        <f t="shared" si="7"/>
        <v>0</v>
      </c>
      <c r="BD7" s="77">
        <f t="shared" si="8"/>
        <v>0</v>
      </c>
      <c r="BE7" s="77">
        <f t="shared" si="9"/>
        <v>0</v>
      </c>
      <c r="BF7" s="77">
        <f t="shared" si="10"/>
        <v>0</v>
      </c>
      <c r="BG7" s="77">
        <f t="shared" si="11"/>
        <v>0</v>
      </c>
      <c r="BH7" s="77">
        <f t="shared" si="12"/>
        <v>0</v>
      </c>
      <c r="BI7" s="77">
        <f t="shared" si="13"/>
        <v>0</v>
      </c>
      <c r="BJ7" s="77">
        <f t="shared" si="14"/>
        <v>0</v>
      </c>
      <c r="BK7" s="77">
        <f t="shared" si="15"/>
        <v>0</v>
      </c>
      <c r="BL7" s="77">
        <f t="shared" si="16"/>
        <v>0</v>
      </c>
      <c r="BM7" s="77">
        <f t="shared" si="17"/>
        <v>0</v>
      </c>
      <c r="BN7" s="77">
        <f t="shared" si="19"/>
        <v>-5</v>
      </c>
      <c r="BO7" s="77">
        <f>COUNTIF($E7:$AB7,BO$4)</f>
        <v>0</v>
      </c>
      <c r="BP7" s="77">
        <f>COUNTIF($E7:$AB7,BP$4)</f>
        <v>0</v>
      </c>
      <c r="BQ7" s="77">
        <f>COUNTIF($E7:$AB7,BQ$4)</f>
        <v>0</v>
      </c>
      <c r="BR7" s="77"/>
    </row>
    <row r="8" ht="73.5" hidden="1" customHeight="1" spans="1:70">
      <c r="A8" s="74"/>
      <c r="B8" s="74" t="s">
        <v>710</v>
      </c>
      <c r="C8" s="76"/>
      <c r="D8" s="110"/>
      <c r="E8" s="74"/>
      <c r="F8" s="110"/>
      <c r="G8" s="110" t="s">
        <v>507</v>
      </c>
      <c r="H8" s="110"/>
      <c r="I8" s="110"/>
      <c r="J8" s="110"/>
      <c r="K8" s="110"/>
      <c r="L8" s="110"/>
      <c r="M8" s="110"/>
      <c r="N8" s="110" t="s">
        <v>54</v>
      </c>
      <c r="O8" s="110"/>
      <c r="P8" s="110"/>
      <c r="Q8" s="110"/>
      <c r="R8" s="110" t="s">
        <v>724</v>
      </c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74">
        <f t="shared" ref="AI8:AQ8" si="21">COUNTIF($D8:$AG8,AI$4)</f>
        <v>0</v>
      </c>
      <c r="AJ8" s="74">
        <f t="shared" si="21"/>
        <v>0</v>
      </c>
      <c r="AK8" s="74">
        <f t="shared" si="21"/>
        <v>0</v>
      </c>
      <c r="AL8" s="74">
        <f t="shared" si="21"/>
        <v>0</v>
      </c>
      <c r="AM8" s="74">
        <f t="shared" si="21"/>
        <v>0</v>
      </c>
      <c r="AN8" s="74">
        <f t="shared" si="21"/>
        <v>0</v>
      </c>
      <c r="AO8" s="74">
        <f t="shared" si="21"/>
        <v>0</v>
      </c>
      <c r="AP8" s="74">
        <f t="shared" si="21"/>
        <v>0</v>
      </c>
      <c r="AQ8" s="74">
        <f t="shared" si="21"/>
        <v>0</v>
      </c>
      <c r="AR8" s="76"/>
      <c r="AS8" s="76"/>
      <c r="AT8" s="74">
        <f>SUMPRODUCT(--(WEEKDAY(D$3:AH$3,2)&lt;5),--ISNUMBER(MATCH(D8:AH8,{"DM","CS1","CS2","SB1","AE","CS/B"},0)))</f>
        <v>0</v>
      </c>
      <c r="AU8" s="74"/>
      <c r="AV8" s="74">
        <f>SUMPRODUCT(--(WEEKDAY(D$3:AH$3,2)=5),--ISNUMBER(MATCH(D8:AH8,{"DM","CS1","CS2","SB1","AE","CS/B","WEEKEND OUTFIELD RESERVE"},0)))</f>
        <v>0</v>
      </c>
      <c r="AW8" s="74">
        <f>SUMPRODUCT(--(WEEKDAY(D$3:AH$3,2)&gt;5),--ISNUMBER(MATCH(D8:AH8,{"DM","CS1","CS2","SB1","AE","CS/B","WEEKEND OUTFIELD RESERVE"},0)))</f>
        <v>0</v>
      </c>
      <c r="AX8" s="74"/>
      <c r="AY8" s="74">
        <f t="shared" si="3"/>
        <v>0</v>
      </c>
      <c r="AZ8" s="74">
        <f t="shared" si="4"/>
        <v>0</v>
      </c>
      <c r="BA8" s="74">
        <f t="shared" si="5"/>
        <v>0</v>
      </c>
      <c r="BB8" s="76">
        <f t="shared" si="6"/>
        <v>0</v>
      </c>
      <c r="BC8" s="74">
        <f t="shared" si="7"/>
        <v>0</v>
      </c>
      <c r="BD8" s="74">
        <f t="shared" si="8"/>
        <v>0</v>
      </c>
      <c r="BE8" s="74">
        <f t="shared" si="9"/>
        <v>0</v>
      </c>
      <c r="BF8" s="74">
        <f t="shared" si="10"/>
        <v>0</v>
      </c>
      <c r="BG8" s="74">
        <f t="shared" si="11"/>
        <v>0</v>
      </c>
      <c r="BH8" s="74">
        <f t="shared" si="12"/>
        <v>0</v>
      </c>
      <c r="BI8" s="74">
        <f t="shared" si="13"/>
        <v>0</v>
      </c>
      <c r="BJ8" s="74">
        <f t="shared" si="14"/>
        <v>0</v>
      </c>
      <c r="BK8" s="74">
        <f t="shared" si="15"/>
        <v>0</v>
      </c>
      <c r="BL8" s="74">
        <f t="shared" si="16"/>
        <v>0</v>
      </c>
      <c r="BM8" s="74">
        <f t="shared" si="17"/>
        <v>0</v>
      </c>
      <c r="BN8" s="74">
        <f t="shared" si="19"/>
        <v>-8</v>
      </c>
      <c r="BO8" s="74">
        <f>COUNTIF($E8:$AB8,BO$4)</f>
        <v>0</v>
      </c>
      <c r="BP8" s="74">
        <f>COUNTIF($E8:$AB8,BP$4)</f>
        <v>0</v>
      </c>
      <c r="BQ8" s="74">
        <f>COUNTIF($E8:$AB8,BQ$4)</f>
        <v>0</v>
      </c>
      <c r="BR8" s="74"/>
    </row>
    <row r="9" ht="57" customHeight="1" spans="1:70">
      <c r="A9" s="77"/>
      <c r="B9" s="77" t="s">
        <v>766</v>
      </c>
      <c r="C9" s="76"/>
      <c r="D9" s="107" t="s">
        <v>57</v>
      </c>
      <c r="E9" s="107"/>
      <c r="F9" s="107"/>
      <c r="G9" s="107" t="s">
        <v>56</v>
      </c>
      <c r="H9" s="107"/>
      <c r="J9" s="107"/>
      <c r="K9" s="107"/>
      <c r="L9" s="107"/>
      <c r="M9" s="107"/>
      <c r="N9" s="107"/>
      <c r="P9" s="107"/>
      <c r="Q9" s="107"/>
      <c r="R9" s="107" t="s">
        <v>59</v>
      </c>
      <c r="S9" s="107"/>
      <c r="T9" s="107"/>
      <c r="U9" s="107"/>
      <c r="V9" s="107"/>
      <c r="W9" s="107" t="s">
        <v>57</v>
      </c>
      <c r="X9" s="107"/>
      <c r="Y9" s="107"/>
      <c r="Z9" s="107"/>
      <c r="AA9" s="107" t="s">
        <v>57</v>
      </c>
      <c r="AB9" s="107"/>
      <c r="AC9" s="107" t="s">
        <v>57</v>
      </c>
      <c r="AD9" s="107"/>
      <c r="AE9" s="107"/>
      <c r="AF9" s="107"/>
      <c r="AG9" s="107"/>
      <c r="AH9" s="107"/>
      <c r="AI9" s="77">
        <f t="shared" ref="AI9:AQ9" si="22">COUNTIF($D9:$AG9,AI$4)</f>
        <v>4</v>
      </c>
      <c r="AJ9" s="77">
        <f t="shared" si="22"/>
        <v>1</v>
      </c>
      <c r="AK9" s="77">
        <f t="shared" si="22"/>
        <v>1</v>
      </c>
      <c r="AL9" s="77">
        <f t="shared" si="22"/>
        <v>0</v>
      </c>
      <c r="AM9" s="77">
        <f t="shared" si="22"/>
        <v>0</v>
      </c>
      <c r="AN9" s="77">
        <f t="shared" si="22"/>
        <v>0</v>
      </c>
      <c r="AO9" s="77">
        <f t="shared" si="22"/>
        <v>0</v>
      </c>
      <c r="AP9" s="77">
        <f t="shared" si="22"/>
        <v>0</v>
      </c>
      <c r="AQ9" s="77">
        <f t="shared" si="22"/>
        <v>0</v>
      </c>
      <c r="AR9" s="76"/>
      <c r="AS9" s="76">
        <v>1</v>
      </c>
      <c r="AT9" s="77">
        <f>SUMPRODUCT(--(WEEKDAY(D$3:AH$3,2)&lt;5),--ISNUMBER(MATCH(D9:AH9,{"DM","CS1","CS2","SB1","AE","CS/B"},0)))</f>
        <v>3</v>
      </c>
      <c r="AU9" s="77"/>
      <c r="AV9" s="77">
        <f>SUMPRODUCT(--(WEEKDAY(D$3:AH$3,2)=5),--ISNUMBER(MATCH(D9:AH9,{"DM","CS1","CS2","SB1","AE","CS/B","WEEKEND OUTFIELD RESERVE"},0)))</f>
        <v>2</v>
      </c>
      <c r="AW9" s="77">
        <f>SUMPRODUCT(--(WEEKDAY(D$3:AH$3,2)&gt;5),--ISNUMBER(MATCH(D9:AH9,{"DM","CS1","CS2","SB1","AE","CS/B","WEEKEND OUTFIELD RESERVE"},0)))</f>
        <v>1</v>
      </c>
      <c r="AX9" s="77"/>
      <c r="AY9" s="77">
        <f t="shared" si="3"/>
        <v>7</v>
      </c>
      <c r="AZ9" s="77">
        <f t="shared" si="4"/>
        <v>6</v>
      </c>
      <c r="BA9" s="77">
        <f t="shared" si="5"/>
        <v>0</v>
      </c>
      <c r="BB9" s="76">
        <f t="shared" si="6"/>
        <v>7</v>
      </c>
      <c r="BC9" s="77">
        <f t="shared" si="7"/>
        <v>0</v>
      </c>
      <c r="BD9" s="77">
        <f t="shared" si="8"/>
        <v>0</v>
      </c>
      <c r="BE9" s="77">
        <f t="shared" si="9"/>
        <v>0</v>
      </c>
      <c r="BF9" s="77">
        <f t="shared" si="10"/>
        <v>0</v>
      </c>
      <c r="BG9" s="77">
        <f t="shared" si="11"/>
        <v>0</v>
      </c>
      <c r="BH9" s="77">
        <f t="shared" si="12"/>
        <v>0</v>
      </c>
      <c r="BI9" s="77">
        <f t="shared" si="13"/>
        <v>0</v>
      </c>
      <c r="BJ9" s="77">
        <f t="shared" si="14"/>
        <v>0</v>
      </c>
      <c r="BK9" s="77">
        <f t="shared" si="15"/>
        <v>0</v>
      </c>
      <c r="BL9" s="77">
        <f t="shared" si="16"/>
        <v>0</v>
      </c>
      <c r="BM9" s="77">
        <f t="shared" si="17"/>
        <v>0</v>
      </c>
      <c r="BN9" s="77">
        <f t="shared" si="19"/>
        <v>-1</v>
      </c>
      <c r="BO9" s="77">
        <f>COUNTIF($E9:$AB9,BO$4)</f>
        <v>0</v>
      </c>
      <c r="BP9" s="77">
        <f>COUNTIF($E9:$AB9,BP$4)</f>
        <v>0</v>
      </c>
      <c r="BQ9" s="77">
        <f>COUNTIF($E9:$AB9,BQ$4)</f>
        <v>0</v>
      </c>
      <c r="BR9" s="77"/>
    </row>
    <row r="10" ht="19.5" customHeight="1" spans="1:70">
      <c r="A10" s="74"/>
      <c r="B10" s="74" t="s">
        <v>574</v>
      </c>
      <c r="C10" s="76"/>
      <c r="E10" s="110"/>
      <c r="F10" s="110"/>
      <c r="G10" s="110"/>
      <c r="H10" s="110" t="s">
        <v>73</v>
      </c>
      <c r="I10" s="110" t="s">
        <v>73</v>
      </c>
      <c r="J10" s="110" t="s">
        <v>73</v>
      </c>
      <c r="K10" s="110" t="s">
        <v>73</v>
      </c>
      <c r="L10" s="110"/>
      <c r="M10" s="142"/>
      <c r="N10" s="143" t="s">
        <v>767</v>
      </c>
      <c r="O10" s="110"/>
      <c r="P10" s="110" t="s">
        <v>573</v>
      </c>
      <c r="Q10" s="110" t="s">
        <v>768</v>
      </c>
      <c r="R10" s="110"/>
      <c r="S10" s="110"/>
      <c r="T10" s="110"/>
      <c r="U10" s="110" t="s">
        <v>350</v>
      </c>
      <c r="V10" s="110"/>
      <c r="W10" s="110"/>
      <c r="X10" s="110"/>
      <c r="Z10" s="110" t="s">
        <v>57</v>
      </c>
      <c r="AA10" s="110"/>
      <c r="AB10" s="110" t="s">
        <v>769</v>
      </c>
      <c r="AC10" s="144" t="s">
        <v>54</v>
      </c>
      <c r="AE10" s="110"/>
      <c r="AF10" s="110"/>
      <c r="AG10" s="110"/>
      <c r="AH10" s="110"/>
      <c r="AI10" s="74">
        <f t="shared" ref="AI10:AQ10" si="23">COUNTIF($D10:$AG10,AI$4)</f>
        <v>1</v>
      </c>
      <c r="AJ10" s="74">
        <f t="shared" si="23"/>
        <v>0</v>
      </c>
      <c r="AK10" s="74">
        <f t="shared" si="23"/>
        <v>0</v>
      </c>
      <c r="AL10" s="74">
        <f t="shared" si="23"/>
        <v>0</v>
      </c>
      <c r="AM10" s="74">
        <f t="shared" si="23"/>
        <v>0</v>
      </c>
      <c r="AN10" s="74">
        <f t="shared" si="23"/>
        <v>0</v>
      </c>
      <c r="AO10" s="74">
        <f t="shared" si="23"/>
        <v>0</v>
      </c>
      <c r="AP10" s="74">
        <f t="shared" si="23"/>
        <v>1</v>
      </c>
      <c r="AQ10" s="74">
        <f t="shared" si="23"/>
        <v>0</v>
      </c>
      <c r="AR10" s="76">
        <v>1</v>
      </c>
      <c r="AS10" s="76"/>
      <c r="AT10" s="74">
        <f>SUMPRODUCT(--(WEEKDAY(D$3:AH$3,2)&lt;5),--ISNUMBER(MATCH(D10:AH10,{"DM","CS1","CS2","SB1","AE","CS/B"},0)))</f>
        <v>0</v>
      </c>
      <c r="AU10" s="74"/>
      <c r="AV10" s="74">
        <f>SUMPRODUCT(--(WEEKDAY(D$3:AH$3,2)=5),--ISNUMBER(MATCH(D10:AH10,{"DM","CS1","CS2","SB1","AE","CS/B","WEEKEND OUTFIELD RESERVE"},0)))</f>
        <v>0</v>
      </c>
      <c r="AW10" s="74">
        <f>SUMPRODUCT(--(WEEKDAY(D$3:AH$3,2)&gt;5),--ISNUMBER(MATCH(D10:AH10,{"DM","CS1","CS2","SB1","AE","CS/B","WEEKEND OUTFIELD RESERVE"},0)))</f>
        <v>1</v>
      </c>
      <c r="AX10" s="74"/>
      <c r="AY10" s="74">
        <f t="shared" si="3"/>
        <v>3.5</v>
      </c>
      <c r="AZ10" s="74">
        <f t="shared" si="4"/>
        <v>1</v>
      </c>
      <c r="BA10" s="74">
        <f t="shared" si="5"/>
        <v>5</v>
      </c>
      <c r="BB10" s="76">
        <f t="shared" si="6"/>
        <v>8</v>
      </c>
      <c r="BC10" s="74">
        <f t="shared" si="7"/>
        <v>4.5</v>
      </c>
      <c r="BD10" s="74">
        <f t="shared" si="8"/>
        <v>0</v>
      </c>
      <c r="BE10" s="74">
        <f t="shared" si="9"/>
        <v>0</v>
      </c>
      <c r="BF10" s="74">
        <f t="shared" si="10"/>
        <v>0</v>
      </c>
      <c r="BG10" s="74">
        <f t="shared" si="11"/>
        <v>0</v>
      </c>
      <c r="BH10" s="74">
        <f t="shared" si="12"/>
        <v>1</v>
      </c>
      <c r="BI10" s="74">
        <f t="shared" si="13"/>
        <v>0.5</v>
      </c>
      <c r="BJ10" s="74">
        <f t="shared" si="14"/>
        <v>0</v>
      </c>
      <c r="BK10" s="74">
        <f t="shared" si="15"/>
        <v>0</v>
      </c>
      <c r="BL10" s="74">
        <f t="shared" si="16"/>
        <v>4</v>
      </c>
      <c r="BM10" s="74">
        <f t="shared" si="17"/>
        <v>4</v>
      </c>
      <c r="BN10" s="74">
        <f t="shared" si="19"/>
        <v>0</v>
      </c>
      <c r="BO10" s="74">
        <f>COUNTIF($E10:$AA10,BO$4)</f>
        <v>0</v>
      </c>
      <c r="BP10" s="74">
        <f>COUNTIF($E10:$AA10,BP$4)</f>
        <v>1</v>
      </c>
      <c r="BQ10" s="74">
        <f>COUNTIF($E10:$AA10,BQ$4)</f>
        <v>0</v>
      </c>
      <c r="BR10" s="74"/>
    </row>
    <row r="11" ht="56.25" customHeight="1" spans="1:70">
      <c r="A11" s="77"/>
      <c r="B11" s="77" t="s">
        <v>714</v>
      </c>
      <c r="C11" s="76"/>
      <c r="D11" s="77" t="s">
        <v>59</v>
      </c>
      <c r="E11" s="107"/>
      <c r="F11" s="107"/>
      <c r="G11" s="107"/>
      <c r="H11" s="107" t="s">
        <v>767</v>
      </c>
      <c r="I11" s="145"/>
      <c r="J11" s="107" t="s">
        <v>566</v>
      </c>
      <c r="K11" s="107"/>
      <c r="L11" s="107"/>
      <c r="M11" s="107"/>
      <c r="N11" s="107" t="s">
        <v>350</v>
      </c>
      <c r="O11" s="107" t="s">
        <v>93</v>
      </c>
      <c r="P11" s="107" t="s">
        <v>770</v>
      </c>
      <c r="Q11" s="107" t="s">
        <v>56</v>
      </c>
      <c r="R11" s="107"/>
      <c r="S11" s="107"/>
      <c r="T11" s="107" t="s">
        <v>56</v>
      </c>
      <c r="U11" s="107"/>
      <c r="V11" s="107"/>
      <c r="W11" s="107" t="s">
        <v>59</v>
      </c>
      <c r="Y11" s="107" t="s">
        <v>573</v>
      </c>
      <c r="Z11" s="107" t="s">
        <v>589</v>
      </c>
      <c r="AA11" s="107"/>
      <c r="AB11" s="107" t="s">
        <v>350</v>
      </c>
      <c r="AD11" s="107" t="s">
        <v>56</v>
      </c>
      <c r="AE11" s="107"/>
      <c r="AF11" s="107" t="s">
        <v>55</v>
      </c>
      <c r="AG11" s="107"/>
      <c r="AH11" s="107"/>
      <c r="AI11" s="77">
        <f t="shared" ref="AI11:AQ11" si="24">COUNTIF($D11:$AG11,AI$4)</f>
        <v>0</v>
      </c>
      <c r="AJ11" s="77">
        <f t="shared" si="24"/>
        <v>3</v>
      </c>
      <c r="AK11" s="77">
        <f t="shared" si="24"/>
        <v>2</v>
      </c>
      <c r="AL11" s="77">
        <f t="shared" si="24"/>
        <v>1</v>
      </c>
      <c r="AM11" s="77">
        <f t="shared" si="24"/>
        <v>0</v>
      </c>
      <c r="AN11" s="77">
        <f t="shared" si="24"/>
        <v>1</v>
      </c>
      <c r="AO11" s="77">
        <f t="shared" si="24"/>
        <v>0</v>
      </c>
      <c r="AP11" s="77">
        <f t="shared" si="24"/>
        <v>1</v>
      </c>
      <c r="AQ11" s="77">
        <f t="shared" si="24"/>
        <v>0</v>
      </c>
      <c r="AR11" s="76"/>
      <c r="AS11" s="76">
        <v>0.5</v>
      </c>
      <c r="AT11" s="77">
        <f>SUMPRODUCT(--(WEEKDAY(D$3:AH$3,2)&lt;5),--ISNUMBER(MATCH(D11:AH11,{"DM","CS1","CS2","SB1","AE","CS/B"},0)))</f>
        <v>4</v>
      </c>
      <c r="AU11" s="77"/>
      <c r="AV11" s="77">
        <f>SUMPRODUCT(--(WEEKDAY(D$3:AH$3,2)=5),--ISNUMBER(MATCH(D11:AH11,{"DM","CS1","CS2","SB1","AE","CS/B","WEEKEND OUTFIELD RESERVE"},0)))</f>
        <v>1</v>
      </c>
      <c r="AW11" s="77">
        <f>SUMPRODUCT(--(WEEKDAY(D$3:AH$3,2)&gt;5),--ISNUMBER(MATCH(D11:AH11,{"DM","CS1","CS2","SB1","AE","CS/B","WEEKEND OUTFIELD RESERVE"},0)))</f>
        <v>1</v>
      </c>
      <c r="AX11" s="77"/>
      <c r="AY11" s="77">
        <f t="shared" si="3"/>
        <v>8</v>
      </c>
      <c r="AZ11" s="77">
        <f t="shared" si="4"/>
        <v>6</v>
      </c>
      <c r="BA11" s="77">
        <f t="shared" si="5"/>
        <v>1</v>
      </c>
      <c r="BB11" s="76">
        <f t="shared" si="6"/>
        <v>8.5</v>
      </c>
      <c r="BC11" s="77">
        <f t="shared" si="7"/>
        <v>0.5</v>
      </c>
      <c r="BD11" s="77">
        <f t="shared" si="8"/>
        <v>0</v>
      </c>
      <c r="BE11" s="77">
        <f t="shared" si="9"/>
        <v>0</v>
      </c>
      <c r="BF11" s="77">
        <f t="shared" si="10"/>
        <v>0</v>
      </c>
      <c r="BG11" s="77">
        <f t="shared" si="11"/>
        <v>0</v>
      </c>
      <c r="BH11" s="77">
        <f t="shared" si="12"/>
        <v>0</v>
      </c>
      <c r="BI11" s="77">
        <f t="shared" si="13"/>
        <v>0</v>
      </c>
      <c r="BJ11" s="77">
        <f t="shared" si="14"/>
        <v>1</v>
      </c>
      <c r="BK11" s="77">
        <f t="shared" si="15"/>
        <v>0.5</v>
      </c>
      <c r="BL11" s="77">
        <f t="shared" si="16"/>
        <v>0</v>
      </c>
      <c r="BM11" s="77">
        <f t="shared" si="17"/>
        <v>0</v>
      </c>
      <c r="BN11" s="77">
        <f t="shared" si="19"/>
        <v>0.5</v>
      </c>
      <c r="BO11" s="77">
        <f t="shared" ref="BO11:BO28" si="25">COUNTIF($E11:$AB11,BO$4)</f>
        <v>0</v>
      </c>
      <c r="BP11" s="77">
        <f t="shared" ref="BP11:BP28" si="26">COUNTIF($E11:$AB11,BP$4)</f>
        <v>2</v>
      </c>
      <c r="BQ11" s="77">
        <f t="shared" ref="BQ11:BQ28" si="27">COUNTIF($E11:$AB11,BQ$4)</f>
        <v>0</v>
      </c>
      <c r="BR11" s="77"/>
    </row>
    <row r="12" ht="19.5" customHeight="1" spans="1:70">
      <c r="A12" s="74"/>
      <c r="B12" s="74" t="s">
        <v>715</v>
      </c>
      <c r="C12" s="146">
        <f>COUNTIF(D12:AG12,"DM")</f>
        <v>2</v>
      </c>
      <c r="D12" s="110" t="s">
        <v>350</v>
      </c>
      <c r="E12" s="110"/>
      <c r="F12" s="110" t="s">
        <v>350</v>
      </c>
      <c r="G12" s="110" t="s">
        <v>93</v>
      </c>
      <c r="H12" s="110" t="s">
        <v>180</v>
      </c>
      <c r="J12" s="143" t="s">
        <v>573</v>
      </c>
      <c r="K12" s="110"/>
      <c r="L12" s="110" t="s">
        <v>57</v>
      </c>
      <c r="M12" s="110"/>
      <c r="O12" s="110" t="s">
        <v>59</v>
      </c>
      <c r="P12" s="144" t="s">
        <v>61</v>
      </c>
      <c r="Q12" s="110" t="s">
        <v>573</v>
      </c>
      <c r="R12" s="110"/>
      <c r="S12" s="110" t="s">
        <v>350</v>
      </c>
      <c r="T12" s="110"/>
      <c r="U12" s="110"/>
      <c r="V12" s="110" t="s">
        <v>56</v>
      </c>
      <c r="W12" s="110"/>
      <c r="X12" s="110"/>
      <c r="Y12" s="110" t="s">
        <v>245</v>
      </c>
      <c r="Z12" s="110" t="s">
        <v>56</v>
      </c>
      <c r="AA12" s="110"/>
      <c r="AB12" s="110"/>
      <c r="AC12" s="110" t="s">
        <v>771</v>
      </c>
      <c r="AD12" s="110"/>
      <c r="AE12" s="110" t="s">
        <v>56</v>
      </c>
      <c r="AF12" s="110"/>
      <c r="AG12" s="110" t="s">
        <v>57</v>
      </c>
      <c r="AH12" s="110"/>
      <c r="AI12" s="74">
        <f t="shared" ref="AI12:AQ12" si="28">COUNTIF($D12:$AG12,AI$4)</f>
        <v>2</v>
      </c>
      <c r="AJ12" s="74">
        <f t="shared" si="28"/>
        <v>3</v>
      </c>
      <c r="AK12" s="74">
        <f t="shared" si="28"/>
        <v>1</v>
      </c>
      <c r="AL12" s="74">
        <f t="shared" si="28"/>
        <v>0</v>
      </c>
      <c r="AM12" s="74">
        <f t="shared" si="28"/>
        <v>0</v>
      </c>
      <c r="AN12" s="74">
        <f t="shared" si="28"/>
        <v>1</v>
      </c>
      <c r="AO12" s="74">
        <f t="shared" si="28"/>
        <v>0</v>
      </c>
      <c r="AP12" s="74">
        <f t="shared" si="28"/>
        <v>0</v>
      </c>
      <c r="AQ12" s="74">
        <f t="shared" si="28"/>
        <v>0</v>
      </c>
      <c r="AR12" s="76"/>
      <c r="AS12" s="76">
        <v>1</v>
      </c>
      <c r="AT12" s="74">
        <f>SUMPRODUCT(--(WEEKDAY(D$3:AH$3,2)&lt;5),--ISNUMBER(MATCH(D12:AH12,{"DM","CS1","CS2","SB1","AE","CS/B"},0)))</f>
        <v>3</v>
      </c>
      <c r="AU12" s="74">
        <v>0</v>
      </c>
      <c r="AV12" s="74">
        <f>SUMPRODUCT(--(WEEKDAY(D$3:AH$3,2)=5),--ISNUMBER(MATCH(D12:AH12,{"DM","CS1","CS2","SB1","AE","CS/B","WEEKEND OUTFIELD RESERVE"},0)))</f>
        <v>0</v>
      </c>
      <c r="AW12" s="74">
        <f>SUMPRODUCT(--(WEEKDAY(D$3:AH$3,2)&gt;5),--ISNUMBER(MATCH(D12:AH12,{"DM","CS1","CS2","SB1","AE","CS/B","WEEKEND OUTFIELD RESERVE"},0)))</f>
        <v>3</v>
      </c>
      <c r="AX12" s="74"/>
      <c r="AY12" s="74">
        <f t="shared" si="3"/>
        <v>8.5</v>
      </c>
      <c r="AZ12" s="74">
        <f t="shared" si="4"/>
        <v>6</v>
      </c>
      <c r="BA12" s="74">
        <f t="shared" si="5"/>
        <v>3</v>
      </c>
      <c r="BB12" s="76">
        <f t="shared" si="6"/>
        <v>10</v>
      </c>
      <c r="BC12" s="74">
        <f t="shared" si="7"/>
        <v>1.5</v>
      </c>
      <c r="BD12" s="74">
        <f t="shared" si="8"/>
        <v>0</v>
      </c>
      <c r="BE12" s="74">
        <f t="shared" si="9"/>
        <v>0</v>
      </c>
      <c r="BF12" s="74">
        <f t="shared" si="10"/>
        <v>0</v>
      </c>
      <c r="BG12" s="74">
        <f t="shared" si="11"/>
        <v>0</v>
      </c>
      <c r="BH12" s="74">
        <f t="shared" si="12"/>
        <v>0</v>
      </c>
      <c r="BI12" s="74">
        <f t="shared" si="13"/>
        <v>0</v>
      </c>
      <c r="BJ12" s="74">
        <f t="shared" si="14"/>
        <v>3</v>
      </c>
      <c r="BK12" s="74">
        <f t="shared" si="15"/>
        <v>1.5</v>
      </c>
      <c r="BL12" s="74">
        <f t="shared" si="16"/>
        <v>0</v>
      </c>
      <c r="BM12" s="74">
        <f t="shared" si="17"/>
        <v>0</v>
      </c>
      <c r="BN12" s="74">
        <f t="shared" si="19"/>
        <v>2</v>
      </c>
      <c r="BO12" s="74">
        <f t="shared" si="25"/>
        <v>0</v>
      </c>
      <c r="BP12" s="74">
        <f t="shared" si="26"/>
        <v>2</v>
      </c>
      <c r="BQ12" s="74">
        <f t="shared" si="27"/>
        <v>0</v>
      </c>
      <c r="BR12" s="74"/>
    </row>
    <row r="13" ht="51" customHeight="1" spans="1:70">
      <c r="A13" s="77"/>
      <c r="B13" s="77" t="s">
        <v>584</v>
      </c>
      <c r="C13" s="146">
        <f>COUNTIF(D13:AG13,"DM")</f>
        <v>2</v>
      </c>
      <c r="D13" s="107"/>
      <c r="E13" s="107"/>
      <c r="F13" s="107" t="s">
        <v>57</v>
      </c>
      <c r="G13" s="107"/>
      <c r="H13" s="107"/>
      <c r="I13" s="107"/>
      <c r="J13" s="107"/>
      <c r="K13" s="107"/>
      <c r="L13" s="107"/>
      <c r="M13" s="107"/>
      <c r="N13" s="107" t="s">
        <v>57</v>
      </c>
      <c r="O13" s="107"/>
      <c r="P13" s="86" t="s">
        <v>61</v>
      </c>
      <c r="Q13" s="107"/>
      <c r="R13" s="107" t="s">
        <v>350</v>
      </c>
      <c r="S13" s="107"/>
      <c r="T13" s="107"/>
      <c r="U13" s="107" t="s">
        <v>56</v>
      </c>
      <c r="V13" s="107"/>
      <c r="X13" s="107"/>
      <c r="Y13" s="107"/>
      <c r="Z13" s="107"/>
      <c r="AA13" s="107"/>
      <c r="AB13" s="107"/>
      <c r="AC13" s="107" t="s">
        <v>56</v>
      </c>
      <c r="AD13" s="107"/>
      <c r="AE13" s="107"/>
      <c r="AF13" s="107" t="s">
        <v>350</v>
      </c>
      <c r="AG13" s="107"/>
      <c r="AH13" s="107" t="s">
        <v>57</v>
      </c>
      <c r="AI13" s="77">
        <f t="shared" ref="AI13:AQ13" si="29">COUNTIF($D13:$AG13,AI$4)</f>
        <v>2</v>
      </c>
      <c r="AJ13" s="77">
        <f t="shared" si="29"/>
        <v>2</v>
      </c>
      <c r="AK13" s="77">
        <f t="shared" si="29"/>
        <v>0</v>
      </c>
      <c r="AL13" s="77">
        <f t="shared" si="29"/>
        <v>0</v>
      </c>
      <c r="AM13" s="77">
        <f t="shared" si="29"/>
        <v>0</v>
      </c>
      <c r="AN13" s="77">
        <f t="shared" si="29"/>
        <v>0</v>
      </c>
      <c r="AO13" s="77">
        <f t="shared" si="29"/>
        <v>0</v>
      </c>
      <c r="AP13" s="77">
        <f t="shared" si="29"/>
        <v>0</v>
      </c>
      <c r="AQ13" s="77">
        <f t="shared" si="29"/>
        <v>0</v>
      </c>
      <c r="AR13" s="76">
        <v>1</v>
      </c>
      <c r="AS13" s="76"/>
      <c r="AT13" s="77">
        <f>SUMPRODUCT(--(WEEKDAY(D$3:AH$3,2)&lt;5),--ISNUMBER(MATCH(D13:AH13,{"DM","CS1","CS2","SB1","AE","CS/B"},0)))</f>
        <v>3</v>
      </c>
      <c r="AU13" s="77"/>
      <c r="AV13" s="77">
        <f>SUMPRODUCT(--(WEEKDAY(D$3:AH$3,2)=5),--ISNUMBER(MATCH(D13:AH13,{"DM","CS1","CS2","SB1","AE","CS/B","WEEKEND OUTFIELD RESERVE"},0)))</f>
        <v>0</v>
      </c>
      <c r="AW13" s="77">
        <f>SUMPRODUCT(--(WEEKDAY(D$3:AH$3,2)&gt;5),--ISNUMBER(MATCH(D13:AH13,{"DM","CS1","CS2","SB1","AE","CS/B","WEEKEND OUTFIELD RESERVE"},0)))</f>
        <v>2</v>
      </c>
      <c r="AX13" s="77"/>
      <c r="AY13" s="77">
        <f t="shared" si="3"/>
        <v>8</v>
      </c>
      <c r="AZ13" s="77">
        <f t="shared" si="4"/>
        <v>5</v>
      </c>
      <c r="BA13" s="77">
        <f t="shared" si="5"/>
        <v>0</v>
      </c>
      <c r="BB13" s="76">
        <f t="shared" si="6"/>
        <v>8</v>
      </c>
      <c r="BC13" s="77">
        <f t="shared" si="7"/>
        <v>0</v>
      </c>
      <c r="BD13" s="77">
        <f t="shared" si="8"/>
        <v>0</v>
      </c>
      <c r="BE13" s="77">
        <f t="shared" si="9"/>
        <v>0</v>
      </c>
      <c r="BF13" s="77">
        <f t="shared" si="10"/>
        <v>0</v>
      </c>
      <c r="BG13" s="77">
        <f t="shared" si="11"/>
        <v>0</v>
      </c>
      <c r="BH13" s="77">
        <f t="shared" si="12"/>
        <v>0</v>
      </c>
      <c r="BI13" s="77">
        <f t="shared" si="13"/>
        <v>0</v>
      </c>
      <c r="BJ13" s="77">
        <f t="shared" si="14"/>
        <v>0</v>
      </c>
      <c r="BK13" s="77">
        <f t="shared" si="15"/>
        <v>0</v>
      </c>
      <c r="BL13" s="77">
        <f t="shared" si="16"/>
        <v>0</v>
      </c>
      <c r="BM13" s="77">
        <f t="shared" si="17"/>
        <v>0</v>
      </c>
      <c r="BN13" s="77">
        <f t="shared" si="19"/>
        <v>0</v>
      </c>
      <c r="BO13" s="77">
        <f t="shared" si="25"/>
        <v>0</v>
      </c>
      <c r="BP13" s="77">
        <f t="shared" si="26"/>
        <v>1</v>
      </c>
      <c r="BQ13" s="77">
        <f t="shared" si="27"/>
        <v>0</v>
      </c>
      <c r="BR13" s="77"/>
    </row>
    <row r="14" ht="45" customHeight="1" spans="1:70">
      <c r="A14" s="74"/>
      <c r="B14" s="74" t="s">
        <v>717</v>
      </c>
      <c r="C14" s="76"/>
      <c r="D14" s="110" t="s">
        <v>58</v>
      </c>
      <c r="E14" s="110" t="s">
        <v>350</v>
      </c>
      <c r="F14" s="110"/>
      <c r="G14" s="110" t="s">
        <v>573</v>
      </c>
      <c r="I14" s="110" t="s">
        <v>261</v>
      </c>
      <c r="J14" s="110"/>
      <c r="K14" s="110" t="s">
        <v>350</v>
      </c>
      <c r="L14" s="110"/>
      <c r="M14" s="110" t="s">
        <v>56</v>
      </c>
      <c r="N14" s="110"/>
      <c r="O14" s="110" t="s">
        <v>573</v>
      </c>
      <c r="P14" s="110"/>
      <c r="R14" s="110"/>
      <c r="S14" s="110"/>
      <c r="T14" s="110"/>
      <c r="U14" s="110"/>
      <c r="V14" s="110"/>
      <c r="W14" s="110" t="s">
        <v>573</v>
      </c>
      <c r="X14" s="110"/>
      <c r="Y14" s="110" t="s">
        <v>93</v>
      </c>
      <c r="Z14" s="110"/>
      <c r="AA14" s="110"/>
      <c r="AB14" s="110" t="s">
        <v>56</v>
      </c>
      <c r="AD14" s="110"/>
      <c r="AF14" s="110"/>
      <c r="AG14" s="147"/>
      <c r="AH14" s="147"/>
      <c r="AI14" s="74">
        <f t="shared" ref="AI14:AQ14" si="30">COUNTIF($D14:$AG14,AI$4)</f>
        <v>0</v>
      </c>
      <c r="AJ14" s="74">
        <f t="shared" si="30"/>
        <v>2</v>
      </c>
      <c r="AK14" s="74">
        <f t="shared" si="30"/>
        <v>0</v>
      </c>
      <c r="AL14" s="74">
        <f t="shared" si="30"/>
        <v>0</v>
      </c>
      <c r="AM14" s="74">
        <f t="shared" si="30"/>
        <v>1</v>
      </c>
      <c r="AN14" s="74">
        <f t="shared" si="30"/>
        <v>1</v>
      </c>
      <c r="AO14" s="74">
        <f t="shared" si="30"/>
        <v>0</v>
      </c>
      <c r="AP14" s="74">
        <f t="shared" si="30"/>
        <v>0</v>
      </c>
      <c r="AQ14" s="74">
        <f t="shared" si="30"/>
        <v>0</v>
      </c>
      <c r="AR14" s="76">
        <v>1</v>
      </c>
      <c r="AS14" s="76"/>
      <c r="AT14" s="74">
        <f>SUMPRODUCT(--(WEEKDAY(D$3:AH$3,2)&lt;5),--ISNUMBER(MATCH(D14:AH14,{"DM","CS1","CS2","SB1","AE","CS/B"},0)))</f>
        <v>1</v>
      </c>
      <c r="AU14" s="74"/>
      <c r="AV14" s="74">
        <f>SUMPRODUCT(--(WEEKDAY(D$3:AH$3,2)=5),--ISNUMBER(MATCH(D14:AH14,{"DM","CS1","CS2","SB1","AE","CS/B","WEEKEND OUTFIELD RESERVE"},0)))</f>
        <v>1</v>
      </c>
      <c r="AW14" s="74">
        <f>SUMPRODUCT(--(WEEKDAY(D$3:AH$3,2)&gt;5),--ISNUMBER(MATCH(D14:AH14,{"DM","CS1","CS2","SB1","AE","CS/B","WEEKEND OUTFIELD RESERVE"},0)))</f>
        <v>1</v>
      </c>
      <c r="AX14" s="74"/>
      <c r="AY14" s="74">
        <f t="shared" si="3"/>
        <v>6</v>
      </c>
      <c r="AZ14" s="74">
        <f t="shared" si="4"/>
        <v>3</v>
      </c>
      <c r="BA14" s="74">
        <f t="shared" si="5"/>
        <v>0</v>
      </c>
      <c r="BB14" s="76">
        <f t="shared" si="6"/>
        <v>6</v>
      </c>
      <c r="BC14" s="74">
        <f t="shared" si="7"/>
        <v>0</v>
      </c>
      <c r="BD14" s="74">
        <f t="shared" si="8"/>
        <v>0</v>
      </c>
      <c r="BE14" s="74">
        <f t="shared" si="9"/>
        <v>0</v>
      </c>
      <c r="BF14" s="74">
        <f t="shared" si="10"/>
        <v>0</v>
      </c>
      <c r="BG14" s="74">
        <f t="shared" si="11"/>
        <v>0</v>
      </c>
      <c r="BH14" s="74">
        <f t="shared" si="12"/>
        <v>0</v>
      </c>
      <c r="BI14" s="74">
        <f t="shared" si="13"/>
        <v>0</v>
      </c>
      <c r="BJ14" s="74">
        <f t="shared" si="14"/>
        <v>0</v>
      </c>
      <c r="BK14" s="74">
        <f t="shared" si="15"/>
        <v>0</v>
      </c>
      <c r="BL14" s="74">
        <f t="shared" si="16"/>
        <v>0</v>
      </c>
      <c r="BM14" s="74">
        <f t="shared" si="17"/>
        <v>0</v>
      </c>
      <c r="BN14" s="74">
        <f t="shared" si="19"/>
        <v>-2</v>
      </c>
      <c r="BO14" s="74">
        <f t="shared" si="25"/>
        <v>0</v>
      </c>
      <c r="BP14" s="74">
        <f t="shared" si="26"/>
        <v>2</v>
      </c>
      <c r="BQ14" s="74">
        <f t="shared" si="27"/>
        <v>0</v>
      </c>
      <c r="BR14" s="74"/>
    </row>
    <row r="15" ht="39.75" customHeight="1" spans="1:70">
      <c r="A15" s="77"/>
      <c r="B15" s="77" t="s">
        <v>591</v>
      </c>
      <c r="C15" s="76"/>
      <c r="D15" s="107"/>
      <c r="E15" s="107"/>
      <c r="F15" s="107"/>
      <c r="G15" s="107" t="s">
        <v>350</v>
      </c>
      <c r="I15" s="107" t="s">
        <v>573</v>
      </c>
      <c r="J15" s="107"/>
      <c r="K15" s="107"/>
      <c r="L15" s="107"/>
      <c r="M15" s="107"/>
      <c r="N15" s="145"/>
      <c r="O15" s="107" t="s">
        <v>772</v>
      </c>
      <c r="P15" s="107"/>
      <c r="Q15" s="107" t="s">
        <v>65</v>
      </c>
      <c r="R15" s="107"/>
      <c r="S15" s="107"/>
      <c r="T15" s="107"/>
      <c r="U15" s="107"/>
      <c r="W15" s="107"/>
      <c r="X15" s="86" t="s">
        <v>261</v>
      </c>
      <c r="Y15" s="107" t="s">
        <v>65</v>
      </c>
      <c r="Z15" s="107"/>
      <c r="AA15" s="107"/>
      <c r="AB15" s="107" t="s">
        <v>773</v>
      </c>
      <c r="AC15" s="107" t="s">
        <v>58</v>
      </c>
      <c r="AD15" s="107"/>
      <c r="AE15" s="107"/>
      <c r="AF15" s="107" t="s">
        <v>58</v>
      </c>
      <c r="AG15" s="107"/>
      <c r="AH15" s="107"/>
      <c r="AI15" s="77">
        <f t="shared" ref="AI15:AQ15" si="31">COUNTIF($D15:$AG15,AI$4)</f>
        <v>0</v>
      </c>
      <c r="AJ15" s="77">
        <f t="shared" si="31"/>
        <v>0</v>
      </c>
      <c r="AK15" s="77">
        <f t="shared" si="31"/>
        <v>0</v>
      </c>
      <c r="AL15" s="77">
        <f t="shared" si="31"/>
        <v>0</v>
      </c>
      <c r="AM15" s="77">
        <f t="shared" si="31"/>
        <v>2</v>
      </c>
      <c r="AN15" s="77">
        <f t="shared" si="31"/>
        <v>0</v>
      </c>
      <c r="AO15" s="77">
        <f t="shared" si="31"/>
        <v>2</v>
      </c>
      <c r="AP15" s="77">
        <f t="shared" si="31"/>
        <v>0</v>
      </c>
      <c r="AQ15" s="77">
        <f t="shared" si="31"/>
        <v>0</v>
      </c>
      <c r="AR15" s="76">
        <v>0.5</v>
      </c>
      <c r="AS15" s="76"/>
      <c r="AT15" s="77">
        <f>SUMPRODUCT(--(WEEKDAY(D$3:AH$3,2)&lt;5),--ISNUMBER(MATCH(D15:AH15,{"DM","CS1","CS2","SB1","AE","CS/B"},0)))</f>
        <v>2</v>
      </c>
      <c r="AU15" s="77"/>
      <c r="AV15" s="77">
        <f>SUMPRODUCT(--(WEEKDAY(D$3:AH$3,2)=5),--ISNUMBER(MATCH(D15:AH15,{"DM","CS1","CS2","SB1","AE","CS/B","WEEKEND OUTFIELD RESERVE"},0)))</f>
        <v>2</v>
      </c>
      <c r="AW15" s="77">
        <f>SUMPRODUCT(--(WEEKDAY(D$3:AH$3,2)&gt;5),--ISNUMBER(MATCH(D15:AH15,{"DM","CS1","CS2","SB1","AE","CS/B","WEEKEND OUTFIELD RESERVE"},0)))</f>
        <v>0</v>
      </c>
      <c r="AX15" s="77"/>
      <c r="AY15" s="77">
        <f t="shared" si="3"/>
        <v>5.5</v>
      </c>
      <c r="AZ15" s="77">
        <f t="shared" si="4"/>
        <v>4</v>
      </c>
      <c r="BA15" s="77">
        <f t="shared" si="5"/>
        <v>2</v>
      </c>
      <c r="BB15" s="76">
        <f t="shared" si="6"/>
        <v>6.5</v>
      </c>
      <c r="BC15" s="77">
        <f t="shared" si="7"/>
        <v>1</v>
      </c>
      <c r="BD15" s="77">
        <f t="shared" si="8"/>
        <v>0</v>
      </c>
      <c r="BE15" s="77">
        <f t="shared" si="9"/>
        <v>0</v>
      </c>
      <c r="BF15" s="77">
        <f t="shared" si="10"/>
        <v>0</v>
      </c>
      <c r="BG15" s="77">
        <f t="shared" si="11"/>
        <v>0</v>
      </c>
      <c r="BH15" s="77">
        <f t="shared" si="12"/>
        <v>0</v>
      </c>
      <c r="BI15" s="77">
        <f t="shared" si="13"/>
        <v>0</v>
      </c>
      <c r="BJ15" s="77">
        <f t="shared" si="14"/>
        <v>2</v>
      </c>
      <c r="BK15" s="77">
        <f t="shared" si="15"/>
        <v>1</v>
      </c>
      <c r="BL15" s="77">
        <f t="shared" si="16"/>
        <v>0</v>
      </c>
      <c r="BM15" s="77">
        <f t="shared" si="17"/>
        <v>0</v>
      </c>
      <c r="BN15" s="77">
        <f t="shared" si="19"/>
        <v>-1.5</v>
      </c>
      <c r="BO15" s="77">
        <f t="shared" si="25"/>
        <v>0</v>
      </c>
      <c r="BP15" s="77">
        <f t="shared" si="26"/>
        <v>1</v>
      </c>
      <c r="BQ15" s="77">
        <f t="shared" si="27"/>
        <v>0</v>
      </c>
      <c r="BR15" s="77"/>
    </row>
    <row r="16" ht="47.25" customHeight="1" spans="1:70">
      <c r="A16" s="74"/>
      <c r="B16" s="74" t="s">
        <v>718</v>
      </c>
      <c r="C16" s="76"/>
      <c r="D16" s="110"/>
      <c r="E16" s="110" t="s">
        <v>350</v>
      </c>
      <c r="F16" s="110"/>
      <c r="G16" s="110"/>
      <c r="I16" s="110"/>
      <c r="J16" s="110" t="s">
        <v>350</v>
      </c>
      <c r="K16" s="110" t="s">
        <v>65</v>
      </c>
      <c r="L16" s="110"/>
      <c r="M16" s="110"/>
      <c r="N16" s="110"/>
      <c r="O16" s="110" t="s">
        <v>65</v>
      </c>
      <c r="P16" s="110"/>
      <c r="Q16" s="110"/>
      <c r="R16" s="110"/>
      <c r="S16" s="110" t="s">
        <v>65</v>
      </c>
      <c r="T16" s="110"/>
      <c r="V16" s="110"/>
      <c r="X16" s="110" t="s">
        <v>350</v>
      </c>
      <c r="Z16" s="110" t="s">
        <v>65</v>
      </c>
      <c r="AA16" s="110"/>
      <c r="AB16" s="110"/>
      <c r="AC16" s="110" t="s">
        <v>93</v>
      </c>
      <c r="AE16" s="110"/>
      <c r="AF16" s="110"/>
      <c r="AG16" s="110" t="s">
        <v>65</v>
      </c>
      <c r="AH16" s="110"/>
      <c r="AI16" s="74">
        <f t="shared" ref="AI16:AQ16" si="32">COUNTIF($D16:$AG16,AI$4)</f>
        <v>0</v>
      </c>
      <c r="AJ16" s="74">
        <f t="shared" si="32"/>
        <v>0</v>
      </c>
      <c r="AK16" s="74">
        <f t="shared" si="32"/>
        <v>0</v>
      </c>
      <c r="AL16" s="74">
        <f t="shared" si="32"/>
        <v>0</v>
      </c>
      <c r="AM16" s="74">
        <f t="shared" si="32"/>
        <v>0</v>
      </c>
      <c r="AN16" s="74">
        <f t="shared" si="32"/>
        <v>1</v>
      </c>
      <c r="AO16" s="74">
        <f t="shared" si="32"/>
        <v>5</v>
      </c>
      <c r="AP16" s="74">
        <f t="shared" si="32"/>
        <v>0</v>
      </c>
      <c r="AQ16" s="74">
        <f t="shared" si="32"/>
        <v>0</v>
      </c>
      <c r="AR16" s="76"/>
      <c r="AS16" s="76">
        <v>0.5</v>
      </c>
      <c r="AT16" s="74">
        <f>SUMPRODUCT(--(WEEKDAY(D$3:AH$3,2)&lt;5),--ISNUMBER(MATCH(D16:AH16,{"DM","CS1","CS2","SB1","AE","CS/B"},0)))</f>
        <v>1</v>
      </c>
      <c r="AU16" s="74"/>
      <c r="AV16" s="74">
        <f>SUMPRODUCT(--(WEEKDAY(D$3:AH$3,2)=5),--ISNUMBER(MATCH(D16:AH16,{"DM","CS1","CS2","SB1","AE","CS/B","WEEKEND OUTFIELD RESERVE"},0)))</f>
        <v>1</v>
      </c>
      <c r="AW16" s="74">
        <f>SUMPRODUCT(--(WEEKDAY(D$3:AH$3,2)&gt;5),--ISNUMBER(MATCH(D16:AH16,{"DM","CS1","CS2","SB1","AE","CS/B","WEEKEND OUTFIELD RESERVE"},0)))</f>
        <v>3</v>
      </c>
      <c r="AX16" s="74"/>
      <c r="AY16" s="74">
        <f t="shared" si="3"/>
        <v>8.5</v>
      </c>
      <c r="AZ16" s="74">
        <f t="shared" si="4"/>
        <v>5</v>
      </c>
      <c r="BA16" s="74">
        <f t="shared" si="5"/>
        <v>0</v>
      </c>
      <c r="BB16" s="76">
        <f t="shared" si="6"/>
        <v>8.5</v>
      </c>
      <c r="BC16" s="74">
        <f t="shared" si="7"/>
        <v>0</v>
      </c>
      <c r="BD16" s="74">
        <f t="shared" si="8"/>
        <v>0</v>
      </c>
      <c r="BE16" s="74">
        <f t="shared" si="9"/>
        <v>0</v>
      </c>
      <c r="BF16" s="74">
        <f t="shared" si="10"/>
        <v>0</v>
      </c>
      <c r="BG16" s="74">
        <f t="shared" si="11"/>
        <v>0</v>
      </c>
      <c r="BH16" s="74">
        <f t="shared" si="12"/>
        <v>0</v>
      </c>
      <c r="BI16" s="74">
        <f t="shared" si="13"/>
        <v>0</v>
      </c>
      <c r="BJ16" s="74">
        <f t="shared" si="14"/>
        <v>0</v>
      </c>
      <c r="BK16" s="74">
        <f t="shared" si="15"/>
        <v>0</v>
      </c>
      <c r="BL16" s="74">
        <f t="shared" si="16"/>
        <v>0</v>
      </c>
      <c r="BM16" s="74">
        <f t="shared" si="17"/>
        <v>0</v>
      </c>
      <c r="BN16" s="74">
        <f t="shared" si="19"/>
        <v>0.5</v>
      </c>
      <c r="BO16" s="74">
        <f t="shared" si="25"/>
        <v>0</v>
      </c>
      <c r="BP16" s="74">
        <f t="shared" si="26"/>
        <v>3</v>
      </c>
      <c r="BQ16" s="74">
        <f t="shared" si="27"/>
        <v>0</v>
      </c>
      <c r="BR16" s="74"/>
    </row>
    <row r="17" ht="45" customHeight="1" spans="1:70">
      <c r="A17" s="77"/>
      <c r="B17" s="76" t="s">
        <v>592</v>
      </c>
      <c r="C17" s="76"/>
      <c r="D17" s="107"/>
      <c r="E17" s="107"/>
      <c r="F17" s="107" t="s">
        <v>56</v>
      </c>
      <c r="G17" s="107"/>
      <c r="H17" s="86" t="s">
        <v>93</v>
      </c>
      <c r="I17" s="107"/>
      <c r="J17" s="107"/>
      <c r="K17" s="107"/>
      <c r="L17" s="141"/>
      <c r="M17" s="107" t="s">
        <v>350</v>
      </c>
      <c r="N17" s="107" t="s">
        <v>566</v>
      </c>
      <c r="O17" s="107"/>
      <c r="P17" s="107" t="s">
        <v>59</v>
      </c>
      <c r="Q17" s="107"/>
      <c r="R17" s="107"/>
      <c r="S17" s="107" t="s">
        <v>59</v>
      </c>
      <c r="T17" s="107"/>
      <c r="U17" s="107" t="s">
        <v>57</v>
      </c>
      <c r="V17" s="107"/>
      <c r="W17" s="107" t="s">
        <v>56</v>
      </c>
      <c r="X17" s="107"/>
      <c r="Y17" s="107" t="s">
        <v>58</v>
      </c>
      <c r="Z17" s="107"/>
      <c r="AA17" s="107"/>
      <c r="AB17" s="107"/>
      <c r="AC17" s="107" t="s">
        <v>59</v>
      </c>
      <c r="AD17" s="107"/>
      <c r="AE17" s="107" t="s">
        <v>350</v>
      </c>
      <c r="AF17" s="107"/>
      <c r="AG17" s="107"/>
      <c r="AH17" s="107" t="s">
        <v>566</v>
      </c>
      <c r="AI17" s="77">
        <f t="shared" ref="AI17:AQ17" si="33">COUNTIF($D17:$AG17,AI$4)</f>
        <v>1</v>
      </c>
      <c r="AJ17" s="77">
        <f t="shared" si="33"/>
        <v>2</v>
      </c>
      <c r="AK17" s="77">
        <f t="shared" si="33"/>
        <v>3</v>
      </c>
      <c r="AL17" s="77">
        <f t="shared" si="33"/>
        <v>1</v>
      </c>
      <c r="AM17" s="77">
        <f t="shared" si="33"/>
        <v>1</v>
      </c>
      <c r="AN17" s="77">
        <f t="shared" si="33"/>
        <v>1</v>
      </c>
      <c r="AO17" s="77">
        <f t="shared" si="33"/>
        <v>0</v>
      </c>
      <c r="AP17" s="77">
        <f t="shared" si="33"/>
        <v>0</v>
      </c>
      <c r="AQ17" s="77">
        <f t="shared" si="33"/>
        <v>0</v>
      </c>
      <c r="AR17" s="76"/>
      <c r="AS17" s="76"/>
      <c r="AT17" s="77">
        <f>SUMPRODUCT(--(WEEKDAY(D$3:AH$3,2)&lt;5),--ISNUMBER(MATCH(D17:AH17,{"DM","CS1","CS2","SB1","AE","CS/B"},0)))</f>
        <v>5</v>
      </c>
      <c r="AU17" s="77"/>
      <c r="AV17" s="77">
        <f>SUMPRODUCT(--(WEEKDAY(D$3:AH$3,2)=5),--ISNUMBER(MATCH(D17:AH17,{"DM","CS1","CS2","SB1","AE","CS/B","WEEKEND OUTFIELD RESERVE"},0)))</f>
        <v>1</v>
      </c>
      <c r="AW17" s="77">
        <f>SUMPRODUCT(--(WEEKDAY(D$3:AH$3,2)&gt;5),--ISNUMBER(MATCH(D17:AH17,{"DM","CS1","CS2","SB1","AE","CS/B","WEEKEND OUTFIELD RESERVE"},0)))</f>
        <v>3</v>
      </c>
      <c r="AX17" s="77"/>
      <c r="AY17" s="77">
        <f t="shared" si="3"/>
        <v>13</v>
      </c>
      <c r="AZ17" s="77">
        <f t="shared" si="4"/>
        <v>9</v>
      </c>
      <c r="BA17" s="77">
        <f t="shared" si="5"/>
        <v>0</v>
      </c>
      <c r="BB17" s="76">
        <f t="shared" si="6"/>
        <v>13</v>
      </c>
      <c r="BC17" s="77">
        <f t="shared" si="7"/>
        <v>0</v>
      </c>
      <c r="BD17" s="77">
        <f t="shared" si="8"/>
        <v>0</v>
      </c>
      <c r="BE17" s="77">
        <f t="shared" si="9"/>
        <v>0</v>
      </c>
      <c r="BF17" s="77">
        <f t="shared" si="10"/>
        <v>0</v>
      </c>
      <c r="BG17" s="77">
        <f t="shared" si="11"/>
        <v>0</v>
      </c>
      <c r="BH17" s="77">
        <f t="shared" si="12"/>
        <v>0</v>
      </c>
      <c r="BI17" s="77">
        <f t="shared" si="13"/>
        <v>0</v>
      </c>
      <c r="BJ17" s="77">
        <f t="shared" si="14"/>
        <v>0</v>
      </c>
      <c r="BK17" s="77">
        <f t="shared" si="15"/>
        <v>0</v>
      </c>
      <c r="BL17" s="77">
        <f t="shared" si="16"/>
        <v>0</v>
      </c>
      <c r="BM17" s="77">
        <f t="shared" si="17"/>
        <v>0</v>
      </c>
      <c r="BN17" s="77">
        <f t="shared" ref="BN17:BN42" si="34">(BB17-10)</f>
        <v>3</v>
      </c>
      <c r="BO17" s="77">
        <f t="shared" si="25"/>
        <v>0</v>
      </c>
      <c r="BP17" s="77">
        <f t="shared" si="26"/>
        <v>1</v>
      </c>
      <c r="BQ17" s="77">
        <f t="shared" si="27"/>
        <v>0</v>
      </c>
      <c r="BR17" s="77"/>
    </row>
    <row r="18" ht="51" customHeight="1" spans="1:70">
      <c r="A18" s="74"/>
      <c r="B18" s="76" t="s">
        <v>598</v>
      </c>
      <c r="C18" s="76"/>
      <c r="D18" s="110"/>
      <c r="E18" s="110"/>
      <c r="F18" s="110"/>
      <c r="G18" s="110"/>
      <c r="H18" s="110" t="s">
        <v>56</v>
      </c>
      <c r="I18" s="110"/>
      <c r="J18" s="110"/>
      <c r="K18" s="110" t="s">
        <v>57</v>
      </c>
      <c r="L18" s="110"/>
      <c r="M18" s="110"/>
      <c r="N18" s="110" t="s">
        <v>573</v>
      </c>
      <c r="O18" s="110"/>
      <c r="P18" s="110" t="s">
        <v>57</v>
      </c>
      <c r="Q18" s="110"/>
      <c r="R18" s="110"/>
      <c r="S18" s="110"/>
      <c r="T18" s="110"/>
      <c r="U18" s="110"/>
      <c r="V18" s="110" t="s">
        <v>774</v>
      </c>
      <c r="W18" s="110"/>
      <c r="X18" s="110"/>
      <c r="Y18" s="110" t="s">
        <v>59</v>
      </c>
      <c r="Z18" s="110"/>
      <c r="AA18" s="110"/>
      <c r="AB18" s="110" t="s">
        <v>57</v>
      </c>
      <c r="AE18" s="110"/>
      <c r="AF18" s="144" t="s">
        <v>56</v>
      </c>
      <c r="AG18" s="110"/>
      <c r="AH18" s="110"/>
      <c r="AI18" s="74">
        <f t="shared" ref="AI18:AQ18" si="35">COUNTIF($D18:$AG18,AI$4)</f>
        <v>3</v>
      </c>
      <c r="AJ18" s="74">
        <f t="shared" si="35"/>
        <v>2</v>
      </c>
      <c r="AK18" s="74">
        <f t="shared" si="35"/>
        <v>1</v>
      </c>
      <c r="AL18" s="74">
        <f t="shared" si="35"/>
        <v>0</v>
      </c>
      <c r="AM18" s="74">
        <f t="shared" si="35"/>
        <v>0</v>
      </c>
      <c r="AN18" s="74">
        <f t="shared" si="35"/>
        <v>0</v>
      </c>
      <c r="AO18" s="74">
        <f t="shared" si="35"/>
        <v>0</v>
      </c>
      <c r="AP18" s="74">
        <f t="shared" si="35"/>
        <v>0</v>
      </c>
      <c r="AQ18" s="74">
        <f t="shared" si="35"/>
        <v>0</v>
      </c>
      <c r="AR18" s="76"/>
      <c r="AS18" s="76"/>
      <c r="AT18" s="74">
        <f>SUMPRODUCT(--(WEEKDAY(D$3:AH$3,2)&lt;5),--ISNUMBER(MATCH(D18:AH18,{"DM","CS1","CS2","SB1","AE","CS/B"},0)))</f>
        <v>3</v>
      </c>
      <c r="AU18" s="74"/>
      <c r="AV18" s="74">
        <f>SUMPRODUCT(--(WEEKDAY(D$3:AH$3,2)=5),--ISNUMBER(MATCH(D18:AH18,{"DM","CS1","CS2","SB1","AE","CS/B","WEEKEND OUTFIELD RESERVE"},0)))</f>
        <v>3</v>
      </c>
      <c r="AW18" s="74">
        <f>SUMPRODUCT(--(WEEKDAY(D$3:AH$3,2)&gt;5),--ISNUMBER(MATCH(D18:AH18,{"DM","CS1","CS2","SB1","AE","CS/B","WEEKEND OUTFIELD RESERVE"},0)))</f>
        <v>0</v>
      </c>
      <c r="AX18" s="74"/>
      <c r="AY18" s="74">
        <f t="shared" si="3"/>
        <v>7.5</v>
      </c>
      <c r="AZ18" s="74">
        <f t="shared" si="4"/>
        <v>6</v>
      </c>
      <c r="BA18" s="74">
        <f t="shared" si="5"/>
        <v>1</v>
      </c>
      <c r="BB18" s="76">
        <f t="shared" si="6"/>
        <v>8.5</v>
      </c>
      <c r="BC18" s="74">
        <f t="shared" si="7"/>
        <v>1</v>
      </c>
      <c r="BD18" s="74">
        <f t="shared" si="8"/>
        <v>0</v>
      </c>
      <c r="BE18" s="74">
        <f t="shared" si="9"/>
        <v>0</v>
      </c>
      <c r="BF18" s="74">
        <f t="shared" si="10"/>
        <v>1</v>
      </c>
      <c r="BG18" s="74">
        <f t="shared" si="11"/>
        <v>1</v>
      </c>
      <c r="BH18" s="74">
        <f t="shared" si="12"/>
        <v>0</v>
      </c>
      <c r="BI18" s="74">
        <f t="shared" si="13"/>
        <v>0</v>
      </c>
      <c r="BJ18" s="74">
        <f t="shared" si="14"/>
        <v>0</v>
      </c>
      <c r="BK18" s="74">
        <f t="shared" si="15"/>
        <v>0</v>
      </c>
      <c r="BL18" s="74">
        <f t="shared" si="16"/>
        <v>0</v>
      </c>
      <c r="BM18" s="74">
        <f t="shared" si="17"/>
        <v>0</v>
      </c>
      <c r="BN18" s="74">
        <f t="shared" si="34"/>
        <v>-1.5</v>
      </c>
      <c r="BO18" s="74">
        <f t="shared" si="25"/>
        <v>0</v>
      </c>
      <c r="BP18" s="74">
        <f t="shared" si="26"/>
        <v>0</v>
      </c>
      <c r="BQ18" s="74">
        <f t="shared" si="27"/>
        <v>0</v>
      </c>
      <c r="BR18" s="74"/>
    </row>
    <row r="19" ht="19.5" customHeight="1" spans="1:70">
      <c r="A19" s="77"/>
      <c r="B19" s="76" t="s">
        <v>442</v>
      </c>
      <c r="C19" s="146"/>
      <c r="D19" s="107"/>
      <c r="E19" s="107"/>
      <c r="F19" s="107"/>
      <c r="G19" s="107"/>
      <c r="H19" s="107" t="s">
        <v>775</v>
      </c>
      <c r="I19" s="107"/>
      <c r="J19" s="107" t="s">
        <v>57</v>
      </c>
      <c r="K19" s="107"/>
      <c r="L19" s="107"/>
      <c r="M19" s="107" t="s">
        <v>566</v>
      </c>
      <c r="N19" s="107"/>
      <c r="O19" s="107" t="s">
        <v>454</v>
      </c>
      <c r="P19" s="107"/>
      <c r="Q19" s="107" t="s">
        <v>776</v>
      </c>
      <c r="S19" s="107"/>
      <c r="T19" s="107"/>
      <c r="U19" s="107"/>
      <c r="V19" s="107" t="s">
        <v>57</v>
      </c>
      <c r="W19" s="107"/>
      <c r="X19" s="107" t="s">
        <v>777</v>
      </c>
      <c r="Y19" s="107" t="s">
        <v>778</v>
      </c>
      <c r="Z19" s="141"/>
      <c r="AA19" s="107"/>
      <c r="AB19" s="107"/>
      <c r="AC19" s="107"/>
      <c r="AD19" s="107"/>
      <c r="AE19" s="107" t="s">
        <v>446</v>
      </c>
      <c r="AF19" s="107" t="s">
        <v>446</v>
      </c>
      <c r="AG19" s="107"/>
      <c r="AH19" s="107"/>
      <c r="AI19" s="77">
        <f t="shared" ref="AI19:AQ19" si="36">COUNTIF($D19:$AG19,AI$4)</f>
        <v>2</v>
      </c>
      <c r="AJ19" s="77">
        <f t="shared" si="36"/>
        <v>0</v>
      </c>
      <c r="AK19" s="77">
        <f t="shared" si="36"/>
        <v>0</v>
      </c>
      <c r="AL19" s="77">
        <f t="shared" si="36"/>
        <v>1</v>
      </c>
      <c r="AM19" s="77">
        <f t="shared" si="36"/>
        <v>0</v>
      </c>
      <c r="AN19" s="77">
        <f t="shared" si="36"/>
        <v>0</v>
      </c>
      <c r="AO19" s="77">
        <f t="shared" si="36"/>
        <v>0</v>
      </c>
      <c r="AP19" s="77">
        <f t="shared" si="36"/>
        <v>0</v>
      </c>
      <c r="AQ19" s="77">
        <f t="shared" si="36"/>
        <v>0</v>
      </c>
      <c r="AR19" s="76"/>
      <c r="AS19" s="76"/>
      <c r="AT19" s="77">
        <f>SUMPRODUCT(--(WEEKDAY(D$3:AH$3,2)&lt;5),--ISNUMBER(MATCH(D19:AH19,{"DM","CS1","CS2","SB1","AE","CS/B"},0)))</f>
        <v>2</v>
      </c>
      <c r="AU19" s="77"/>
      <c r="AV19" s="77">
        <f>SUMPRODUCT(--(WEEKDAY(D$3:AH$3,2)=5),--ISNUMBER(MATCH(D19:AH19,{"DM","CS1","CS2","SB1","AE","CS/B","WEEKEND OUTFIELD RESERVE"},0)))</f>
        <v>0</v>
      </c>
      <c r="AW19" s="77">
        <f>SUMPRODUCT(--(WEEKDAY(D$3:AH$3,2)&gt;5),--ISNUMBER(MATCH(D19:AH19,{"DM","CS1","CS2","SB1","AE","CS/B","WEEKEND OUTFIELD RESERVE"},0)))</f>
        <v>1</v>
      </c>
      <c r="AX19" s="77"/>
      <c r="AY19" s="77">
        <f t="shared" si="3"/>
        <v>4</v>
      </c>
      <c r="AZ19" s="77">
        <f t="shared" si="4"/>
        <v>3</v>
      </c>
      <c r="BA19" s="77">
        <f t="shared" si="5"/>
        <v>5</v>
      </c>
      <c r="BB19" s="76">
        <f t="shared" si="6"/>
        <v>8</v>
      </c>
      <c r="BC19" s="77">
        <f t="shared" si="7"/>
        <v>4</v>
      </c>
      <c r="BD19" s="77">
        <f t="shared" si="8"/>
        <v>1</v>
      </c>
      <c r="BE19" s="77">
        <f t="shared" si="9"/>
        <v>1.5</v>
      </c>
      <c r="BF19" s="77">
        <f t="shared" si="10"/>
        <v>1</v>
      </c>
      <c r="BG19" s="77">
        <f t="shared" si="11"/>
        <v>1</v>
      </c>
      <c r="BH19" s="77">
        <f t="shared" si="12"/>
        <v>1</v>
      </c>
      <c r="BI19" s="77">
        <f t="shared" si="13"/>
        <v>0.5</v>
      </c>
      <c r="BJ19" s="77">
        <f t="shared" si="14"/>
        <v>2</v>
      </c>
      <c r="BK19" s="77">
        <f t="shared" si="15"/>
        <v>1</v>
      </c>
      <c r="BL19" s="77">
        <f t="shared" si="16"/>
        <v>0</v>
      </c>
      <c r="BM19" s="77">
        <f t="shared" si="17"/>
        <v>0</v>
      </c>
      <c r="BN19" s="77">
        <f t="shared" si="34"/>
        <v>-2</v>
      </c>
      <c r="BO19" s="77">
        <f t="shared" si="25"/>
        <v>0</v>
      </c>
      <c r="BP19" s="77">
        <f t="shared" si="26"/>
        <v>0</v>
      </c>
      <c r="BQ19" s="77">
        <f t="shared" si="27"/>
        <v>0</v>
      </c>
      <c r="BR19" s="77"/>
    </row>
    <row r="20" ht="90" customHeight="1" spans="1:70">
      <c r="A20" s="74"/>
      <c r="B20" s="76" t="s">
        <v>594</v>
      </c>
      <c r="C20" s="76"/>
      <c r="D20" s="110"/>
      <c r="E20" s="110"/>
      <c r="F20" s="110"/>
      <c r="G20" s="110" t="s">
        <v>57</v>
      </c>
      <c r="H20" s="110"/>
      <c r="I20" s="110" t="s">
        <v>573</v>
      </c>
      <c r="K20" s="110" t="s">
        <v>779</v>
      </c>
      <c r="L20" s="110" t="s">
        <v>56</v>
      </c>
      <c r="M20" s="110"/>
      <c r="P20" s="110"/>
      <c r="Q20" s="110"/>
      <c r="R20" s="110" t="s">
        <v>57</v>
      </c>
      <c r="S20" s="110"/>
      <c r="T20" s="110" t="s">
        <v>566</v>
      </c>
      <c r="U20" s="110"/>
      <c r="V20" s="144" t="s">
        <v>71</v>
      </c>
      <c r="W20" s="110" t="s">
        <v>71</v>
      </c>
      <c r="X20" s="144" t="s">
        <v>71</v>
      </c>
      <c r="Y20" s="110" t="s">
        <v>573</v>
      </c>
      <c r="Z20" s="110"/>
      <c r="AA20" s="110"/>
      <c r="AB20" s="144" t="s">
        <v>769</v>
      </c>
      <c r="AC20" s="110" t="s">
        <v>573</v>
      </c>
      <c r="AE20" s="110"/>
      <c r="AF20" s="110"/>
      <c r="AG20" s="110" t="s">
        <v>59</v>
      </c>
      <c r="AH20" s="110"/>
      <c r="AI20" s="74">
        <f t="shared" ref="AI20:AQ20" si="37">COUNTIF($D20:$AG20,AI$4)</f>
        <v>2</v>
      </c>
      <c r="AJ20" s="74">
        <f t="shared" si="37"/>
        <v>1</v>
      </c>
      <c r="AK20" s="74">
        <f t="shared" si="37"/>
        <v>1</v>
      </c>
      <c r="AL20" s="74">
        <f t="shared" si="37"/>
        <v>1</v>
      </c>
      <c r="AM20" s="74">
        <f t="shared" si="37"/>
        <v>0</v>
      </c>
      <c r="AN20" s="74">
        <f t="shared" si="37"/>
        <v>0</v>
      </c>
      <c r="AO20" s="74">
        <f t="shared" si="37"/>
        <v>0</v>
      </c>
      <c r="AP20" s="74">
        <f t="shared" si="37"/>
        <v>0</v>
      </c>
      <c r="AQ20" s="74">
        <f t="shared" si="37"/>
        <v>0</v>
      </c>
      <c r="AR20" s="76"/>
      <c r="AS20" s="76">
        <v>0.5</v>
      </c>
      <c r="AT20" s="74">
        <f>SUMPRODUCT(--(WEEKDAY(D$3:AH$3,2)&lt;5),--ISNUMBER(MATCH(D20:AH20,{"DM","CS1","CS2","SB1","AE","CS/B"},0)))</f>
        <v>1</v>
      </c>
      <c r="AU20" s="74"/>
      <c r="AV20" s="74">
        <f>SUMPRODUCT(--(WEEKDAY(D$3:AH$3,2)=5),--ISNUMBER(MATCH(D20:AH20,{"DM","CS1","CS2","SB1","AE","CS/B","WEEKEND OUTFIELD RESERVE"},0)))</f>
        <v>1</v>
      </c>
      <c r="AW20" s="74">
        <f>SUMPRODUCT(--(WEEKDAY(D$3:AH$3,2)&gt;5),--ISNUMBER(MATCH(D20:AH20,{"DM","CS1","CS2","SB1","AE","CS/B","WEEKEND OUTFIELD RESERVE"},0)))</f>
        <v>3</v>
      </c>
      <c r="AX20" s="74"/>
      <c r="AY20" s="74">
        <f t="shared" si="3"/>
        <v>8</v>
      </c>
      <c r="AZ20" s="74">
        <f t="shared" si="4"/>
        <v>5</v>
      </c>
      <c r="BA20" s="74">
        <f t="shared" si="5"/>
        <v>1</v>
      </c>
      <c r="BB20" s="76">
        <f t="shared" si="6"/>
        <v>9.5</v>
      </c>
      <c r="BC20" s="74">
        <f t="shared" si="7"/>
        <v>1.5</v>
      </c>
      <c r="BD20" s="74">
        <f t="shared" si="8"/>
        <v>1</v>
      </c>
      <c r="BE20" s="74">
        <f t="shared" si="9"/>
        <v>1.5</v>
      </c>
      <c r="BF20" s="74">
        <f t="shared" si="10"/>
        <v>0</v>
      </c>
      <c r="BG20" s="74">
        <f t="shared" si="11"/>
        <v>0</v>
      </c>
      <c r="BH20" s="74">
        <f t="shared" si="12"/>
        <v>0</v>
      </c>
      <c r="BI20" s="74">
        <f t="shared" si="13"/>
        <v>0</v>
      </c>
      <c r="BJ20" s="74">
        <f t="shared" si="14"/>
        <v>0</v>
      </c>
      <c r="BK20" s="74">
        <f t="shared" si="15"/>
        <v>0</v>
      </c>
      <c r="BL20" s="74">
        <f t="shared" si="16"/>
        <v>0</v>
      </c>
      <c r="BM20" s="74">
        <f t="shared" si="17"/>
        <v>0</v>
      </c>
      <c r="BN20" s="74">
        <f t="shared" si="34"/>
        <v>-0.5</v>
      </c>
      <c r="BO20" s="74">
        <f t="shared" si="25"/>
        <v>0</v>
      </c>
      <c r="BP20" s="74">
        <f t="shared" si="26"/>
        <v>0</v>
      </c>
      <c r="BQ20" s="74">
        <f t="shared" si="27"/>
        <v>0</v>
      </c>
      <c r="BR20" s="74"/>
    </row>
    <row r="21" ht="53.25" hidden="1" customHeight="1" spans="1:70">
      <c r="A21" s="77"/>
      <c r="B21" s="76" t="s">
        <v>596</v>
      </c>
      <c r="C21" s="76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P21" s="107"/>
      <c r="Q21" s="107"/>
      <c r="R21" s="107" t="s">
        <v>724</v>
      </c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77">
        <f t="shared" ref="AI21:AQ21" si="38">COUNTIF($D21:$AG21,AI$4)</f>
        <v>0</v>
      </c>
      <c r="AJ21" s="77">
        <f t="shared" si="38"/>
        <v>0</v>
      </c>
      <c r="AK21" s="77">
        <f t="shared" si="38"/>
        <v>0</v>
      </c>
      <c r="AL21" s="77">
        <f t="shared" si="38"/>
        <v>0</v>
      </c>
      <c r="AM21" s="77">
        <f t="shared" si="38"/>
        <v>0</v>
      </c>
      <c r="AN21" s="77">
        <f t="shared" si="38"/>
        <v>0</v>
      </c>
      <c r="AO21" s="77">
        <f t="shared" si="38"/>
        <v>0</v>
      </c>
      <c r="AP21" s="77">
        <f t="shared" si="38"/>
        <v>0</v>
      </c>
      <c r="AQ21" s="77">
        <f t="shared" si="38"/>
        <v>0</v>
      </c>
      <c r="AR21" s="76">
        <v>-6</v>
      </c>
      <c r="AS21" s="76">
        <v>5.5</v>
      </c>
      <c r="AT21" s="77">
        <f>SUMPRODUCT(--(WEEKDAY(D$3:AH$3,2)&lt;5),--ISNUMBER(MATCH(D21:AH21,{"DM","CS1","CS2","SB1","AE","CS/B"},0)))</f>
        <v>0</v>
      </c>
      <c r="AU21" s="77"/>
      <c r="AV21" s="77">
        <f>SUMPRODUCT(--(WEEKDAY(D$3:AH$3,2)=5),--ISNUMBER(MATCH(D21:AH21,{"DM","CS1","CS2","SB1","AE","CS/B","WEEKEND OUTFIELD RESERVE"},0)))</f>
        <v>0</v>
      </c>
      <c r="AW21" s="77">
        <f>SUMPRODUCT(--(WEEKDAY(D$3:AH$3,2)&gt;5),--ISNUMBER(MATCH(D21:AH21,{"DM","CS1","CS2","SB1","AE","CS/B","WEEKEND OUTFIELD RESERVE"},0)))</f>
        <v>0</v>
      </c>
      <c r="AX21" s="77"/>
      <c r="AY21" s="77">
        <f t="shared" si="3"/>
        <v>-11.5</v>
      </c>
      <c r="AZ21" s="77">
        <f t="shared" si="4"/>
        <v>0</v>
      </c>
      <c r="BA21" s="77">
        <f t="shared" si="5"/>
        <v>0</v>
      </c>
      <c r="BB21" s="76">
        <f t="shared" si="6"/>
        <v>-11.5</v>
      </c>
      <c r="BC21" s="77">
        <f t="shared" si="7"/>
        <v>0</v>
      </c>
      <c r="BD21" s="77">
        <f t="shared" si="8"/>
        <v>0</v>
      </c>
      <c r="BE21" s="77">
        <f t="shared" si="9"/>
        <v>0</v>
      </c>
      <c r="BF21" s="77">
        <f t="shared" si="10"/>
        <v>0</v>
      </c>
      <c r="BG21" s="77">
        <f t="shared" si="11"/>
        <v>0</v>
      </c>
      <c r="BH21" s="77">
        <f t="shared" si="12"/>
        <v>0</v>
      </c>
      <c r="BI21" s="77">
        <f t="shared" si="13"/>
        <v>0</v>
      </c>
      <c r="BJ21" s="77">
        <f t="shared" si="14"/>
        <v>0</v>
      </c>
      <c r="BK21" s="77">
        <f t="shared" si="15"/>
        <v>0</v>
      </c>
      <c r="BL21" s="77">
        <f t="shared" si="16"/>
        <v>0</v>
      </c>
      <c r="BM21" s="77">
        <f t="shared" si="17"/>
        <v>0</v>
      </c>
      <c r="BN21" s="77">
        <f t="shared" si="34"/>
        <v>-21.5</v>
      </c>
      <c r="BO21" s="77">
        <f t="shared" si="25"/>
        <v>0</v>
      </c>
      <c r="BP21" s="77">
        <f t="shared" si="26"/>
        <v>0</v>
      </c>
      <c r="BQ21" s="77">
        <f t="shared" si="27"/>
        <v>0</v>
      </c>
      <c r="BR21" s="77"/>
    </row>
    <row r="22" ht="68.25" customHeight="1" spans="1:70">
      <c r="A22" s="74"/>
      <c r="B22" s="76" t="s">
        <v>725</v>
      </c>
      <c r="C22" s="76"/>
      <c r="D22" s="110"/>
      <c r="E22" s="110" t="s">
        <v>56</v>
      </c>
      <c r="F22" s="110"/>
      <c r="G22" s="110" t="s">
        <v>573</v>
      </c>
      <c r="H22" s="110"/>
      <c r="I22" s="110" t="s">
        <v>57</v>
      </c>
      <c r="J22" s="144" t="s">
        <v>573</v>
      </c>
      <c r="K22" s="110"/>
      <c r="L22" s="110"/>
      <c r="M22" s="110"/>
      <c r="N22" s="110" t="s">
        <v>93</v>
      </c>
      <c r="O22" s="144" t="s">
        <v>57</v>
      </c>
      <c r="P22" s="110"/>
      <c r="Q22" s="110" t="s">
        <v>57</v>
      </c>
      <c r="R22" s="110" t="s">
        <v>55</v>
      </c>
      <c r="S22" s="110"/>
      <c r="T22" s="110"/>
      <c r="V22" s="110"/>
      <c r="W22" s="110" t="s">
        <v>780</v>
      </c>
      <c r="X22" s="110"/>
      <c r="Y22" s="110" t="s">
        <v>57</v>
      </c>
      <c r="Z22" s="110"/>
      <c r="AA22" s="110" t="s">
        <v>350</v>
      </c>
      <c r="AB22" s="110" t="s">
        <v>769</v>
      </c>
      <c r="AD22" s="110"/>
      <c r="AE22" s="110" t="s">
        <v>57</v>
      </c>
      <c r="AF22" s="110"/>
      <c r="AG22" s="147"/>
      <c r="AH22" s="110" t="s">
        <v>56</v>
      </c>
      <c r="AI22" s="74">
        <f t="shared" ref="AI22:AQ22" si="39">COUNTIF($D22:$AG22,AI$4)</f>
        <v>5</v>
      </c>
      <c r="AJ22" s="74">
        <f t="shared" si="39"/>
        <v>1</v>
      </c>
      <c r="AK22" s="74">
        <f t="shared" si="39"/>
        <v>0</v>
      </c>
      <c r="AL22" s="74">
        <f t="shared" si="39"/>
        <v>0</v>
      </c>
      <c r="AM22" s="74">
        <f t="shared" si="39"/>
        <v>0</v>
      </c>
      <c r="AN22" s="74">
        <f t="shared" si="39"/>
        <v>1</v>
      </c>
      <c r="AO22" s="74">
        <f t="shared" si="39"/>
        <v>0</v>
      </c>
      <c r="AP22" s="74">
        <f t="shared" si="39"/>
        <v>0</v>
      </c>
      <c r="AQ22" s="74">
        <f t="shared" si="39"/>
        <v>0</v>
      </c>
      <c r="AR22" s="76"/>
      <c r="AS22" s="76">
        <v>0.5</v>
      </c>
      <c r="AT22" s="74">
        <f>SUMPRODUCT(--(WEEKDAY(D$3:AH$3,2)&lt;5),--ISNUMBER(MATCH(D22:AH22,{"DM","CS1","CS2","SB1","AE","CS/B"},0)))</f>
        <v>4</v>
      </c>
      <c r="AU22" s="74"/>
      <c r="AV22" s="74">
        <f>SUMPRODUCT(--(WEEKDAY(D$3:AH$3,2)=5),--ISNUMBER(MATCH(D22:AH22,{"DM","CS1","CS2","SB1","AE","CS/B","WEEKEND OUTFIELD RESERVE"},0)))</f>
        <v>1</v>
      </c>
      <c r="AW22" s="74">
        <f>SUMPRODUCT(--(WEEKDAY(D$3:AH$3,2)&gt;5),--ISNUMBER(MATCH(D22:AH22,{"DM","CS1","CS2","SB1","AE","CS/B","WEEKEND OUTFIELD RESERVE"},0)))</f>
        <v>2</v>
      </c>
      <c r="AX22" s="74"/>
      <c r="AY22" s="74">
        <f t="shared" si="3"/>
        <v>9.5</v>
      </c>
      <c r="AZ22" s="74">
        <f t="shared" si="4"/>
        <v>7</v>
      </c>
      <c r="BA22" s="74">
        <f t="shared" si="5"/>
        <v>1</v>
      </c>
      <c r="BB22" s="76">
        <f t="shared" si="6"/>
        <v>10.5</v>
      </c>
      <c r="BC22" s="74">
        <f t="shared" si="7"/>
        <v>1</v>
      </c>
      <c r="BD22" s="74">
        <f t="shared" si="8"/>
        <v>0</v>
      </c>
      <c r="BE22" s="74">
        <f t="shared" si="9"/>
        <v>0</v>
      </c>
      <c r="BF22" s="74">
        <f t="shared" si="10"/>
        <v>1</v>
      </c>
      <c r="BG22" s="74">
        <f t="shared" si="11"/>
        <v>1</v>
      </c>
      <c r="BH22" s="74">
        <f t="shared" si="12"/>
        <v>0</v>
      </c>
      <c r="BI22" s="74">
        <f t="shared" si="13"/>
        <v>0</v>
      </c>
      <c r="BJ22" s="74">
        <f t="shared" si="14"/>
        <v>0</v>
      </c>
      <c r="BK22" s="74">
        <f t="shared" si="15"/>
        <v>0</v>
      </c>
      <c r="BL22" s="74">
        <f t="shared" si="16"/>
        <v>0</v>
      </c>
      <c r="BM22" s="74">
        <f t="shared" si="17"/>
        <v>0</v>
      </c>
      <c r="BN22" s="74">
        <f t="shared" si="34"/>
        <v>0.5</v>
      </c>
      <c r="BO22" s="74">
        <f t="shared" si="25"/>
        <v>0</v>
      </c>
      <c r="BP22" s="74">
        <f t="shared" si="26"/>
        <v>1</v>
      </c>
      <c r="BQ22" s="74">
        <f t="shared" si="27"/>
        <v>1</v>
      </c>
      <c r="BR22" s="74"/>
    </row>
    <row r="23" ht="75.75" hidden="1" customHeight="1" spans="1:70">
      <c r="A23" s="77"/>
      <c r="B23" s="76" t="s">
        <v>604</v>
      </c>
      <c r="C23" s="76"/>
      <c r="D23" s="107"/>
      <c r="E23" s="7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77">
        <f t="shared" ref="AI23:AQ23" si="40">COUNTIF($D23:$AG23,AI$4)</f>
        <v>0</v>
      </c>
      <c r="AJ23" s="77">
        <f t="shared" si="40"/>
        <v>0</v>
      </c>
      <c r="AK23" s="77">
        <f t="shared" si="40"/>
        <v>0</v>
      </c>
      <c r="AL23" s="77">
        <f t="shared" si="40"/>
        <v>0</v>
      </c>
      <c r="AM23" s="77">
        <f t="shared" si="40"/>
        <v>0</v>
      </c>
      <c r="AN23" s="77">
        <f t="shared" si="40"/>
        <v>0</v>
      </c>
      <c r="AO23" s="77">
        <f t="shared" si="40"/>
        <v>0</v>
      </c>
      <c r="AP23" s="77">
        <f t="shared" si="40"/>
        <v>0</v>
      </c>
      <c r="AQ23" s="77">
        <f t="shared" si="40"/>
        <v>0</v>
      </c>
      <c r="AR23" s="76"/>
      <c r="AS23" s="76">
        <v>5.5</v>
      </c>
      <c r="AT23" s="77">
        <f>SUMPRODUCT(--(WEEKDAY(D$3:AH$3,2)&lt;5),--ISNUMBER(MATCH(D23:AH23,{"DM","CS1","CS2","SB1","AE","CS/B"},0)))</f>
        <v>0</v>
      </c>
      <c r="AU23" s="77"/>
      <c r="AV23" s="77">
        <f>SUMPRODUCT(--(WEEKDAY(D$3:AH$3,2)=5),--ISNUMBER(MATCH(D23:AH23,{"DM","CS1","CS2","SB1","AE","CS/B","WEEKEND OUTFIELD RESERVE"},0)))</f>
        <v>0</v>
      </c>
      <c r="AW23" s="77">
        <f>SUMPRODUCT(--(WEEKDAY(D$3:AH$3,2)&gt;5),--ISNUMBER(MATCH(D23:AH23,{"DM","CS1","CS2","SB1","AE","CS/B","WEEKEND OUTFIELD RESERVE"},0)))</f>
        <v>0</v>
      </c>
      <c r="AX23" s="77"/>
      <c r="AY23" s="77">
        <f t="shared" si="3"/>
        <v>-5.5</v>
      </c>
      <c r="AZ23" s="77">
        <f t="shared" si="4"/>
        <v>0</v>
      </c>
      <c r="BA23" s="77">
        <f t="shared" si="5"/>
        <v>0</v>
      </c>
      <c r="BB23" s="76">
        <f t="shared" si="6"/>
        <v>-5.5</v>
      </c>
      <c r="BC23" s="77">
        <f t="shared" si="7"/>
        <v>0</v>
      </c>
      <c r="BD23" s="77">
        <f t="shared" si="8"/>
        <v>0</v>
      </c>
      <c r="BE23" s="77">
        <f t="shared" si="9"/>
        <v>0</v>
      </c>
      <c r="BF23" s="77">
        <f t="shared" si="10"/>
        <v>0</v>
      </c>
      <c r="BG23" s="77">
        <f t="shared" si="11"/>
        <v>0</v>
      </c>
      <c r="BH23" s="77">
        <f t="shared" si="12"/>
        <v>0</v>
      </c>
      <c r="BI23" s="77">
        <f t="shared" si="13"/>
        <v>0</v>
      </c>
      <c r="BJ23" s="77">
        <f t="shared" si="14"/>
        <v>0</v>
      </c>
      <c r="BK23" s="77">
        <f t="shared" si="15"/>
        <v>0</v>
      </c>
      <c r="BL23" s="77">
        <f t="shared" si="16"/>
        <v>0</v>
      </c>
      <c r="BM23" s="77">
        <f t="shared" si="17"/>
        <v>0</v>
      </c>
      <c r="BN23" s="77">
        <f t="shared" si="34"/>
        <v>-15.5</v>
      </c>
      <c r="BO23" s="77">
        <f t="shared" si="25"/>
        <v>0</v>
      </c>
      <c r="BP23" s="77">
        <f t="shared" si="26"/>
        <v>0</v>
      </c>
      <c r="BQ23" s="77">
        <f t="shared" si="27"/>
        <v>0</v>
      </c>
      <c r="BR23" s="77"/>
    </row>
    <row r="24" ht="19.5" customHeight="1" spans="1:70">
      <c r="A24" s="74"/>
      <c r="B24" s="76" t="s">
        <v>623</v>
      </c>
      <c r="C24" s="146">
        <f>COUNTIF(D24:AG24,"DM")</f>
        <v>1</v>
      </c>
      <c r="D24" s="110"/>
      <c r="E24" s="110"/>
      <c r="F24" s="110"/>
      <c r="G24" s="110"/>
      <c r="H24" s="110" t="s">
        <v>59</v>
      </c>
      <c r="I24" s="110"/>
      <c r="J24" s="110" t="s">
        <v>781</v>
      </c>
      <c r="K24" s="110"/>
      <c r="L24" s="110"/>
      <c r="M24" s="110" t="s">
        <v>57</v>
      </c>
      <c r="N24" s="110"/>
      <c r="O24" s="110" t="s">
        <v>767</v>
      </c>
      <c r="P24" s="110" t="s">
        <v>782</v>
      </c>
      <c r="Q24" s="110" t="s">
        <v>782</v>
      </c>
      <c r="R24" s="110"/>
      <c r="S24" s="110"/>
      <c r="T24" s="110"/>
      <c r="U24" s="110"/>
      <c r="V24" s="110" t="s">
        <v>58</v>
      </c>
      <c r="W24" s="110"/>
      <c r="X24" s="110"/>
      <c r="Y24" s="110" t="s">
        <v>56</v>
      </c>
      <c r="Z24" s="147"/>
      <c r="AA24" s="110"/>
      <c r="AB24" s="110" t="s">
        <v>566</v>
      </c>
      <c r="AD24" s="110"/>
      <c r="AE24" s="110"/>
      <c r="AF24" s="110"/>
      <c r="AG24" s="110"/>
      <c r="AH24" s="110"/>
      <c r="AI24" s="74">
        <f t="shared" ref="AI24:AQ24" si="41">COUNTIF($D24:$AG24,AI$4)</f>
        <v>1</v>
      </c>
      <c r="AJ24" s="74">
        <f t="shared" si="41"/>
        <v>1</v>
      </c>
      <c r="AK24" s="74">
        <f t="shared" si="41"/>
        <v>1</v>
      </c>
      <c r="AL24" s="74">
        <f t="shared" si="41"/>
        <v>1</v>
      </c>
      <c r="AM24" s="74">
        <f t="shared" si="41"/>
        <v>1</v>
      </c>
      <c r="AN24" s="74">
        <f t="shared" si="41"/>
        <v>0</v>
      </c>
      <c r="AO24" s="74">
        <f t="shared" si="41"/>
        <v>0</v>
      </c>
      <c r="AP24" s="74">
        <f t="shared" si="41"/>
        <v>1</v>
      </c>
      <c r="AQ24" s="74">
        <f t="shared" si="41"/>
        <v>0</v>
      </c>
      <c r="AR24" s="76"/>
      <c r="AS24" s="76"/>
      <c r="AT24" s="74">
        <f>SUMPRODUCT(--(WEEKDAY(D$3:AH$3,2)&lt;5),--ISNUMBER(MATCH(D24:AH24,{"DM","CS1","CS2","SB1","AE","CS/B"},0)))</f>
        <v>3</v>
      </c>
      <c r="AU24" s="74"/>
      <c r="AV24" s="74">
        <f>SUMPRODUCT(--(WEEKDAY(D$3:AH$3,2)=5),--ISNUMBER(MATCH(D24:AH24,{"DM","CS1","CS2","SB1","AE","CS/B","WEEKEND OUTFIELD RESERVE"},0)))</f>
        <v>1</v>
      </c>
      <c r="AW24" s="74">
        <f>SUMPRODUCT(--(WEEKDAY(D$3:AH$3,2)&gt;5),--ISNUMBER(MATCH(D24:AH24,{"DM","CS1","CS2","SB1","AE","CS/B","WEEKEND OUTFIELD RESERVE"},0)))</f>
        <v>1</v>
      </c>
      <c r="AX24" s="74"/>
      <c r="AY24" s="74">
        <f t="shared" si="3"/>
        <v>7</v>
      </c>
      <c r="AZ24" s="74">
        <f t="shared" si="4"/>
        <v>5</v>
      </c>
      <c r="BA24" s="74">
        <f t="shared" si="5"/>
        <v>3</v>
      </c>
      <c r="BB24" s="76">
        <f t="shared" si="6"/>
        <v>10.5</v>
      </c>
      <c r="BC24" s="74">
        <f t="shared" si="7"/>
        <v>3.5</v>
      </c>
      <c r="BD24" s="74">
        <f t="shared" si="8"/>
        <v>1</v>
      </c>
      <c r="BE24" s="74">
        <f t="shared" si="9"/>
        <v>1.5</v>
      </c>
      <c r="BF24" s="74">
        <f t="shared" si="10"/>
        <v>0</v>
      </c>
      <c r="BG24" s="74">
        <f t="shared" si="11"/>
        <v>0</v>
      </c>
      <c r="BH24" s="74">
        <f t="shared" si="12"/>
        <v>0</v>
      </c>
      <c r="BI24" s="74">
        <f t="shared" si="13"/>
        <v>0</v>
      </c>
      <c r="BJ24" s="74">
        <f t="shared" si="14"/>
        <v>0</v>
      </c>
      <c r="BK24" s="74">
        <f t="shared" si="15"/>
        <v>0</v>
      </c>
      <c r="BL24" s="74">
        <f t="shared" si="16"/>
        <v>2</v>
      </c>
      <c r="BM24" s="74">
        <f t="shared" si="17"/>
        <v>2</v>
      </c>
      <c r="BN24" s="74">
        <f t="shared" si="34"/>
        <v>0.5</v>
      </c>
      <c r="BO24" s="74">
        <f t="shared" si="25"/>
        <v>0</v>
      </c>
      <c r="BP24" s="74">
        <f t="shared" si="26"/>
        <v>0</v>
      </c>
      <c r="BQ24" s="74">
        <f t="shared" si="27"/>
        <v>0</v>
      </c>
      <c r="BR24" s="74"/>
    </row>
    <row r="25" ht="48" hidden="1" customHeight="1" spans="1:70">
      <c r="A25" s="77"/>
      <c r="B25" s="76" t="s">
        <v>609</v>
      </c>
      <c r="C25" s="76">
        <f>COUNTIF(D25:AG25,"DM")</f>
        <v>0</v>
      </c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 t="s">
        <v>61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 t="s">
        <v>769</v>
      </c>
      <c r="AC25" s="107"/>
      <c r="AD25" s="107"/>
      <c r="AE25" s="107"/>
      <c r="AF25" s="107"/>
      <c r="AG25" s="107"/>
      <c r="AH25" s="107"/>
      <c r="AI25" s="77">
        <f t="shared" ref="AI25:AQ25" si="42">COUNTIF($D25:$AG25,AI$4)</f>
        <v>0</v>
      </c>
      <c r="AJ25" s="77">
        <f t="shared" si="42"/>
        <v>0</v>
      </c>
      <c r="AK25" s="77">
        <f t="shared" si="42"/>
        <v>0</v>
      </c>
      <c r="AL25" s="77">
        <f t="shared" si="42"/>
        <v>0</v>
      </c>
      <c r="AM25" s="77">
        <f t="shared" si="42"/>
        <v>0</v>
      </c>
      <c r="AN25" s="77">
        <f t="shared" si="42"/>
        <v>0</v>
      </c>
      <c r="AO25" s="77">
        <f t="shared" si="42"/>
        <v>0</v>
      </c>
      <c r="AP25" s="77">
        <f t="shared" si="42"/>
        <v>0</v>
      </c>
      <c r="AQ25" s="77">
        <f t="shared" si="42"/>
        <v>0</v>
      </c>
      <c r="AR25" s="76">
        <v>-17.5</v>
      </c>
      <c r="AS25" s="76"/>
      <c r="AT25" s="77">
        <f>SUMPRODUCT(--(WEEKDAY(D$3:AH$3,2)&lt;5),--ISNUMBER(MATCH(D25:AH25,{"DM","CS1","CS2","SB1","AE","CS/B"},0)))</f>
        <v>0</v>
      </c>
      <c r="AU25" s="77"/>
      <c r="AV25" s="77">
        <f>SUMPRODUCT(--(WEEKDAY(D$3:AH$3,2)=5),--ISNUMBER(MATCH(D25:AH25,{"DM","CS1","CS2","SB1","AE","CS/B","WEEKEND OUTFIELD RESERVE"},0)))</f>
        <v>0</v>
      </c>
      <c r="AW25" s="77">
        <f>SUMPRODUCT(--(WEEKDAY(D$3:AH$3,2)&gt;5),--ISNUMBER(MATCH(D25:AH25,{"DM","CS1","CS2","SB1","AE","CS/B","WEEKEND OUTFIELD RESERVE"},0)))</f>
        <v>0</v>
      </c>
      <c r="AX25" s="77"/>
      <c r="AY25" s="77">
        <f t="shared" si="3"/>
        <v>-17.5</v>
      </c>
      <c r="AZ25" s="77">
        <f t="shared" si="4"/>
        <v>0</v>
      </c>
      <c r="BA25" s="77">
        <f t="shared" si="5"/>
        <v>0</v>
      </c>
      <c r="BB25" s="76">
        <f t="shared" si="6"/>
        <v>-17.5</v>
      </c>
      <c r="BC25" s="77">
        <f t="shared" si="7"/>
        <v>0</v>
      </c>
      <c r="BD25" s="77">
        <f t="shared" si="8"/>
        <v>0</v>
      </c>
      <c r="BE25" s="77">
        <f t="shared" si="9"/>
        <v>0</v>
      </c>
      <c r="BF25" s="77">
        <f t="shared" si="10"/>
        <v>0</v>
      </c>
      <c r="BG25" s="77">
        <f t="shared" si="11"/>
        <v>0</v>
      </c>
      <c r="BH25" s="77">
        <f t="shared" si="12"/>
        <v>0</v>
      </c>
      <c r="BI25" s="77">
        <f t="shared" si="13"/>
        <v>0</v>
      </c>
      <c r="BJ25" s="77">
        <f t="shared" si="14"/>
        <v>0</v>
      </c>
      <c r="BK25" s="77">
        <f t="shared" si="15"/>
        <v>0</v>
      </c>
      <c r="BL25" s="77">
        <f t="shared" si="16"/>
        <v>0</v>
      </c>
      <c r="BM25" s="77">
        <f t="shared" si="17"/>
        <v>0</v>
      </c>
      <c r="BN25" s="77">
        <f t="shared" si="34"/>
        <v>-27.5</v>
      </c>
      <c r="BO25" s="77">
        <f t="shared" si="25"/>
        <v>0</v>
      </c>
      <c r="BP25" s="77">
        <f t="shared" si="26"/>
        <v>0</v>
      </c>
      <c r="BQ25" s="77">
        <f t="shared" si="27"/>
        <v>0</v>
      </c>
      <c r="BR25" s="77"/>
    </row>
    <row r="26" ht="19.5" customHeight="1" spans="1:70">
      <c r="A26" s="74"/>
      <c r="B26" s="76" t="s">
        <v>614</v>
      </c>
      <c r="C26" s="146">
        <f>COUNTIF(D26:AG26,"DM")</f>
        <v>3</v>
      </c>
      <c r="D26" s="110"/>
      <c r="E26" s="110"/>
      <c r="F26" s="110" t="s">
        <v>566</v>
      </c>
      <c r="H26" s="110" t="s">
        <v>777</v>
      </c>
      <c r="I26" s="110" t="s">
        <v>57</v>
      </c>
      <c r="L26" s="110" t="s">
        <v>350</v>
      </c>
      <c r="M26" s="147"/>
      <c r="N26" s="110"/>
      <c r="O26" s="110" t="s">
        <v>573</v>
      </c>
      <c r="P26" s="110" t="s">
        <v>61</v>
      </c>
      <c r="Q26" s="110" t="s">
        <v>783</v>
      </c>
      <c r="R26" s="110" t="s">
        <v>56</v>
      </c>
      <c r="S26" s="110"/>
      <c r="T26" s="110" t="s">
        <v>57</v>
      </c>
      <c r="U26" s="110"/>
      <c r="V26" s="110" t="s">
        <v>784</v>
      </c>
      <c r="X26" s="110"/>
      <c r="Z26" s="110"/>
      <c r="AA26" s="110"/>
      <c r="AC26" s="110" t="s">
        <v>785</v>
      </c>
      <c r="AD26" s="110" t="s">
        <v>57</v>
      </c>
      <c r="AE26" s="110" t="s">
        <v>93</v>
      </c>
      <c r="AF26" s="110"/>
      <c r="AG26" s="110"/>
      <c r="AH26" s="110"/>
      <c r="AI26" s="74">
        <f t="shared" ref="AI26:AQ26" si="43">COUNTIF($D26:$AG26,AI$4)</f>
        <v>3</v>
      </c>
      <c r="AJ26" s="74">
        <f t="shared" si="43"/>
        <v>1</v>
      </c>
      <c r="AK26" s="74">
        <f t="shared" si="43"/>
        <v>0</v>
      </c>
      <c r="AL26" s="74">
        <f t="shared" si="43"/>
        <v>1</v>
      </c>
      <c r="AM26" s="74">
        <f t="shared" si="43"/>
        <v>0</v>
      </c>
      <c r="AN26" s="74">
        <f t="shared" si="43"/>
        <v>1</v>
      </c>
      <c r="AO26" s="74">
        <f t="shared" si="43"/>
        <v>0</v>
      </c>
      <c r="AP26" s="74">
        <f t="shared" si="43"/>
        <v>0</v>
      </c>
      <c r="AQ26" s="74">
        <f t="shared" si="43"/>
        <v>0</v>
      </c>
      <c r="AR26" s="76"/>
      <c r="AS26" s="76">
        <v>2.5</v>
      </c>
      <c r="AT26" s="74">
        <f>SUMPRODUCT(--(WEEKDAY(D$3:AH$3,2)&lt;5),--ISNUMBER(MATCH(D26:AH26,{"DM","CS1","CS2","SB1","AE","CS/B"},0)))</f>
        <v>2</v>
      </c>
      <c r="AU26" s="74"/>
      <c r="AV26" s="74">
        <f>SUMPRODUCT(--(WEEKDAY(D$3:AH$3,2)=5),--ISNUMBER(MATCH(D26:AH26,{"DM","CS1","CS2","SB1","AE","CS/B","WEEKEND OUTFIELD RESERVE"},0)))</f>
        <v>1</v>
      </c>
      <c r="AW26" s="74">
        <f>SUMPRODUCT(--(WEEKDAY(D$3:AH$3,2)&gt;5),--ISNUMBER(MATCH(D26:AH26,{"DM","CS1","CS2","SB1","AE","CS/B","WEEKEND OUTFIELD RESERVE"},0)))</f>
        <v>2</v>
      </c>
      <c r="AX26" s="74"/>
      <c r="AY26" s="74">
        <f t="shared" si="3"/>
        <v>5.5</v>
      </c>
      <c r="AZ26" s="74">
        <f t="shared" si="4"/>
        <v>5</v>
      </c>
      <c r="BA26" s="74">
        <f t="shared" si="5"/>
        <v>4</v>
      </c>
      <c r="BB26" s="76">
        <f t="shared" si="6"/>
        <v>8</v>
      </c>
      <c r="BC26" s="74">
        <f t="shared" si="7"/>
        <v>2.5</v>
      </c>
      <c r="BD26" s="74">
        <f t="shared" si="8"/>
        <v>0</v>
      </c>
      <c r="BE26" s="74">
        <f t="shared" si="9"/>
        <v>0</v>
      </c>
      <c r="BF26" s="74">
        <f t="shared" si="10"/>
        <v>1</v>
      </c>
      <c r="BG26" s="74">
        <f t="shared" si="11"/>
        <v>1</v>
      </c>
      <c r="BH26" s="74">
        <f t="shared" si="12"/>
        <v>2</v>
      </c>
      <c r="BI26" s="74">
        <f t="shared" si="13"/>
        <v>1</v>
      </c>
      <c r="BJ26" s="74">
        <f t="shared" si="14"/>
        <v>1</v>
      </c>
      <c r="BK26" s="74">
        <f t="shared" si="15"/>
        <v>0.5</v>
      </c>
      <c r="BL26" s="74">
        <f t="shared" si="16"/>
        <v>0</v>
      </c>
      <c r="BM26" s="74">
        <f t="shared" si="17"/>
        <v>0</v>
      </c>
      <c r="BN26" s="74">
        <f t="shared" si="34"/>
        <v>-2</v>
      </c>
      <c r="BO26" s="74">
        <f t="shared" si="25"/>
        <v>0</v>
      </c>
      <c r="BP26" s="74">
        <f t="shared" si="26"/>
        <v>1</v>
      </c>
      <c r="BQ26" s="74">
        <f t="shared" si="27"/>
        <v>0</v>
      </c>
      <c r="BR26" s="74"/>
    </row>
    <row r="27" ht="19.5" customHeight="1" spans="1:70">
      <c r="A27" s="77"/>
      <c r="B27" s="76" t="s">
        <v>618</v>
      </c>
      <c r="C27" s="146">
        <f>COUNTIF(D27:AG27,"DM")</f>
        <v>1</v>
      </c>
      <c r="D27" s="107"/>
      <c r="E27" s="107"/>
      <c r="F27" s="107"/>
      <c r="G27" s="107" t="s">
        <v>73</v>
      </c>
      <c r="H27" s="107"/>
      <c r="I27" s="107" t="s">
        <v>261</v>
      </c>
      <c r="J27" s="107"/>
      <c r="K27" s="107" t="s">
        <v>56</v>
      </c>
      <c r="L27" s="107"/>
      <c r="M27" s="107"/>
      <c r="N27" s="107" t="s">
        <v>454</v>
      </c>
      <c r="O27" s="107"/>
      <c r="P27" s="86" t="s">
        <v>350</v>
      </c>
      <c r="Q27" s="107"/>
      <c r="R27" s="107"/>
      <c r="S27" s="107" t="s">
        <v>57</v>
      </c>
      <c r="T27" s="107"/>
      <c r="U27" s="107" t="s">
        <v>786</v>
      </c>
      <c r="V27" s="107"/>
      <c r="W27" s="107" t="s">
        <v>61</v>
      </c>
      <c r="X27" s="107"/>
      <c r="Z27" s="141"/>
      <c r="AA27" s="107"/>
      <c r="AB27" s="107" t="s">
        <v>261</v>
      </c>
      <c r="AE27" s="107"/>
      <c r="AF27" s="107"/>
      <c r="AG27" s="107"/>
      <c r="AH27" s="107"/>
      <c r="AI27" s="77">
        <f t="shared" ref="AI27:AQ27" si="44">COUNTIF($D27:$AG27,AI$4)</f>
        <v>1</v>
      </c>
      <c r="AJ27" s="77">
        <f t="shared" si="44"/>
        <v>1</v>
      </c>
      <c r="AK27" s="77">
        <f t="shared" si="44"/>
        <v>0</v>
      </c>
      <c r="AL27" s="77">
        <f t="shared" si="44"/>
        <v>0</v>
      </c>
      <c r="AM27" s="77">
        <f t="shared" si="44"/>
        <v>0</v>
      </c>
      <c r="AN27" s="77">
        <f t="shared" si="44"/>
        <v>0</v>
      </c>
      <c r="AO27" s="77">
        <f t="shared" si="44"/>
        <v>0</v>
      </c>
      <c r="AP27" s="77">
        <f t="shared" si="44"/>
        <v>0</v>
      </c>
      <c r="AQ27" s="77">
        <f t="shared" si="44"/>
        <v>0</v>
      </c>
      <c r="AR27" s="76"/>
      <c r="AS27" s="76">
        <v>2.5</v>
      </c>
      <c r="AT27" s="77">
        <f>SUMPRODUCT(--(WEEKDAY(D$3:AH$3,2)&lt;5),--ISNUMBER(MATCH(D27:AH27,{"DM","CS1","CS2","SB1","AE","CS/B"},0)))</f>
        <v>0</v>
      </c>
      <c r="AU27" s="77"/>
      <c r="AV27" s="77">
        <f>SUMPRODUCT(--(WEEKDAY(D$3:AH$3,2)=5),--ISNUMBER(MATCH(D27:AH27,{"DM","CS1","CS2","SB1","AE","CS/B","WEEKEND OUTFIELD RESERVE"},0)))</f>
        <v>1</v>
      </c>
      <c r="AW27" s="77">
        <f>SUMPRODUCT(--(WEEKDAY(D$3:AH$3,2)&gt;5),--ISNUMBER(MATCH(D27:AH27,{"DM","CS1","CS2","SB1","AE","CS/B","WEEKEND OUTFIELD RESERVE"},0)))</f>
        <v>1</v>
      </c>
      <c r="AX27" s="77"/>
      <c r="AY27" s="77">
        <f t="shared" si="3"/>
        <v>1</v>
      </c>
      <c r="AZ27" s="77">
        <f t="shared" si="4"/>
        <v>2</v>
      </c>
      <c r="BA27" s="77">
        <f t="shared" si="5"/>
        <v>3</v>
      </c>
      <c r="BB27" s="76">
        <f t="shared" si="6"/>
        <v>4.5</v>
      </c>
      <c r="BC27" s="77">
        <f t="shared" si="7"/>
        <v>3.5</v>
      </c>
      <c r="BD27" s="77">
        <f t="shared" si="8"/>
        <v>1</v>
      </c>
      <c r="BE27" s="77">
        <f t="shared" si="9"/>
        <v>1.5</v>
      </c>
      <c r="BF27" s="77">
        <f t="shared" si="10"/>
        <v>1</v>
      </c>
      <c r="BG27" s="77">
        <f t="shared" si="11"/>
        <v>1</v>
      </c>
      <c r="BH27" s="77">
        <f t="shared" si="12"/>
        <v>0</v>
      </c>
      <c r="BI27" s="77">
        <f t="shared" si="13"/>
        <v>0</v>
      </c>
      <c r="BJ27" s="77">
        <f t="shared" si="14"/>
        <v>0</v>
      </c>
      <c r="BK27" s="77">
        <f t="shared" si="15"/>
        <v>0</v>
      </c>
      <c r="BL27" s="77">
        <f t="shared" si="16"/>
        <v>1</v>
      </c>
      <c r="BM27" s="77">
        <f t="shared" si="17"/>
        <v>1</v>
      </c>
      <c r="BN27" s="77">
        <f t="shared" si="34"/>
        <v>-5.5</v>
      </c>
      <c r="BO27" s="77">
        <f t="shared" si="25"/>
        <v>0</v>
      </c>
      <c r="BP27" s="77">
        <f t="shared" si="26"/>
        <v>1</v>
      </c>
      <c r="BQ27" s="77">
        <f t="shared" si="27"/>
        <v>0</v>
      </c>
      <c r="BR27" s="77"/>
    </row>
    <row r="28" ht="47.25" hidden="1" customHeight="1" spans="1:70">
      <c r="A28" s="74"/>
      <c r="B28" s="76" t="s">
        <v>625</v>
      </c>
      <c r="C28" s="76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74">
        <f t="shared" ref="AI28:AQ28" si="45">COUNTIF($D28:$AG28,AI$4)</f>
        <v>0</v>
      </c>
      <c r="AJ28" s="74">
        <f t="shared" si="45"/>
        <v>0</v>
      </c>
      <c r="AK28" s="74">
        <f t="shared" si="45"/>
        <v>0</v>
      </c>
      <c r="AL28" s="74">
        <f t="shared" si="45"/>
        <v>0</v>
      </c>
      <c r="AM28" s="74">
        <f t="shared" si="45"/>
        <v>0</v>
      </c>
      <c r="AN28" s="74">
        <f t="shared" si="45"/>
        <v>0</v>
      </c>
      <c r="AO28" s="74">
        <f t="shared" si="45"/>
        <v>0</v>
      </c>
      <c r="AP28" s="74">
        <f t="shared" si="45"/>
        <v>0</v>
      </c>
      <c r="AQ28" s="74">
        <f t="shared" si="45"/>
        <v>0</v>
      </c>
      <c r="AR28" s="76"/>
      <c r="AS28" s="76">
        <v>1</v>
      </c>
      <c r="AT28" s="74">
        <f>SUMPRODUCT(--(WEEKDAY(D$3:AH$3,2)&lt;5),--ISNUMBER(MATCH(D28:AH28,{"DM","CS1","CS2","SB1","AE","CS/B"},0)))</f>
        <v>0</v>
      </c>
      <c r="AU28" s="74"/>
      <c r="AV28" s="74">
        <f>SUMPRODUCT(--(WEEKDAY(D$3:AH$3,2)=5),--ISNUMBER(MATCH(D28:AH28,{"DM","CS1","CS2","SB1","AE","CS/B","WEEKEND OUTFIELD RESERVE"},0)))</f>
        <v>0</v>
      </c>
      <c r="AW28" s="74">
        <f>SUMPRODUCT(--(WEEKDAY(D$3:AH$3,2)&gt;5),--ISNUMBER(MATCH(D28:AH28,{"DM","CS1","CS2","SB1","AE","CS/B","WEEKEND OUTFIELD RESERVE"},0)))</f>
        <v>0</v>
      </c>
      <c r="AX28" s="74"/>
      <c r="AY28" s="74">
        <f t="shared" si="3"/>
        <v>-1</v>
      </c>
      <c r="AZ28" s="74">
        <f t="shared" si="4"/>
        <v>0</v>
      </c>
      <c r="BA28" s="74">
        <f t="shared" si="5"/>
        <v>0</v>
      </c>
      <c r="BB28" s="76">
        <f t="shared" si="6"/>
        <v>-1</v>
      </c>
      <c r="BC28" s="74">
        <f t="shared" si="7"/>
        <v>0</v>
      </c>
      <c r="BD28" s="74">
        <f t="shared" si="8"/>
        <v>0</v>
      </c>
      <c r="BE28" s="74">
        <f t="shared" si="9"/>
        <v>0</v>
      </c>
      <c r="BF28" s="74">
        <f t="shared" si="10"/>
        <v>0</v>
      </c>
      <c r="BG28" s="74">
        <f t="shared" si="11"/>
        <v>0</v>
      </c>
      <c r="BH28" s="74">
        <f t="shared" si="12"/>
        <v>0</v>
      </c>
      <c r="BI28" s="74">
        <f t="shared" si="13"/>
        <v>0</v>
      </c>
      <c r="BJ28" s="74">
        <f t="shared" si="14"/>
        <v>0</v>
      </c>
      <c r="BK28" s="74">
        <f t="shared" si="15"/>
        <v>0</v>
      </c>
      <c r="BL28" s="74">
        <f t="shared" si="16"/>
        <v>0</v>
      </c>
      <c r="BM28" s="74">
        <f t="shared" si="17"/>
        <v>0</v>
      </c>
      <c r="BN28" s="74">
        <f t="shared" si="34"/>
        <v>-11</v>
      </c>
      <c r="BO28" s="74">
        <f t="shared" si="25"/>
        <v>0</v>
      </c>
      <c r="BP28" s="74">
        <f t="shared" si="26"/>
        <v>0</v>
      </c>
      <c r="BQ28" s="74">
        <f t="shared" si="27"/>
        <v>0</v>
      </c>
      <c r="BR28" s="74"/>
    </row>
    <row r="29" ht="19.5" customHeight="1" spans="1:70">
      <c r="A29" s="77"/>
      <c r="B29" s="76" t="s">
        <v>627</v>
      </c>
      <c r="C29" s="146">
        <f>COUNTIF(D29:AG29,"DM")</f>
        <v>1</v>
      </c>
      <c r="D29" s="107"/>
      <c r="E29" s="107"/>
      <c r="F29" s="107"/>
      <c r="G29" s="107" t="s">
        <v>57</v>
      </c>
      <c r="H29" s="107"/>
      <c r="I29" s="107" t="s">
        <v>59</v>
      </c>
      <c r="J29" s="107"/>
      <c r="K29" s="107"/>
      <c r="L29" s="107" t="s">
        <v>58</v>
      </c>
      <c r="M29" s="107"/>
      <c r="N29" s="107"/>
      <c r="O29" s="75" t="s">
        <v>787</v>
      </c>
      <c r="P29" s="86" t="s">
        <v>61</v>
      </c>
      <c r="R29" s="107"/>
      <c r="S29" s="141"/>
      <c r="T29" s="107"/>
      <c r="U29" s="107"/>
      <c r="W29" s="107"/>
      <c r="Y29" s="107"/>
      <c r="Z29" s="107"/>
      <c r="AA29" s="107"/>
      <c r="AC29" s="107"/>
      <c r="AD29" s="107"/>
      <c r="AF29" s="107"/>
      <c r="AG29" s="107"/>
      <c r="AH29" s="107"/>
      <c r="AI29" s="77">
        <f t="shared" ref="AI29:AQ29" si="46">COUNTIF($D29:$AG29,AI$4)</f>
        <v>1</v>
      </c>
      <c r="AJ29" s="77">
        <f t="shared" si="46"/>
        <v>0</v>
      </c>
      <c r="AK29" s="77">
        <f t="shared" si="46"/>
        <v>1</v>
      </c>
      <c r="AL29" s="77">
        <f t="shared" si="46"/>
        <v>0</v>
      </c>
      <c r="AM29" s="77">
        <f t="shared" si="46"/>
        <v>1</v>
      </c>
      <c r="AN29" s="77">
        <f t="shared" si="46"/>
        <v>0</v>
      </c>
      <c r="AO29" s="77">
        <f t="shared" si="46"/>
        <v>0</v>
      </c>
      <c r="AP29" s="77">
        <f t="shared" si="46"/>
        <v>0</v>
      </c>
      <c r="AQ29" s="77">
        <f t="shared" si="46"/>
        <v>0</v>
      </c>
      <c r="AR29" s="76"/>
      <c r="AS29" s="76"/>
      <c r="AT29" s="77">
        <f>SUMPRODUCT(--(WEEKDAY(D$3:AH$3,2)&lt;5),--ISNUMBER(MATCH(D29:AH29,{"DM","CS1","CS2","SB1","AE","CS/B"},0)))</f>
        <v>2</v>
      </c>
      <c r="AU29" s="77"/>
      <c r="AV29" s="77">
        <f>SUMPRODUCT(--(WEEKDAY(D$3:AH$3,2)=5),--ISNUMBER(MATCH(D29:AH29,{"DM","CS1","CS2","SB1","AE","CS/B","WEEKEND OUTFIELD RESERVE"},0)))</f>
        <v>0</v>
      </c>
      <c r="AW29" s="77">
        <f>SUMPRODUCT(--(WEEKDAY(D$3:AH$3,2)&gt;5),--ISNUMBER(MATCH(D29:AH29,{"DM","CS1","CS2","SB1","AE","CS/B","WEEKEND OUTFIELD RESERVE"},0)))</f>
        <v>1</v>
      </c>
      <c r="AX29" s="77"/>
      <c r="AY29" s="77">
        <f t="shared" si="3"/>
        <v>4</v>
      </c>
      <c r="AZ29" s="77">
        <f t="shared" si="4"/>
        <v>3</v>
      </c>
      <c r="BA29" s="77">
        <f t="shared" si="5"/>
        <v>1</v>
      </c>
      <c r="BB29" s="76">
        <f t="shared" si="6"/>
        <v>4.5</v>
      </c>
      <c r="BC29" s="77">
        <f t="shared" si="7"/>
        <v>0.5</v>
      </c>
      <c r="BD29" s="77">
        <f t="shared" si="8"/>
        <v>0</v>
      </c>
      <c r="BE29" s="77">
        <f t="shared" si="9"/>
        <v>0</v>
      </c>
      <c r="BF29" s="77">
        <f t="shared" si="10"/>
        <v>0</v>
      </c>
      <c r="BG29" s="77">
        <f t="shared" si="11"/>
        <v>0</v>
      </c>
      <c r="BH29" s="77">
        <f t="shared" si="12"/>
        <v>1</v>
      </c>
      <c r="BI29" s="77">
        <f t="shared" si="13"/>
        <v>0.5</v>
      </c>
      <c r="BJ29" s="77">
        <f t="shared" si="14"/>
        <v>0</v>
      </c>
      <c r="BK29" s="77">
        <f t="shared" si="15"/>
        <v>0</v>
      </c>
      <c r="BL29" s="77">
        <f t="shared" si="16"/>
        <v>0</v>
      </c>
      <c r="BM29" s="77">
        <f t="shared" si="17"/>
        <v>0</v>
      </c>
      <c r="BN29" s="77">
        <f t="shared" si="34"/>
        <v>-5.5</v>
      </c>
      <c r="BO29" s="77">
        <f>COUNTIF($E29:$AA29,BO$4)</f>
        <v>0</v>
      </c>
      <c r="BP29" s="77">
        <f>COUNTIF($E29:$AA29,BP$4)</f>
        <v>0</v>
      </c>
      <c r="BQ29" s="77">
        <f>COUNTIF($E29:$AA29,BQ$4)</f>
        <v>0</v>
      </c>
      <c r="BR29" s="77"/>
    </row>
    <row r="30" ht="48.75" customHeight="1" spans="1:70">
      <c r="A30" s="74"/>
      <c r="B30" s="76" t="s">
        <v>610</v>
      </c>
      <c r="C30" s="76"/>
      <c r="D30" s="110"/>
      <c r="E30" s="110"/>
      <c r="F30" s="110"/>
      <c r="G30" s="110"/>
      <c r="H30" s="110" t="s">
        <v>788</v>
      </c>
      <c r="I30" s="110" t="s">
        <v>93</v>
      </c>
      <c r="J30" s="143"/>
      <c r="K30" s="110" t="s">
        <v>59</v>
      </c>
      <c r="L30" s="110"/>
      <c r="M30" s="110"/>
      <c r="N30" s="110"/>
      <c r="O30" s="110"/>
      <c r="R30" s="110"/>
      <c r="S30" s="110" t="s">
        <v>56</v>
      </c>
      <c r="T30" s="110"/>
      <c r="U30" s="110"/>
      <c r="V30" s="110" t="s">
        <v>789</v>
      </c>
      <c r="W30" s="110" t="s">
        <v>93</v>
      </c>
      <c r="X30" s="110" t="s">
        <v>566</v>
      </c>
      <c r="Y30" s="110"/>
      <c r="Z30" s="110"/>
      <c r="AA30" s="110"/>
      <c r="AB30" s="110"/>
      <c r="AC30" s="110"/>
      <c r="AD30" s="110"/>
      <c r="AE30" s="110" t="s">
        <v>566</v>
      </c>
      <c r="AF30" s="144" t="s">
        <v>93</v>
      </c>
      <c r="AG30" s="147"/>
      <c r="AH30" s="110"/>
      <c r="AI30" s="74">
        <f t="shared" ref="AI30:AQ30" si="47">COUNTIF($D30:$AG30,AI$4)</f>
        <v>0</v>
      </c>
      <c r="AJ30" s="74">
        <f t="shared" si="47"/>
        <v>1</v>
      </c>
      <c r="AK30" s="74">
        <f t="shared" si="47"/>
        <v>1</v>
      </c>
      <c r="AL30" s="74">
        <f t="shared" si="47"/>
        <v>2</v>
      </c>
      <c r="AM30" s="74">
        <f t="shared" si="47"/>
        <v>0</v>
      </c>
      <c r="AN30" s="74">
        <f t="shared" si="47"/>
        <v>3</v>
      </c>
      <c r="AO30" s="74">
        <f t="shared" si="47"/>
        <v>0</v>
      </c>
      <c r="AP30" s="74">
        <f t="shared" si="47"/>
        <v>0</v>
      </c>
      <c r="AQ30" s="74">
        <f t="shared" si="47"/>
        <v>0</v>
      </c>
      <c r="AR30" s="76"/>
      <c r="AS30" s="76">
        <v>0.5</v>
      </c>
      <c r="AT30" s="74">
        <f>SUMPRODUCT(--(WEEKDAY(D$3:AH$3,2)&lt;5),--ISNUMBER(MATCH(D30:AH30,{"DM","CS1","CS2","SB1","AE","CS/B"},0)))</f>
        <v>2</v>
      </c>
      <c r="AU30" s="74"/>
      <c r="AV30" s="74">
        <f>SUMPRODUCT(--(WEEKDAY(D$3:AH$3,2)=5),--ISNUMBER(MATCH(D30:AH30,{"DM","CS1","CS2","SB1","AE","CS/B","WEEKEND OUTFIELD RESERVE"},0)))</f>
        <v>1</v>
      </c>
      <c r="AW30" s="74">
        <f>SUMPRODUCT(--(WEEKDAY(D$3:AH$3,2)&gt;5),--ISNUMBER(MATCH(D30:AH30,{"DM","CS1","CS2","SB1","AE","CS/B","WEEKEND OUTFIELD RESERVE"},0)))</f>
        <v>1</v>
      </c>
      <c r="AX30" s="74"/>
      <c r="AY30" s="74">
        <f t="shared" si="3"/>
        <v>6.5</v>
      </c>
      <c r="AZ30" s="74">
        <f t="shared" si="4"/>
        <v>4</v>
      </c>
      <c r="BA30" s="74">
        <f t="shared" si="5"/>
        <v>2</v>
      </c>
      <c r="BB30" s="76">
        <f t="shared" si="6"/>
        <v>8</v>
      </c>
      <c r="BC30" s="74">
        <f t="shared" si="7"/>
        <v>1.5</v>
      </c>
      <c r="BD30" s="74">
        <f t="shared" si="8"/>
        <v>0</v>
      </c>
      <c r="BE30" s="74">
        <f t="shared" si="9"/>
        <v>0</v>
      </c>
      <c r="BF30" s="74">
        <f t="shared" si="10"/>
        <v>1</v>
      </c>
      <c r="BG30" s="74">
        <f t="shared" si="11"/>
        <v>1</v>
      </c>
      <c r="BH30" s="74">
        <f t="shared" si="12"/>
        <v>0</v>
      </c>
      <c r="BI30" s="74">
        <f t="shared" si="13"/>
        <v>0</v>
      </c>
      <c r="BJ30" s="74">
        <f t="shared" si="14"/>
        <v>1</v>
      </c>
      <c r="BK30" s="74">
        <f t="shared" si="15"/>
        <v>0.5</v>
      </c>
      <c r="BL30" s="74">
        <f t="shared" si="16"/>
        <v>0</v>
      </c>
      <c r="BM30" s="74">
        <f t="shared" si="17"/>
        <v>0</v>
      </c>
      <c r="BN30" s="74">
        <f t="shared" si="34"/>
        <v>-2</v>
      </c>
      <c r="BO30" s="74">
        <f>COUNTIF($E30:$AB30,BO$4)</f>
        <v>0</v>
      </c>
      <c r="BP30" s="74">
        <f>COUNTIF($E30:$AB30,BP$4)</f>
        <v>0</v>
      </c>
      <c r="BQ30" s="74">
        <f>COUNTIF($E30:$AB30,BQ$4)</f>
        <v>0</v>
      </c>
      <c r="BR30" s="74"/>
    </row>
    <row r="31" ht="19.5" customHeight="1" spans="1:70">
      <c r="A31" s="77"/>
      <c r="B31" s="76" t="s">
        <v>633</v>
      </c>
      <c r="C31" s="76"/>
      <c r="D31" s="107"/>
      <c r="E31" s="107" t="s">
        <v>58</v>
      </c>
      <c r="F31" s="107"/>
      <c r="G31" s="107"/>
      <c r="H31" s="107" t="s">
        <v>573</v>
      </c>
      <c r="I31" s="107"/>
      <c r="J31" s="107" t="s">
        <v>767</v>
      </c>
      <c r="K31" s="107"/>
      <c r="L31" s="107"/>
      <c r="M31" s="107"/>
      <c r="N31" s="107"/>
      <c r="O31" s="107" t="s">
        <v>790</v>
      </c>
      <c r="P31" s="107" t="s">
        <v>58</v>
      </c>
      <c r="Q31" s="107" t="s">
        <v>767</v>
      </c>
      <c r="R31" s="107" t="s">
        <v>93</v>
      </c>
      <c r="S31" s="107"/>
      <c r="T31" s="107"/>
      <c r="U31" s="107" t="s">
        <v>71</v>
      </c>
      <c r="V31" s="107" t="s">
        <v>71</v>
      </c>
      <c r="W31" s="107" t="s">
        <v>71</v>
      </c>
      <c r="X31" s="107" t="s">
        <v>71</v>
      </c>
      <c r="Y31" s="107" t="s">
        <v>71</v>
      </c>
      <c r="Z31" s="141"/>
      <c r="AA31" s="107" t="s">
        <v>56</v>
      </c>
      <c r="AB31" s="107" t="s">
        <v>769</v>
      </c>
      <c r="AC31" s="107" t="s">
        <v>791</v>
      </c>
      <c r="AD31" s="107" t="s">
        <v>59</v>
      </c>
      <c r="AE31" s="107"/>
      <c r="AF31" s="107"/>
      <c r="AG31" s="141"/>
      <c r="AH31" s="107"/>
      <c r="AI31" s="77">
        <f t="shared" ref="AI31:AQ31" si="48">COUNTIF($D31:$AG31,AI$4)</f>
        <v>0</v>
      </c>
      <c r="AJ31" s="77">
        <f t="shared" si="48"/>
        <v>1</v>
      </c>
      <c r="AK31" s="77">
        <f t="shared" si="48"/>
        <v>1</v>
      </c>
      <c r="AL31" s="77">
        <f t="shared" si="48"/>
        <v>0</v>
      </c>
      <c r="AM31" s="77">
        <f t="shared" si="48"/>
        <v>2</v>
      </c>
      <c r="AN31" s="77">
        <f t="shared" si="48"/>
        <v>1</v>
      </c>
      <c r="AO31" s="77">
        <f t="shared" si="48"/>
        <v>0</v>
      </c>
      <c r="AP31" s="77">
        <f t="shared" si="48"/>
        <v>2</v>
      </c>
      <c r="AQ31" s="77">
        <f t="shared" si="48"/>
        <v>0</v>
      </c>
      <c r="AR31" s="76"/>
      <c r="AS31" s="76">
        <v>1.5</v>
      </c>
      <c r="AT31" s="77">
        <f>SUMPRODUCT(--(WEEKDAY(D$3:AH$3,2)&lt;5),--ISNUMBER(MATCH(D31:AH31,{"DM","CS1","CS2","SB1","AE","CS/B"},0)))</f>
        <v>2</v>
      </c>
      <c r="AU31" s="77"/>
      <c r="AV31" s="77">
        <f>SUMPRODUCT(--(WEEKDAY(D$3:AH$3,2)=5),--ISNUMBER(MATCH(D31:AH31,{"DM","CS1","CS2","SB1","AE","CS/B","WEEKEND OUTFIELD RESERVE"},0)))</f>
        <v>0</v>
      </c>
      <c r="AW31" s="77">
        <f>SUMPRODUCT(--(WEEKDAY(D$3:AH$3,2)&gt;5),--ISNUMBER(MATCH(D31:AH31,{"DM","CS1","CS2","SB1","AE","CS/B","WEEKEND OUTFIELD RESERVE"},0)))</f>
        <v>2</v>
      </c>
      <c r="AX31" s="77"/>
      <c r="AY31" s="77">
        <f t="shared" si="3"/>
        <v>6</v>
      </c>
      <c r="AZ31" s="77">
        <f t="shared" si="4"/>
        <v>4</v>
      </c>
      <c r="BA31" s="77">
        <f t="shared" si="5"/>
        <v>2</v>
      </c>
      <c r="BB31" s="76">
        <f t="shared" si="6"/>
        <v>7</v>
      </c>
      <c r="BC31" s="77">
        <f t="shared" si="7"/>
        <v>1</v>
      </c>
      <c r="BD31" s="77">
        <f t="shared" si="8"/>
        <v>0</v>
      </c>
      <c r="BE31" s="77">
        <f t="shared" si="9"/>
        <v>0</v>
      </c>
      <c r="BF31" s="77">
        <f t="shared" si="10"/>
        <v>0</v>
      </c>
      <c r="BG31" s="77">
        <f t="shared" si="11"/>
        <v>0</v>
      </c>
      <c r="BH31" s="77">
        <f t="shared" si="12"/>
        <v>1</v>
      </c>
      <c r="BI31" s="77">
        <f t="shared" si="13"/>
        <v>0.5</v>
      </c>
      <c r="BJ31" s="77">
        <f t="shared" si="14"/>
        <v>1</v>
      </c>
      <c r="BK31" s="77">
        <f t="shared" si="15"/>
        <v>0.5</v>
      </c>
      <c r="BL31" s="77">
        <f t="shared" si="16"/>
        <v>0</v>
      </c>
      <c r="BM31" s="77">
        <f t="shared" si="17"/>
        <v>0</v>
      </c>
      <c r="BN31" s="77">
        <f t="shared" si="34"/>
        <v>-3</v>
      </c>
      <c r="BO31" s="77">
        <f>COUNTIF($E31:$AA31,BO$4)</f>
        <v>0</v>
      </c>
      <c r="BP31" s="77">
        <f>COUNTIF($E31:$AA31,BP$4)</f>
        <v>0</v>
      </c>
      <c r="BQ31" s="77">
        <f>COUNTIF($E31:$AA31,BQ$4)</f>
        <v>0</v>
      </c>
      <c r="BR31" s="77"/>
    </row>
    <row r="32" ht="19.5" customHeight="1" spans="1:70">
      <c r="A32" s="74"/>
      <c r="B32" s="76" t="s">
        <v>637</v>
      </c>
      <c r="C32" s="76"/>
      <c r="D32" s="110"/>
      <c r="E32" s="110"/>
      <c r="F32" s="110"/>
      <c r="G32" s="110" t="s">
        <v>792</v>
      </c>
      <c r="H32" s="110"/>
      <c r="I32" s="110" t="s">
        <v>56</v>
      </c>
      <c r="J32" s="110"/>
      <c r="K32" s="110"/>
      <c r="L32" s="110" t="s">
        <v>59</v>
      </c>
      <c r="M32" s="110"/>
      <c r="N32" s="110" t="s">
        <v>793</v>
      </c>
      <c r="O32" s="110"/>
      <c r="P32" s="110" t="s">
        <v>56</v>
      </c>
      <c r="Q32" s="110"/>
      <c r="R32" s="110" t="s">
        <v>144</v>
      </c>
      <c r="S32" s="110"/>
      <c r="T32" s="110"/>
      <c r="U32" s="110" t="s">
        <v>566</v>
      </c>
      <c r="V32" s="144" t="s">
        <v>794</v>
      </c>
      <c r="W32" s="144" t="s">
        <v>794</v>
      </c>
      <c r="Y32" s="110" t="s">
        <v>795</v>
      </c>
      <c r="Z32" s="142" t="s">
        <v>59</v>
      </c>
      <c r="AA32" s="147"/>
      <c r="AB32" s="110" t="s">
        <v>769</v>
      </c>
      <c r="AC32" s="110"/>
      <c r="AE32" s="110"/>
      <c r="AF32" s="110"/>
      <c r="AG32" s="110" t="s">
        <v>56</v>
      </c>
      <c r="AH32" s="110"/>
      <c r="AI32" s="74">
        <f t="shared" ref="AI32:AQ32" si="49">COUNTIF($D32:$AG32,AI$4)</f>
        <v>0</v>
      </c>
      <c r="AJ32" s="74">
        <f t="shared" si="49"/>
        <v>3</v>
      </c>
      <c r="AK32" s="74">
        <f t="shared" si="49"/>
        <v>2</v>
      </c>
      <c r="AL32" s="74">
        <f t="shared" si="49"/>
        <v>1</v>
      </c>
      <c r="AM32" s="74">
        <f t="shared" si="49"/>
        <v>0</v>
      </c>
      <c r="AN32" s="74">
        <f t="shared" si="49"/>
        <v>0</v>
      </c>
      <c r="AO32" s="74">
        <f t="shared" si="49"/>
        <v>0</v>
      </c>
      <c r="AP32" s="74">
        <f t="shared" si="49"/>
        <v>0</v>
      </c>
      <c r="AQ32" s="74">
        <f t="shared" si="49"/>
        <v>0</v>
      </c>
      <c r="AR32" s="76"/>
      <c r="AS32" s="76"/>
      <c r="AT32" s="74">
        <f>SUMPRODUCT(--(WEEKDAY(D$3:AH$3,2)&lt;5),--ISNUMBER(MATCH(D32:AH32,{"DM","CS1","CS2","SB1","AE","CS/B"},0)))</f>
        <v>3</v>
      </c>
      <c r="AU32" s="74"/>
      <c r="AV32" s="74">
        <f>SUMPRODUCT(--(WEEKDAY(D$3:AH$3,2)=5),--ISNUMBER(MATCH(D32:AH32,{"DM","CS1","CS2","SB1","AE","CS/B","WEEKEND OUTFIELD RESERVE"},0)))</f>
        <v>0</v>
      </c>
      <c r="AW32" s="74">
        <f>SUMPRODUCT(--(WEEKDAY(D$3:AH$3,2)&gt;5),--ISNUMBER(MATCH(D32:AH32,{"DM","CS1","CS2","SB1","AE","CS/B","WEEKEND OUTFIELD RESERVE"},0)))</f>
        <v>3</v>
      </c>
      <c r="AX32" s="74"/>
      <c r="AY32" s="74">
        <f t="shared" si="3"/>
        <v>9</v>
      </c>
      <c r="AZ32" s="74">
        <f t="shared" si="4"/>
        <v>6</v>
      </c>
      <c r="BA32" s="74">
        <f t="shared" si="5"/>
        <v>3</v>
      </c>
      <c r="BB32" s="76">
        <f t="shared" si="6"/>
        <v>11</v>
      </c>
      <c r="BC32" s="74">
        <f t="shared" si="7"/>
        <v>2</v>
      </c>
      <c r="BD32" s="74">
        <f t="shared" si="8"/>
        <v>0</v>
      </c>
      <c r="BE32" s="74">
        <f t="shared" si="9"/>
        <v>0</v>
      </c>
      <c r="BF32" s="74">
        <f t="shared" si="10"/>
        <v>1</v>
      </c>
      <c r="BG32" s="74">
        <f t="shared" si="11"/>
        <v>1</v>
      </c>
      <c r="BH32" s="74">
        <f t="shared" si="12"/>
        <v>0</v>
      </c>
      <c r="BI32" s="74">
        <f t="shared" si="13"/>
        <v>0</v>
      </c>
      <c r="BJ32" s="74">
        <f t="shared" si="14"/>
        <v>2</v>
      </c>
      <c r="BK32" s="74">
        <f t="shared" si="15"/>
        <v>1</v>
      </c>
      <c r="BL32" s="74">
        <f t="shared" si="16"/>
        <v>0</v>
      </c>
      <c r="BM32" s="74">
        <f t="shared" si="17"/>
        <v>0</v>
      </c>
      <c r="BN32" s="74">
        <f t="shared" si="34"/>
        <v>1</v>
      </c>
      <c r="BO32" s="74">
        <f>COUNTIF($I32:$AB32,BO$4)</f>
        <v>0</v>
      </c>
      <c r="BP32" s="74">
        <f>COUNTIF($I32:$AB32,BP$4)</f>
        <v>0</v>
      </c>
      <c r="BQ32" s="74">
        <f>COUNTIF($I32:$AB32,BQ$4)</f>
        <v>0</v>
      </c>
      <c r="BR32" s="74"/>
    </row>
    <row r="33" ht="51.75" customHeight="1" spans="1:70">
      <c r="A33" s="77"/>
      <c r="B33" s="76" t="s">
        <v>639</v>
      </c>
      <c r="C33" s="76"/>
      <c r="D33" s="107"/>
      <c r="E33" s="107"/>
      <c r="F33" s="107"/>
      <c r="H33" s="107"/>
      <c r="I33" s="107" t="s">
        <v>350</v>
      </c>
      <c r="J33" s="107"/>
      <c r="K33" s="107" t="s">
        <v>58</v>
      </c>
      <c r="L33" s="107"/>
      <c r="M33" s="107"/>
      <c r="N33" s="107"/>
      <c r="O33" s="107" t="s">
        <v>58</v>
      </c>
      <c r="P33" s="107" t="s">
        <v>767</v>
      </c>
      <c r="Q33" s="107" t="s">
        <v>93</v>
      </c>
      <c r="S33" s="107" t="s">
        <v>58</v>
      </c>
      <c r="T33" s="107"/>
      <c r="U33" s="107"/>
      <c r="V33" s="107" t="s">
        <v>65</v>
      </c>
      <c r="X33" s="107" t="s">
        <v>65</v>
      </c>
      <c r="Z33" s="148" t="s">
        <v>58</v>
      </c>
      <c r="AA33" s="107"/>
      <c r="AB33" s="107" t="s">
        <v>769</v>
      </c>
      <c r="AC33" s="107" t="s">
        <v>350</v>
      </c>
      <c r="AE33" s="107" t="s">
        <v>65</v>
      </c>
      <c r="AG33" s="107"/>
      <c r="AH33" s="141"/>
      <c r="AI33" s="77">
        <f t="shared" ref="AI33:AQ33" si="50">COUNTIF($D33:$AG33,AI$4)</f>
        <v>0</v>
      </c>
      <c r="AJ33" s="77">
        <f t="shared" si="50"/>
        <v>0</v>
      </c>
      <c r="AK33" s="77">
        <f t="shared" si="50"/>
        <v>0</v>
      </c>
      <c r="AL33" s="77">
        <f t="shared" si="50"/>
        <v>0</v>
      </c>
      <c r="AM33" s="77">
        <f t="shared" si="50"/>
        <v>4</v>
      </c>
      <c r="AN33" s="77">
        <f t="shared" si="50"/>
        <v>1</v>
      </c>
      <c r="AO33" s="77">
        <f t="shared" si="50"/>
        <v>3</v>
      </c>
      <c r="AP33" s="77">
        <f t="shared" si="50"/>
        <v>1</v>
      </c>
      <c r="AQ33" s="77">
        <f t="shared" si="50"/>
        <v>0</v>
      </c>
      <c r="AR33" s="76">
        <v>1.5</v>
      </c>
      <c r="AS33" s="76"/>
      <c r="AT33" s="77">
        <f>SUMPRODUCT(--(WEEKDAY(D$3:AH$3,2)&lt;5),--ISNUMBER(MATCH(D33:AH33,{"DM","CS1","CS2","SB1","AE","CS/B"},0)))</f>
        <v>4</v>
      </c>
      <c r="AU33" s="77"/>
      <c r="AV33" s="77">
        <f>SUMPRODUCT(--(WEEKDAY(D$3:AH$3,2)=5),--ISNUMBER(MATCH(D33:AH33,{"DM","CS1","CS2","SB1","AE","CS/B","WEEKEND OUTFIELD RESERVE"},0)))</f>
        <v>1</v>
      </c>
      <c r="AW33" s="77">
        <f>SUMPRODUCT(--(WEEKDAY(D$3:AH$3,2)&gt;5),--ISNUMBER(MATCH(D33:AH33,{"DM","CS1","CS2","SB1","AE","CS/B","WEEKEND OUTFIELD RESERVE"},0)))</f>
        <v>2</v>
      </c>
      <c r="AX33" s="77"/>
      <c r="AY33" s="77">
        <f t="shared" si="3"/>
        <v>12</v>
      </c>
      <c r="AZ33" s="77">
        <f t="shared" si="4"/>
        <v>7</v>
      </c>
      <c r="BA33" s="77">
        <f t="shared" si="5"/>
        <v>0</v>
      </c>
      <c r="BB33" s="76">
        <f t="shared" si="6"/>
        <v>12</v>
      </c>
      <c r="BC33" s="77">
        <f t="shared" si="7"/>
        <v>0</v>
      </c>
      <c r="BD33" s="77">
        <f t="shared" si="8"/>
        <v>0</v>
      </c>
      <c r="BE33" s="77">
        <f t="shared" si="9"/>
        <v>0</v>
      </c>
      <c r="BF33" s="77">
        <f t="shared" si="10"/>
        <v>0</v>
      </c>
      <c r="BG33" s="77">
        <f t="shared" si="11"/>
        <v>0</v>
      </c>
      <c r="BH33" s="77">
        <f t="shared" si="12"/>
        <v>0</v>
      </c>
      <c r="BI33" s="77">
        <f t="shared" si="13"/>
        <v>0</v>
      </c>
      <c r="BJ33" s="77">
        <f t="shared" si="14"/>
        <v>0</v>
      </c>
      <c r="BK33" s="77">
        <f t="shared" si="15"/>
        <v>0</v>
      </c>
      <c r="BL33" s="77">
        <f t="shared" si="16"/>
        <v>0</v>
      </c>
      <c r="BM33" s="77">
        <f t="shared" si="17"/>
        <v>0</v>
      </c>
      <c r="BN33" s="77">
        <f t="shared" si="34"/>
        <v>2</v>
      </c>
      <c r="BO33" s="77">
        <f>COUNTIF($E33:$AA33,BO$4)</f>
        <v>0</v>
      </c>
      <c r="BP33" s="77">
        <f>COUNTIF($E33:$AA33,BP$4)</f>
        <v>1</v>
      </c>
      <c r="BQ33" s="77">
        <f>COUNTIF($E33:$AA33,BQ$4)</f>
        <v>0</v>
      </c>
      <c r="BR33" s="77"/>
    </row>
    <row r="34" ht="19.5" customHeight="1" spans="1:70">
      <c r="A34" s="74"/>
      <c r="B34" s="76" t="s">
        <v>736</v>
      </c>
      <c r="C34" s="76"/>
      <c r="D34" s="110"/>
      <c r="E34" s="110" t="s">
        <v>59</v>
      </c>
      <c r="F34" s="110"/>
      <c r="G34" s="110" t="s">
        <v>767</v>
      </c>
      <c r="H34" s="110"/>
      <c r="I34" s="110" t="s">
        <v>144</v>
      </c>
      <c r="J34" s="110" t="s">
        <v>56</v>
      </c>
      <c r="K34" s="110"/>
      <c r="L34" s="110" t="s">
        <v>573</v>
      </c>
      <c r="M34" s="110"/>
      <c r="N34" s="110" t="s">
        <v>56</v>
      </c>
      <c r="P34" s="110"/>
      <c r="Q34" s="110" t="s">
        <v>566</v>
      </c>
      <c r="R34" s="110"/>
      <c r="S34" s="110"/>
      <c r="T34" s="110"/>
      <c r="U34" s="110" t="s">
        <v>573</v>
      </c>
      <c r="V34" s="110" t="s">
        <v>93</v>
      </c>
      <c r="X34" s="110" t="s">
        <v>56</v>
      </c>
      <c r="Z34" s="110"/>
      <c r="AA34" s="110" t="s">
        <v>566</v>
      </c>
      <c r="AB34" s="110"/>
      <c r="AC34" s="110" t="s">
        <v>796</v>
      </c>
      <c r="AD34" s="110"/>
      <c r="AE34" s="110"/>
      <c r="AG34" s="110"/>
      <c r="AH34" s="110"/>
      <c r="AI34" s="74">
        <f t="shared" ref="AI34:AQ34" si="51">COUNTIF($D34:$AG34,AI$4)</f>
        <v>0</v>
      </c>
      <c r="AJ34" s="74">
        <f t="shared" si="51"/>
        <v>3</v>
      </c>
      <c r="AK34" s="74">
        <f t="shared" si="51"/>
        <v>1</v>
      </c>
      <c r="AL34" s="74">
        <f t="shared" si="51"/>
        <v>2</v>
      </c>
      <c r="AM34" s="74">
        <f t="shared" si="51"/>
        <v>0</v>
      </c>
      <c r="AN34" s="74">
        <f t="shared" si="51"/>
        <v>1</v>
      </c>
      <c r="AO34" s="74">
        <f t="shared" si="51"/>
        <v>0</v>
      </c>
      <c r="AP34" s="74">
        <f t="shared" si="51"/>
        <v>1</v>
      </c>
      <c r="AQ34" s="74">
        <f t="shared" si="51"/>
        <v>0</v>
      </c>
      <c r="AR34" s="76"/>
      <c r="AS34" s="76">
        <v>0.5</v>
      </c>
      <c r="AT34" s="74">
        <f>SUMPRODUCT(--(WEEKDAY(D$3:AH$3,2)&lt;5),--ISNUMBER(MATCH(D34:AH34,{"DM","CS1","CS2","SB1","AE","CS/B"},0)))</f>
        <v>4</v>
      </c>
      <c r="AU34" s="74"/>
      <c r="AV34" s="74">
        <f>SUMPRODUCT(--(WEEKDAY(D$3:AH$3,2)=5),--ISNUMBER(MATCH(D34:AH34,{"DM","CS1","CS2","SB1","AE","CS/B","WEEKEND OUTFIELD RESERVE"},0)))</f>
        <v>0</v>
      </c>
      <c r="AW34" s="74">
        <f>SUMPRODUCT(--(WEEKDAY(D$3:AH$3,2)&gt;5),--ISNUMBER(MATCH(D34:AH34,{"DM","CS1","CS2","SB1","AE","CS/B","WEEKEND OUTFIELD RESERVE"},0)))</f>
        <v>2</v>
      </c>
      <c r="AX34" s="74"/>
      <c r="AY34" s="74">
        <f t="shared" si="3"/>
        <v>8.5</v>
      </c>
      <c r="AZ34" s="74">
        <f t="shared" si="4"/>
        <v>6</v>
      </c>
      <c r="BA34" s="74">
        <f t="shared" si="5"/>
        <v>2</v>
      </c>
      <c r="BB34" s="76">
        <f t="shared" si="6"/>
        <v>10</v>
      </c>
      <c r="BC34" s="74">
        <f t="shared" si="7"/>
        <v>1.5</v>
      </c>
      <c r="BD34" s="74">
        <f t="shared" si="8"/>
        <v>0</v>
      </c>
      <c r="BE34" s="74">
        <f t="shared" si="9"/>
        <v>0</v>
      </c>
      <c r="BF34" s="74">
        <f t="shared" si="10"/>
        <v>1</v>
      </c>
      <c r="BG34" s="74">
        <f t="shared" si="11"/>
        <v>1</v>
      </c>
      <c r="BH34" s="74">
        <f t="shared" si="12"/>
        <v>0</v>
      </c>
      <c r="BI34" s="74">
        <f t="shared" si="13"/>
        <v>0</v>
      </c>
      <c r="BJ34" s="74">
        <f t="shared" si="14"/>
        <v>1</v>
      </c>
      <c r="BK34" s="74">
        <f t="shared" si="15"/>
        <v>0.5</v>
      </c>
      <c r="BL34" s="74">
        <f t="shared" si="16"/>
        <v>0</v>
      </c>
      <c r="BM34" s="74">
        <f t="shared" si="17"/>
        <v>0</v>
      </c>
      <c r="BN34" s="74">
        <f t="shared" si="34"/>
        <v>0</v>
      </c>
      <c r="BO34" s="74">
        <f>COUNTIF($E34:$AB34,BO$4)</f>
        <v>0</v>
      </c>
      <c r="BP34" s="74">
        <f>COUNTIF($E34:$AB34,BP$4)</f>
        <v>0</v>
      </c>
      <c r="BQ34" s="74">
        <f>COUNTIF($E34:$AB34,BQ$4)</f>
        <v>0</v>
      </c>
      <c r="BR34" s="74"/>
    </row>
    <row r="35" ht="19.5" customHeight="1" spans="1:70">
      <c r="A35" s="77"/>
      <c r="B35" s="76" t="s">
        <v>739</v>
      </c>
      <c r="C35" s="76"/>
      <c r="D35" s="107" t="s">
        <v>56</v>
      </c>
      <c r="E35" s="107"/>
      <c r="F35" s="107"/>
      <c r="G35" s="107"/>
      <c r="H35" s="107" t="s">
        <v>58</v>
      </c>
      <c r="I35" s="107" t="s">
        <v>797</v>
      </c>
      <c r="K35" s="107"/>
      <c r="L35" s="107" t="s">
        <v>779</v>
      </c>
      <c r="M35" s="107"/>
      <c r="R35" s="107"/>
      <c r="S35" s="107"/>
      <c r="T35" s="107" t="s">
        <v>65</v>
      </c>
      <c r="U35" s="107"/>
      <c r="W35" s="107" t="s">
        <v>58</v>
      </c>
      <c r="Y35" s="107"/>
      <c r="Z35" s="107"/>
      <c r="AA35" s="107"/>
      <c r="AB35" s="107" t="s">
        <v>798</v>
      </c>
      <c r="AC35" s="107" t="s">
        <v>487</v>
      </c>
      <c r="AD35" s="107" t="s">
        <v>350</v>
      </c>
      <c r="AE35" s="107"/>
      <c r="AG35" s="107"/>
      <c r="AH35" s="107" t="s">
        <v>350</v>
      </c>
      <c r="AI35" s="77">
        <f t="shared" ref="AI35:AQ35" si="52">COUNTIF($D35:$AG35,AI$4)</f>
        <v>0</v>
      </c>
      <c r="AJ35" s="77">
        <f t="shared" si="52"/>
        <v>1</v>
      </c>
      <c r="AK35" s="77">
        <f t="shared" si="52"/>
        <v>0</v>
      </c>
      <c r="AL35" s="77">
        <f t="shared" si="52"/>
        <v>0</v>
      </c>
      <c r="AM35" s="77">
        <f t="shared" si="52"/>
        <v>2</v>
      </c>
      <c r="AN35" s="77">
        <f t="shared" si="52"/>
        <v>0</v>
      </c>
      <c r="AO35" s="77">
        <f t="shared" si="52"/>
        <v>1</v>
      </c>
      <c r="AP35" s="77">
        <f t="shared" si="52"/>
        <v>0</v>
      </c>
      <c r="AQ35" s="77">
        <f t="shared" si="52"/>
        <v>0</v>
      </c>
      <c r="AR35" s="76"/>
      <c r="AS35" s="76"/>
      <c r="AT35" s="77">
        <f>SUMPRODUCT(--(WEEKDAY(D$3:AH$3,2)&lt;5),--ISNUMBER(MATCH(D35:AH35,{"DM","CS1","CS2","SB1","AE","CS/B"},0)))</f>
        <v>2</v>
      </c>
      <c r="AU35" s="77"/>
      <c r="AV35" s="77">
        <f>SUMPRODUCT(--(WEEKDAY(D$3:AH$3,2)=5),--ISNUMBER(MATCH(D35:AH35,{"DM","CS1","CS2","SB1","AE","CS/B","WEEKEND OUTFIELD RESERVE"},0)))</f>
        <v>1</v>
      </c>
      <c r="AW35" s="77">
        <f>SUMPRODUCT(--(WEEKDAY(D$3:AH$3,2)&gt;5),--ISNUMBER(MATCH(D35:AH35,{"DM","CS1","CS2","SB1","AE","CS/B","WEEKEND OUTFIELD RESERVE"},0)))</f>
        <v>1</v>
      </c>
      <c r="AX35" s="77"/>
      <c r="AY35" s="77">
        <f t="shared" si="3"/>
        <v>5.5</v>
      </c>
      <c r="AZ35" s="77">
        <f t="shared" si="4"/>
        <v>4</v>
      </c>
      <c r="BA35" s="77">
        <f t="shared" si="5"/>
        <v>3</v>
      </c>
      <c r="BB35" s="76">
        <f t="shared" si="6"/>
        <v>8.5</v>
      </c>
      <c r="BC35" s="77">
        <f t="shared" si="7"/>
        <v>3</v>
      </c>
      <c r="BD35" s="77">
        <f t="shared" si="8"/>
        <v>1</v>
      </c>
      <c r="BE35" s="77">
        <f t="shared" si="9"/>
        <v>1.5</v>
      </c>
      <c r="BF35" s="77">
        <f t="shared" si="10"/>
        <v>1</v>
      </c>
      <c r="BG35" s="77">
        <f t="shared" si="11"/>
        <v>1</v>
      </c>
      <c r="BH35" s="77">
        <f t="shared" si="12"/>
        <v>1</v>
      </c>
      <c r="BI35" s="77">
        <f t="shared" si="13"/>
        <v>0.5</v>
      </c>
      <c r="BJ35" s="77">
        <f t="shared" si="14"/>
        <v>0</v>
      </c>
      <c r="BK35" s="77">
        <f t="shared" si="15"/>
        <v>0</v>
      </c>
      <c r="BL35" s="77">
        <f t="shared" si="16"/>
        <v>0</v>
      </c>
      <c r="BM35" s="77">
        <f t="shared" si="17"/>
        <v>0</v>
      </c>
      <c r="BN35" s="77">
        <f t="shared" si="34"/>
        <v>-1.5</v>
      </c>
      <c r="BO35" s="77">
        <f>COUNTIF($E35:$Z35,BO$4)</f>
        <v>0</v>
      </c>
      <c r="BP35" s="77">
        <f>COUNTIF($E35:$Z35,BP$4)</f>
        <v>0</v>
      </c>
      <c r="BQ35" s="77">
        <f>COUNTIF($E35:$Z35,BQ$4)</f>
        <v>0</v>
      </c>
      <c r="BR35" s="77"/>
    </row>
    <row r="36" ht="19.5" customHeight="1" spans="1:70">
      <c r="A36" s="74"/>
      <c r="B36" s="76" t="s">
        <v>649</v>
      </c>
      <c r="C36" s="76"/>
      <c r="D36" s="110" t="s">
        <v>65</v>
      </c>
      <c r="E36" s="110"/>
      <c r="F36" s="110"/>
      <c r="G36" s="110" t="s">
        <v>566</v>
      </c>
      <c r="H36" s="110"/>
      <c r="I36" s="143" t="s">
        <v>767</v>
      </c>
      <c r="J36" s="110"/>
      <c r="K36" s="110"/>
      <c r="L36" s="110"/>
      <c r="M36" s="110"/>
      <c r="R36" s="110" t="s">
        <v>573</v>
      </c>
      <c r="S36" s="110"/>
      <c r="T36" s="110"/>
      <c r="U36" s="110" t="s">
        <v>799</v>
      </c>
      <c r="V36" s="110" t="s">
        <v>800</v>
      </c>
      <c r="W36" s="110" t="s">
        <v>65</v>
      </c>
      <c r="X36" s="110"/>
      <c r="Y36" s="110" t="s">
        <v>801</v>
      </c>
      <c r="Z36" s="142"/>
      <c r="AA36" s="110"/>
      <c r="AB36" s="110" t="s">
        <v>93</v>
      </c>
      <c r="AC36" s="110" t="s">
        <v>802</v>
      </c>
      <c r="AD36" s="110"/>
      <c r="AE36" s="137"/>
      <c r="AF36" s="110"/>
      <c r="AG36" s="110" t="s">
        <v>58</v>
      </c>
      <c r="AH36" s="110"/>
      <c r="AI36" s="74">
        <f t="shared" ref="AI36:AQ36" si="53">COUNTIF($D36:$AG36,AI$4)</f>
        <v>0</v>
      </c>
      <c r="AJ36" s="74">
        <f t="shared" si="53"/>
        <v>0</v>
      </c>
      <c r="AK36" s="74">
        <f t="shared" si="53"/>
        <v>0</v>
      </c>
      <c r="AL36" s="74">
        <f t="shared" si="53"/>
        <v>1</v>
      </c>
      <c r="AM36" s="74">
        <f t="shared" si="53"/>
        <v>1</v>
      </c>
      <c r="AN36" s="74">
        <f t="shared" si="53"/>
        <v>1</v>
      </c>
      <c r="AO36" s="74">
        <f t="shared" si="53"/>
        <v>2</v>
      </c>
      <c r="AP36" s="74">
        <f t="shared" si="53"/>
        <v>1</v>
      </c>
      <c r="AQ36" s="74">
        <f t="shared" si="53"/>
        <v>0</v>
      </c>
      <c r="AR36" s="76"/>
      <c r="AS36" s="76">
        <v>0.5</v>
      </c>
      <c r="AT36" s="74">
        <f>SUMPRODUCT(--(WEEKDAY(D$3:AH$3,2)&lt;5),--ISNUMBER(MATCH(D36:AH36,{"DM","CS1","CS2","SB1","AE","CS/B"},0)))</f>
        <v>2</v>
      </c>
      <c r="AU36" s="74"/>
      <c r="AV36" s="74">
        <f>SUMPRODUCT(--(WEEKDAY(D$3:AH$3,2)=5),--ISNUMBER(MATCH(D36:AH36,{"DM","CS1","CS2","SB1","AE","CS/B","WEEKEND OUTFIELD RESERVE"},0)))</f>
        <v>1</v>
      </c>
      <c r="AW36" s="74">
        <f>SUMPRODUCT(--(WEEKDAY(D$3:AH$3,2)&gt;5),--ISNUMBER(MATCH(D36:AH36,{"DM","CS1","CS2","SB1","AE","CS/B","WEEKEND OUTFIELD RESERVE"},0)))</f>
        <v>1</v>
      </c>
      <c r="AX36" s="74"/>
      <c r="AY36" s="74">
        <f t="shared" si="3"/>
        <v>6</v>
      </c>
      <c r="AZ36" s="74">
        <f t="shared" si="4"/>
        <v>4</v>
      </c>
      <c r="BA36" s="74">
        <f t="shared" si="5"/>
        <v>4</v>
      </c>
      <c r="BB36" s="76">
        <f t="shared" si="6"/>
        <v>9.5</v>
      </c>
      <c r="BC36" s="74">
        <f t="shared" si="7"/>
        <v>3.5</v>
      </c>
      <c r="BD36" s="74">
        <f t="shared" si="8"/>
        <v>0</v>
      </c>
      <c r="BE36" s="74">
        <f t="shared" si="9"/>
        <v>0</v>
      </c>
      <c r="BF36" s="74">
        <f t="shared" si="10"/>
        <v>3</v>
      </c>
      <c r="BG36" s="74">
        <f t="shared" si="11"/>
        <v>3</v>
      </c>
      <c r="BH36" s="74">
        <f t="shared" si="12"/>
        <v>0</v>
      </c>
      <c r="BI36" s="74">
        <f t="shared" si="13"/>
        <v>0</v>
      </c>
      <c r="BJ36" s="74">
        <f t="shared" si="14"/>
        <v>1</v>
      </c>
      <c r="BK36" s="74">
        <f t="shared" si="15"/>
        <v>0.5</v>
      </c>
      <c r="BL36" s="74">
        <f t="shared" si="16"/>
        <v>0</v>
      </c>
      <c r="BM36" s="74">
        <f t="shared" si="17"/>
        <v>0</v>
      </c>
      <c r="BN36" s="74">
        <f t="shared" si="34"/>
        <v>-0.5</v>
      </c>
      <c r="BO36" s="74">
        <f>COUNTIF($E36:$AA36,BO$4)</f>
        <v>0</v>
      </c>
      <c r="BP36" s="74">
        <f>COUNTIF($E36:$AA36,BP$4)</f>
        <v>0</v>
      </c>
      <c r="BQ36" s="74">
        <f>COUNTIF($E36:$AA36,BQ$4)</f>
        <v>0</v>
      </c>
      <c r="BR36" s="74"/>
    </row>
    <row r="37" ht="19.5" customHeight="1" spans="1:70">
      <c r="A37" s="77"/>
      <c r="B37" s="76" t="s">
        <v>657</v>
      </c>
      <c r="C37" s="76"/>
      <c r="D37" s="107"/>
      <c r="E37" s="107"/>
      <c r="F37" s="107"/>
      <c r="G37" s="107"/>
      <c r="H37" s="107" t="s">
        <v>350</v>
      </c>
      <c r="I37" s="107"/>
      <c r="J37" s="107" t="s">
        <v>65</v>
      </c>
      <c r="K37" s="107" t="s">
        <v>93</v>
      </c>
      <c r="L37" s="107"/>
      <c r="M37" s="107"/>
      <c r="N37" s="107" t="s">
        <v>329</v>
      </c>
      <c r="O37" s="107" t="s">
        <v>329</v>
      </c>
      <c r="P37" s="107" t="s">
        <v>329</v>
      </c>
      <c r="Q37" s="107" t="s">
        <v>329</v>
      </c>
      <c r="S37" s="107"/>
      <c r="T37" s="107"/>
      <c r="U37" s="107" t="s">
        <v>93</v>
      </c>
      <c r="W37" s="86" t="s">
        <v>61</v>
      </c>
      <c r="X37" s="107"/>
      <c r="Y37" s="107"/>
      <c r="Z37" s="141"/>
      <c r="AA37" s="107"/>
      <c r="AB37" s="145" t="s">
        <v>769</v>
      </c>
      <c r="AC37" s="107"/>
      <c r="AF37" s="107"/>
      <c r="AG37" s="107"/>
      <c r="AH37" s="107"/>
      <c r="AI37" s="77">
        <f t="shared" ref="AI37:AQ37" si="54">COUNTIF($D37:$AG37,AI$4)</f>
        <v>0</v>
      </c>
      <c r="AJ37" s="77">
        <f t="shared" si="54"/>
        <v>0</v>
      </c>
      <c r="AK37" s="77">
        <f t="shared" si="54"/>
        <v>0</v>
      </c>
      <c r="AL37" s="77">
        <f t="shared" si="54"/>
        <v>0</v>
      </c>
      <c r="AM37" s="77">
        <f t="shared" si="54"/>
        <v>0</v>
      </c>
      <c r="AN37" s="77">
        <f t="shared" si="54"/>
        <v>2</v>
      </c>
      <c r="AO37" s="77">
        <f t="shared" si="54"/>
        <v>1</v>
      </c>
      <c r="AP37" s="77">
        <f t="shared" si="54"/>
        <v>0</v>
      </c>
      <c r="AQ37" s="77">
        <f t="shared" si="54"/>
        <v>0</v>
      </c>
      <c r="AR37" s="76"/>
      <c r="AS37" s="76">
        <v>0.5</v>
      </c>
      <c r="AT37" s="77">
        <f>SUMPRODUCT(--(WEEKDAY(D$3:AH$3,2)&lt;5),--ISNUMBER(MATCH(D37:AH37,{"DM","CS1","CS2","SB1","AE","CS/B"},0)))</f>
        <v>1</v>
      </c>
      <c r="AU37" s="77"/>
      <c r="AV37" s="77">
        <f>SUMPRODUCT(--(WEEKDAY(D$3:AH$3,2)=5),--ISNUMBER(MATCH(D37:AH37,{"DM","CS1","CS2","SB1","AE","CS/B","WEEKEND OUTFIELD RESERVE"},0)))</f>
        <v>0</v>
      </c>
      <c r="AW37" s="77">
        <f>SUMPRODUCT(--(WEEKDAY(D$3:AH$3,2)&gt;5),--ISNUMBER(MATCH(D37:AH37,{"DM","CS1","CS2","SB1","AE","CS/B","WEEKEND OUTFIELD RESERVE"},0)))</f>
        <v>0</v>
      </c>
      <c r="AX37" s="77"/>
      <c r="AY37" s="77">
        <f t="shared" si="3"/>
        <v>1.5</v>
      </c>
      <c r="AZ37" s="77">
        <f t="shared" si="4"/>
        <v>1</v>
      </c>
      <c r="BA37" s="77">
        <f t="shared" si="5"/>
        <v>4</v>
      </c>
      <c r="BB37" s="76">
        <f t="shared" si="6"/>
        <v>5.5</v>
      </c>
      <c r="BC37" s="77">
        <f t="shared" si="7"/>
        <v>4</v>
      </c>
      <c r="BD37" s="77">
        <f t="shared" si="8"/>
        <v>0</v>
      </c>
      <c r="BE37" s="77">
        <f t="shared" si="9"/>
        <v>0</v>
      </c>
      <c r="BF37" s="77">
        <f t="shared" si="10"/>
        <v>0</v>
      </c>
      <c r="BG37" s="77">
        <f t="shared" si="11"/>
        <v>0</v>
      </c>
      <c r="BH37" s="77">
        <f t="shared" si="12"/>
        <v>0</v>
      </c>
      <c r="BI37" s="77">
        <f t="shared" si="13"/>
        <v>0</v>
      </c>
      <c r="BJ37" s="77">
        <f t="shared" si="14"/>
        <v>0</v>
      </c>
      <c r="BK37" s="77">
        <f t="shared" si="15"/>
        <v>0</v>
      </c>
      <c r="BL37" s="77">
        <f t="shared" si="16"/>
        <v>4</v>
      </c>
      <c r="BM37" s="77">
        <f t="shared" si="17"/>
        <v>4</v>
      </c>
      <c r="BN37" s="77">
        <f t="shared" si="34"/>
        <v>-4.5</v>
      </c>
      <c r="BO37" s="77">
        <f>COUNTIF($E37:$AA37,BO$4)</f>
        <v>0</v>
      </c>
      <c r="BP37" s="77">
        <f>COUNTIF($E37:$AA37,BP$4)</f>
        <v>1</v>
      </c>
      <c r="BQ37" s="77">
        <f>COUNTIF($E37:$AA37,BQ$4)</f>
        <v>0</v>
      </c>
      <c r="BR37" s="77"/>
    </row>
    <row r="38" ht="19.5" customHeight="1" spans="1:70">
      <c r="A38" s="74"/>
      <c r="B38" s="76" t="s">
        <v>659</v>
      </c>
      <c r="C38" s="76"/>
      <c r="D38" s="110"/>
      <c r="E38" s="110"/>
      <c r="F38" s="110"/>
      <c r="G38" s="110"/>
      <c r="I38" s="110" t="s">
        <v>58</v>
      </c>
      <c r="K38" s="110" t="s">
        <v>573</v>
      </c>
      <c r="L38" s="110"/>
      <c r="M38" s="110"/>
      <c r="N38" s="110" t="s">
        <v>782</v>
      </c>
      <c r="O38" s="110" t="s">
        <v>782</v>
      </c>
      <c r="P38" s="110"/>
      <c r="Q38" s="110"/>
      <c r="R38" s="110" t="s">
        <v>58</v>
      </c>
      <c r="S38" s="110"/>
      <c r="T38" s="110"/>
      <c r="U38" s="149" t="s">
        <v>685</v>
      </c>
      <c r="V38" s="143" t="s">
        <v>734</v>
      </c>
      <c r="W38" s="144" t="s">
        <v>61</v>
      </c>
      <c r="X38" s="110" t="s">
        <v>803</v>
      </c>
      <c r="Y38" s="110"/>
      <c r="Z38" s="110"/>
      <c r="AA38" s="110"/>
      <c r="AB38" s="143" t="s">
        <v>769</v>
      </c>
      <c r="AC38" s="110" t="s">
        <v>65</v>
      </c>
      <c r="AD38" s="110"/>
      <c r="AG38" s="110"/>
      <c r="AH38" s="110" t="s">
        <v>65</v>
      </c>
      <c r="AI38" s="74">
        <f t="shared" ref="AI38:AQ38" si="55">COUNTIF($D38:$AG38,AI$4)</f>
        <v>0</v>
      </c>
      <c r="AJ38" s="74">
        <f t="shared" si="55"/>
        <v>0</v>
      </c>
      <c r="AK38" s="74">
        <f t="shared" si="55"/>
        <v>0</v>
      </c>
      <c r="AL38" s="74">
        <f t="shared" si="55"/>
        <v>0</v>
      </c>
      <c r="AM38" s="74">
        <f t="shared" si="55"/>
        <v>2</v>
      </c>
      <c r="AN38" s="74">
        <f t="shared" si="55"/>
        <v>0</v>
      </c>
      <c r="AO38" s="74">
        <f t="shared" si="55"/>
        <v>1</v>
      </c>
      <c r="AP38" s="74">
        <f t="shared" si="55"/>
        <v>0</v>
      </c>
      <c r="AQ38" s="74">
        <f t="shared" si="55"/>
        <v>0</v>
      </c>
      <c r="AR38" s="76">
        <v>1</v>
      </c>
      <c r="AS38" s="76"/>
      <c r="AT38" s="74">
        <f>SUMPRODUCT(--(WEEKDAY(D$3:AH$3,2)&lt;5),--ISNUMBER(MATCH(D38:AH38,{"DM","CS1","CS2","SB1","AE","CS/B"},0)))</f>
        <v>2</v>
      </c>
      <c r="AU38" s="74"/>
      <c r="AV38" s="74">
        <f>SUMPRODUCT(--(WEEKDAY(D$3:AH$3,2)=5),--ISNUMBER(MATCH(D38:AH38,{"DM","CS1","CS2","SB1","AE","CS/B","WEEKEND OUTFIELD RESERVE"},0)))</f>
        <v>1</v>
      </c>
      <c r="AW38" s="74">
        <f>SUMPRODUCT(--(WEEKDAY(D$3:AH$3,2)&gt;5),--ISNUMBER(MATCH(D38:AH38,{"DM","CS1","CS2","SB1","AE","CS/B","WEEKEND OUTFIELD RESERVE"},0)))</f>
        <v>1</v>
      </c>
      <c r="AX38" s="74"/>
      <c r="AY38" s="74">
        <f t="shared" si="3"/>
        <v>6.5</v>
      </c>
      <c r="AZ38" s="74">
        <f t="shared" si="4"/>
        <v>4</v>
      </c>
      <c r="BA38" s="74">
        <f t="shared" si="5"/>
        <v>5</v>
      </c>
      <c r="BB38" s="76">
        <f t="shared" si="6"/>
        <v>10</v>
      </c>
      <c r="BC38" s="74">
        <f t="shared" si="7"/>
        <v>3.5</v>
      </c>
      <c r="BD38" s="74">
        <f t="shared" si="8"/>
        <v>0</v>
      </c>
      <c r="BE38" s="74">
        <f t="shared" si="9"/>
        <v>0</v>
      </c>
      <c r="BF38" s="74">
        <f t="shared" si="10"/>
        <v>0</v>
      </c>
      <c r="BG38" s="74">
        <f t="shared" si="11"/>
        <v>0</v>
      </c>
      <c r="BH38" s="74">
        <f t="shared" si="12"/>
        <v>1</v>
      </c>
      <c r="BI38" s="74">
        <f t="shared" si="13"/>
        <v>0.5</v>
      </c>
      <c r="BJ38" s="74">
        <f t="shared" si="14"/>
        <v>2</v>
      </c>
      <c r="BK38" s="74">
        <f t="shared" si="15"/>
        <v>1</v>
      </c>
      <c r="BL38" s="74">
        <f t="shared" si="16"/>
        <v>2</v>
      </c>
      <c r="BM38" s="74">
        <f t="shared" si="17"/>
        <v>2</v>
      </c>
      <c r="BN38" s="74">
        <f t="shared" si="34"/>
        <v>0</v>
      </c>
      <c r="BO38" s="74">
        <f>COUNTIF($E38:$AA38,BO$4)</f>
        <v>0</v>
      </c>
      <c r="BP38" s="74">
        <f>COUNTIF($E38:$AA38,BP$4)</f>
        <v>0</v>
      </c>
      <c r="BQ38" s="74">
        <f>COUNTIF($E38:$AA38,BQ$4)</f>
        <v>0</v>
      </c>
      <c r="BR38" s="74"/>
    </row>
    <row r="39" ht="19.5" customHeight="1" spans="1:70">
      <c r="A39" s="77"/>
      <c r="B39" s="76" t="s">
        <v>744</v>
      </c>
      <c r="C39" s="76"/>
      <c r="D39" s="107"/>
      <c r="E39" s="107"/>
      <c r="F39" s="107"/>
      <c r="G39" s="107" t="s">
        <v>65</v>
      </c>
      <c r="H39" s="107"/>
      <c r="J39" s="75" t="s">
        <v>804</v>
      </c>
      <c r="L39" s="107"/>
      <c r="M39" s="107" t="s">
        <v>65</v>
      </c>
      <c r="N39" s="107"/>
      <c r="O39" s="107" t="s">
        <v>805</v>
      </c>
      <c r="Q39" s="145"/>
      <c r="S39" s="107"/>
      <c r="T39" s="107"/>
      <c r="U39" s="107"/>
      <c r="V39" s="107" t="s">
        <v>573</v>
      </c>
      <c r="W39" s="86" t="s">
        <v>71</v>
      </c>
      <c r="X39" s="86" t="s">
        <v>71</v>
      </c>
      <c r="Y39" s="86" t="s">
        <v>71</v>
      </c>
      <c r="Z39" s="107"/>
      <c r="AA39" s="107"/>
      <c r="AB39" s="145" t="s">
        <v>806</v>
      </c>
      <c r="AC39" s="107"/>
      <c r="AD39" s="107" t="s">
        <v>65</v>
      </c>
      <c r="AE39" s="107"/>
      <c r="AF39" s="107" t="s">
        <v>65</v>
      </c>
      <c r="AG39" s="107"/>
      <c r="AH39" s="107"/>
      <c r="AI39" s="77">
        <f t="shared" ref="AI39:AQ39" si="56">COUNTIF($D39:$AG39,AI$4)</f>
        <v>0</v>
      </c>
      <c r="AJ39" s="77">
        <f t="shared" si="56"/>
        <v>0</v>
      </c>
      <c r="AK39" s="77">
        <f t="shared" si="56"/>
        <v>0</v>
      </c>
      <c r="AL39" s="77">
        <f t="shared" si="56"/>
        <v>0</v>
      </c>
      <c r="AM39" s="77">
        <f t="shared" si="56"/>
        <v>0</v>
      </c>
      <c r="AN39" s="77">
        <f t="shared" si="56"/>
        <v>0</v>
      </c>
      <c r="AO39" s="77">
        <f t="shared" si="56"/>
        <v>4</v>
      </c>
      <c r="AP39" s="77">
        <f t="shared" si="56"/>
        <v>0</v>
      </c>
      <c r="AQ39" s="77">
        <f t="shared" si="56"/>
        <v>0</v>
      </c>
      <c r="AR39" s="76">
        <v>0</v>
      </c>
      <c r="AS39" s="76"/>
      <c r="AT39" s="77">
        <f>SUMPRODUCT(--(WEEKDAY(D$3:AH$3,2)&lt;5),--ISNUMBER(MATCH(D39:AH39,{"DM","CS1","CS2","SB1","AE","CS/B"},0)))</f>
        <v>2</v>
      </c>
      <c r="AU39" s="77"/>
      <c r="AV39" s="77">
        <f>SUMPRODUCT(--(WEEKDAY(D$3:AH$3,2)=5),--ISNUMBER(MATCH(D39:AH39,{"DM","CS1","CS2","SB1","AE","CS/B","WEEKEND OUTFIELD RESERVE"},0)))</f>
        <v>1</v>
      </c>
      <c r="AW39" s="77">
        <f>SUMPRODUCT(--(WEEKDAY(D$3:AH$3,2)&gt;5),--ISNUMBER(MATCH(D39:AH39,{"DM","CS1","CS2","SB1","AE","CS/B","WEEKEND OUTFIELD RESERVE"},0)))</f>
        <v>1</v>
      </c>
      <c r="AX39" s="77"/>
      <c r="AY39" s="77">
        <f t="shared" si="3"/>
        <v>5.5</v>
      </c>
      <c r="AZ39" s="77">
        <f t="shared" si="4"/>
        <v>4</v>
      </c>
      <c r="BA39" s="77">
        <f t="shared" si="5"/>
        <v>3</v>
      </c>
      <c r="BB39" s="76">
        <f t="shared" si="6"/>
        <v>8</v>
      </c>
      <c r="BC39" s="77">
        <f t="shared" si="7"/>
        <v>2.5</v>
      </c>
      <c r="BD39" s="77">
        <f t="shared" si="8"/>
        <v>0</v>
      </c>
      <c r="BE39" s="77">
        <f t="shared" si="9"/>
        <v>0</v>
      </c>
      <c r="BF39" s="77">
        <f t="shared" si="10"/>
        <v>2</v>
      </c>
      <c r="BG39" s="77">
        <f t="shared" si="11"/>
        <v>2</v>
      </c>
      <c r="BH39" s="77">
        <f t="shared" si="12"/>
        <v>0</v>
      </c>
      <c r="BI39" s="77">
        <f t="shared" si="13"/>
        <v>0</v>
      </c>
      <c r="BJ39" s="77">
        <f t="shared" si="14"/>
        <v>1</v>
      </c>
      <c r="BK39" s="77">
        <f t="shared" si="15"/>
        <v>0.5</v>
      </c>
      <c r="BL39" s="77">
        <f t="shared" si="16"/>
        <v>0</v>
      </c>
      <c r="BM39" s="77">
        <f t="shared" si="17"/>
        <v>0</v>
      </c>
      <c r="BN39" s="77">
        <f t="shared" si="34"/>
        <v>-2</v>
      </c>
      <c r="BO39" s="77">
        <f>COUNTIF($E39:$Z39,BO$4)</f>
        <v>0</v>
      </c>
      <c r="BP39" s="77">
        <f>COUNTIF($E39:$Z39,BP$4)</f>
        <v>0</v>
      </c>
      <c r="BQ39" s="77">
        <f>COUNTIF($E39:$Z39,BQ$4)</f>
        <v>0</v>
      </c>
      <c r="BR39" s="77"/>
    </row>
    <row r="40" ht="19.5" customHeight="1" spans="1:70">
      <c r="A40" s="74"/>
      <c r="B40" s="76" t="s">
        <v>748</v>
      </c>
      <c r="C40" s="76"/>
      <c r="D40" s="110"/>
      <c r="E40" s="110"/>
      <c r="F40" s="110"/>
      <c r="G40" s="110" t="s">
        <v>354</v>
      </c>
      <c r="H40" s="110"/>
      <c r="I40" s="110" t="s">
        <v>65</v>
      </c>
      <c r="J40" s="110"/>
      <c r="K40" s="110"/>
      <c r="L40" s="110" t="s">
        <v>65</v>
      </c>
      <c r="M40" s="110"/>
      <c r="N40" s="110"/>
      <c r="P40" s="110" t="s">
        <v>65</v>
      </c>
      <c r="Q40" s="110"/>
      <c r="R40" s="110"/>
      <c r="S40" s="110"/>
      <c r="T40" s="110"/>
      <c r="U40" s="110" t="s">
        <v>807</v>
      </c>
      <c r="V40" s="110"/>
      <c r="W40" s="144" t="s">
        <v>54</v>
      </c>
      <c r="X40" s="144" t="s">
        <v>54</v>
      </c>
      <c r="Y40" s="144" t="s">
        <v>54</v>
      </c>
      <c r="Z40" s="144" t="s">
        <v>54</v>
      </c>
      <c r="AA40" s="144" t="s">
        <v>54</v>
      </c>
      <c r="AB40" s="144" t="s">
        <v>54</v>
      </c>
      <c r="AC40" s="144" t="s">
        <v>54</v>
      </c>
      <c r="AD40" s="144" t="s">
        <v>54</v>
      </c>
      <c r="AE40" s="144" t="s">
        <v>54</v>
      </c>
      <c r="AF40" s="144" t="s">
        <v>54</v>
      </c>
      <c r="AG40" s="144" t="s">
        <v>54</v>
      </c>
      <c r="AH40" s="144" t="s">
        <v>54</v>
      </c>
      <c r="AI40" s="74">
        <f t="shared" ref="AI40:AQ40" si="57">COUNTIF($D40:$AG40,AI$4)</f>
        <v>0</v>
      </c>
      <c r="AJ40" s="74">
        <f t="shared" si="57"/>
        <v>0</v>
      </c>
      <c r="AK40" s="74">
        <f t="shared" si="57"/>
        <v>0</v>
      </c>
      <c r="AL40" s="74">
        <f t="shared" si="57"/>
        <v>0</v>
      </c>
      <c r="AM40" s="74">
        <f t="shared" si="57"/>
        <v>0</v>
      </c>
      <c r="AN40" s="74">
        <f t="shared" si="57"/>
        <v>0</v>
      </c>
      <c r="AO40" s="74">
        <f t="shared" si="57"/>
        <v>3</v>
      </c>
      <c r="AP40" s="74">
        <f t="shared" si="57"/>
        <v>0</v>
      </c>
      <c r="AQ40" s="74">
        <f t="shared" si="57"/>
        <v>0</v>
      </c>
      <c r="AR40" s="76">
        <v>2</v>
      </c>
      <c r="AS40" s="76"/>
      <c r="AT40" s="74">
        <f>SUMPRODUCT(--(WEEKDAY(D$3:AH$3,2)&lt;5),--ISNUMBER(MATCH(D40:AH40,{"DM","CS1","CS2","SB1","AE","CS/B"},0)))</f>
        <v>2</v>
      </c>
      <c r="AU40" s="74"/>
      <c r="AV40" s="74">
        <f>SUMPRODUCT(--(WEEKDAY(D$3:AH$3,2)=5),--ISNUMBER(MATCH(D40:AH40,{"DM","CS1","CS2","SB1","AE","CS/B","WEEKEND OUTFIELD RESERVE"},0)))</f>
        <v>0</v>
      </c>
      <c r="AW40" s="74">
        <f>SUMPRODUCT(--(WEEKDAY(D$3:AH$3,2)&gt;5),--ISNUMBER(MATCH(D40:AH40,{"DM","CS1","CS2","SB1","AE","CS/B","WEEKEND OUTFIELD RESERVE"},0)))</f>
        <v>1</v>
      </c>
      <c r="AX40" s="74"/>
      <c r="AY40" s="74">
        <f t="shared" si="3"/>
        <v>6</v>
      </c>
      <c r="AZ40" s="74">
        <f t="shared" si="4"/>
        <v>3</v>
      </c>
      <c r="BA40" s="74">
        <f t="shared" si="5"/>
        <v>2</v>
      </c>
      <c r="BB40" s="76">
        <f t="shared" si="6"/>
        <v>7.5</v>
      </c>
      <c r="BC40" s="74">
        <f t="shared" si="7"/>
        <v>1.5</v>
      </c>
      <c r="BD40" s="74">
        <f t="shared" si="8"/>
        <v>0</v>
      </c>
      <c r="BE40" s="74">
        <f t="shared" si="9"/>
        <v>0</v>
      </c>
      <c r="BF40" s="74">
        <f t="shared" si="10"/>
        <v>1</v>
      </c>
      <c r="BG40" s="74">
        <f t="shared" si="11"/>
        <v>1</v>
      </c>
      <c r="BH40" s="74">
        <f t="shared" si="12"/>
        <v>0</v>
      </c>
      <c r="BI40" s="74">
        <f t="shared" si="13"/>
        <v>0</v>
      </c>
      <c r="BJ40" s="74">
        <f t="shared" si="14"/>
        <v>1</v>
      </c>
      <c r="BK40" s="74">
        <f t="shared" si="15"/>
        <v>0.5</v>
      </c>
      <c r="BL40" s="74">
        <f t="shared" si="16"/>
        <v>0</v>
      </c>
      <c r="BM40" s="74">
        <f t="shared" si="17"/>
        <v>0</v>
      </c>
      <c r="BN40" s="74">
        <f t="shared" si="34"/>
        <v>-2.5</v>
      </c>
      <c r="BO40" s="74">
        <f>COUNTIF($E40:$AA40,BO$4)</f>
        <v>0</v>
      </c>
      <c r="BP40" s="74">
        <f>COUNTIF($E40:$AA40,BP$4)</f>
        <v>0</v>
      </c>
      <c r="BQ40" s="74">
        <f>COUNTIF($E40:$AA40,BQ$4)</f>
        <v>0</v>
      </c>
      <c r="BR40" s="74"/>
    </row>
    <row r="41" ht="19.5" customHeight="1" spans="1:70">
      <c r="A41" s="77"/>
      <c r="B41" s="76" t="s">
        <v>752</v>
      </c>
      <c r="C41" s="76"/>
      <c r="D41" s="107"/>
      <c r="E41" s="107" t="s">
        <v>65</v>
      </c>
      <c r="F41" s="107"/>
      <c r="G41" s="107" t="s">
        <v>777</v>
      </c>
      <c r="I41" s="107" t="s">
        <v>781</v>
      </c>
      <c r="K41" s="107" t="s">
        <v>713</v>
      </c>
      <c r="L41" s="107"/>
      <c r="M41" s="107"/>
      <c r="N41" s="107" t="s">
        <v>65</v>
      </c>
      <c r="P41" s="107" t="s">
        <v>808</v>
      </c>
      <c r="Q41" s="107"/>
      <c r="R41" s="107" t="s">
        <v>65</v>
      </c>
      <c r="S41" s="107"/>
      <c r="T41" s="107"/>
      <c r="U41" s="107" t="s">
        <v>65</v>
      </c>
      <c r="W41" s="107" t="s">
        <v>809</v>
      </c>
      <c r="X41" s="107"/>
      <c r="Y41" s="107"/>
      <c r="Z41" s="107"/>
      <c r="AA41" s="107"/>
      <c r="AB41" s="107" t="s">
        <v>573</v>
      </c>
      <c r="AD41" s="107"/>
      <c r="AE41" s="107"/>
      <c r="AG41" s="107" t="s">
        <v>810</v>
      </c>
      <c r="AH41" s="107"/>
      <c r="AI41" s="77">
        <f t="shared" ref="AI41:AQ41" si="58">COUNTIF($D41:$AG41,AI$4)</f>
        <v>0</v>
      </c>
      <c r="AJ41" s="77">
        <f t="shared" si="58"/>
        <v>0</v>
      </c>
      <c r="AK41" s="77">
        <f t="shared" si="58"/>
        <v>0</v>
      </c>
      <c r="AL41" s="77">
        <f t="shared" si="58"/>
        <v>0</v>
      </c>
      <c r="AM41" s="77">
        <f t="shared" si="58"/>
        <v>0</v>
      </c>
      <c r="AN41" s="77">
        <f t="shared" si="58"/>
        <v>0</v>
      </c>
      <c r="AO41" s="77">
        <f t="shared" si="58"/>
        <v>4</v>
      </c>
      <c r="AP41" s="77">
        <f t="shared" si="58"/>
        <v>0</v>
      </c>
      <c r="AQ41" s="77">
        <f t="shared" si="58"/>
        <v>0</v>
      </c>
      <c r="AR41" s="76">
        <v>0</v>
      </c>
      <c r="AS41" s="76"/>
      <c r="AT41" s="77">
        <f>SUMPRODUCT(--(WEEKDAY(D$3:AH$3,2)&lt;5),--ISNUMBER(MATCH(D41:AH41,{"DM","CS1","CS2","SB1","AE","CS/B"},0)))</f>
        <v>2</v>
      </c>
      <c r="AU41" s="77"/>
      <c r="AV41" s="77">
        <f>SUMPRODUCT(--(WEEKDAY(D$3:AH$3,2)=5),--ISNUMBER(MATCH(D41:AH41,{"DM","CS1","CS2","SB1","AE","CS/B","WEEKEND OUTFIELD RESERVE"},0)))</f>
        <v>2</v>
      </c>
      <c r="AW41" s="77">
        <f>SUMPRODUCT(--(WEEKDAY(D$3:AH$3,2)&gt;5),--ISNUMBER(MATCH(D41:AH41,{"DM","CS1","CS2","SB1","AE","CS/B","WEEKEND OUTFIELD RESERVE"},0)))</f>
        <v>1</v>
      </c>
      <c r="AX41" s="77"/>
      <c r="AY41" s="77">
        <f t="shared" si="3"/>
        <v>7</v>
      </c>
      <c r="AZ41" s="77">
        <f t="shared" si="4"/>
        <v>5</v>
      </c>
      <c r="BA41" s="77">
        <f t="shared" si="5"/>
        <v>5</v>
      </c>
      <c r="BB41" s="76">
        <f t="shared" si="6"/>
        <v>11.5</v>
      </c>
      <c r="BC41" s="77">
        <f t="shared" si="7"/>
        <v>4.5</v>
      </c>
      <c r="BD41" s="77">
        <f t="shared" si="8"/>
        <v>1</v>
      </c>
      <c r="BE41" s="77">
        <f t="shared" si="9"/>
        <v>1.5</v>
      </c>
      <c r="BF41" s="77">
        <f t="shared" si="10"/>
        <v>2</v>
      </c>
      <c r="BG41" s="77">
        <f t="shared" si="11"/>
        <v>2</v>
      </c>
      <c r="BH41" s="77">
        <f t="shared" si="12"/>
        <v>1</v>
      </c>
      <c r="BI41" s="77">
        <f t="shared" si="13"/>
        <v>0.5</v>
      </c>
      <c r="BJ41" s="77">
        <f t="shared" si="14"/>
        <v>1</v>
      </c>
      <c r="BK41" s="77">
        <f t="shared" si="15"/>
        <v>0.5</v>
      </c>
      <c r="BL41" s="77">
        <f t="shared" si="16"/>
        <v>0</v>
      </c>
      <c r="BM41" s="77">
        <f t="shared" si="17"/>
        <v>0</v>
      </c>
      <c r="BN41" s="77">
        <f t="shared" si="34"/>
        <v>1.5</v>
      </c>
      <c r="BO41" s="77">
        <f>COUNTIF($E41:$AA41,BO$4)</f>
        <v>0</v>
      </c>
      <c r="BP41" s="77">
        <f>COUNTIF($E41:$AA41,BP$4)</f>
        <v>0</v>
      </c>
      <c r="BQ41" s="77">
        <f>COUNTIF($E41:$AA41,BQ$4)</f>
        <v>0</v>
      </c>
      <c r="BR41" s="77"/>
    </row>
    <row r="42" ht="19.5" customHeight="1" spans="1:70">
      <c r="A42" s="74"/>
      <c r="B42" s="76" t="s">
        <v>753</v>
      </c>
      <c r="C42" s="76"/>
      <c r="D42" s="110"/>
      <c r="E42" s="110"/>
      <c r="F42" s="110" t="s">
        <v>65</v>
      </c>
      <c r="G42" s="110"/>
      <c r="H42" s="110" t="s">
        <v>65</v>
      </c>
      <c r="J42" s="110" t="s">
        <v>811</v>
      </c>
      <c r="L42" s="110"/>
      <c r="M42" s="110"/>
      <c r="N42" s="110"/>
      <c r="O42" s="110"/>
      <c r="P42" s="110" t="s">
        <v>275</v>
      </c>
      <c r="Q42" s="110" t="s">
        <v>573</v>
      </c>
      <c r="R42" s="110" t="s">
        <v>186</v>
      </c>
      <c r="S42" s="110"/>
      <c r="T42" s="110"/>
      <c r="U42" s="110" t="s">
        <v>55</v>
      </c>
      <c r="W42" s="110" t="s">
        <v>176</v>
      </c>
      <c r="X42" s="144" t="s">
        <v>176</v>
      </c>
      <c r="Y42" s="110" t="s">
        <v>176</v>
      </c>
      <c r="Z42" s="110"/>
      <c r="AA42" s="110" t="s">
        <v>65</v>
      </c>
      <c r="AB42" s="110" t="s">
        <v>807</v>
      </c>
      <c r="AC42" s="110"/>
      <c r="AD42" s="110" t="s">
        <v>58</v>
      </c>
      <c r="AE42" s="110"/>
      <c r="AF42" s="110" t="s">
        <v>810</v>
      </c>
      <c r="AG42" s="110"/>
      <c r="AH42" s="110"/>
      <c r="AI42" s="74">
        <f t="shared" ref="AI42:AQ42" si="59">COUNTIF($D42:$AG42,AI$4)</f>
        <v>0</v>
      </c>
      <c r="AJ42" s="74">
        <f t="shared" si="59"/>
        <v>0</v>
      </c>
      <c r="AK42" s="74">
        <f t="shared" si="59"/>
        <v>0</v>
      </c>
      <c r="AL42" s="74">
        <f t="shared" si="59"/>
        <v>0</v>
      </c>
      <c r="AM42" s="74">
        <f t="shared" si="59"/>
        <v>1</v>
      </c>
      <c r="AN42" s="74">
        <f t="shared" si="59"/>
        <v>0</v>
      </c>
      <c r="AO42" s="74">
        <f t="shared" si="59"/>
        <v>3</v>
      </c>
      <c r="AP42" s="74">
        <f t="shared" si="59"/>
        <v>0</v>
      </c>
      <c r="AQ42" s="74">
        <f t="shared" si="59"/>
        <v>0</v>
      </c>
      <c r="AR42" s="76">
        <v>0.5</v>
      </c>
      <c r="AS42" s="76"/>
      <c r="AT42" s="74">
        <f>SUMPRODUCT(--(WEEKDAY(D$3:AH$3,2)&lt;5),--ISNUMBER(MATCH(D42:AH42,{"DM","CS1","CS2","SB1","AE","CS/B"},0)))</f>
        <v>2</v>
      </c>
      <c r="AU42" s="74"/>
      <c r="AV42" s="74">
        <f>SUMPRODUCT(--(WEEKDAY(D$3:AH$3,2)=5),--ISNUMBER(MATCH(D42:AH42,{"DM","CS1","CS2","SB1","AE","CS/B","WEEKEND OUTFIELD RESERVE"},0)))</f>
        <v>0</v>
      </c>
      <c r="AW42" s="74">
        <f>SUMPRODUCT(--(WEEKDAY(D$3:AH$3,2)&gt;5),--ISNUMBER(MATCH(D42:AH42,{"DM","CS1","CS2","SB1","AE","CS/B","WEEKEND OUTFIELD RESERVE"},0)))</f>
        <v>2</v>
      </c>
      <c r="AX42" s="74"/>
      <c r="AY42" s="74">
        <f t="shared" si="3"/>
        <v>6.5</v>
      </c>
      <c r="AZ42" s="74">
        <f t="shared" si="4"/>
        <v>4</v>
      </c>
      <c r="BA42" s="74">
        <f t="shared" si="5"/>
        <v>4</v>
      </c>
      <c r="BB42" s="76">
        <f t="shared" si="6"/>
        <v>9.5</v>
      </c>
      <c r="BC42" s="74">
        <f t="shared" si="7"/>
        <v>3</v>
      </c>
      <c r="BD42" s="74">
        <f t="shared" si="8"/>
        <v>0</v>
      </c>
      <c r="BE42" s="74">
        <f t="shared" si="9"/>
        <v>0</v>
      </c>
      <c r="BF42" s="74">
        <f t="shared" si="10"/>
        <v>2</v>
      </c>
      <c r="BG42" s="74">
        <f t="shared" si="11"/>
        <v>2</v>
      </c>
      <c r="BH42" s="74">
        <f t="shared" si="12"/>
        <v>1</v>
      </c>
      <c r="BI42" s="74">
        <f t="shared" si="13"/>
        <v>0.5</v>
      </c>
      <c r="BJ42" s="74">
        <f t="shared" si="14"/>
        <v>1</v>
      </c>
      <c r="BK42" s="74">
        <f t="shared" si="15"/>
        <v>0.5</v>
      </c>
      <c r="BL42" s="74">
        <f t="shared" si="16"/>
        <v>0</v>
      </c>
      <c r="BM42" s="74">
        <f t="shared" si="17"/>
        <v>0</v>
      </c>
      <c r="BN42" s="74">
        <f t="shared" si="34"/>
        <v>-0.5</v>
      </c>
      <c r="BO42" s="74">
        <f>COUNTIF($E42:$Z42,BO$4)</f>
        <v>0</v>
      </c>
      <c r="BP42" s="74">
        <f>COUNTIF($E42:$Z42,BP$4)</f>
        <v>0</v>
      </c>
      <c r="BQ42" s="74">
        <f>COUNTIF($E42:$Z42,BQ$4)</f>
        <v>1</v>
      </c>
      <c r="BR42" s="74"/>
    </row>
    <row r="43" ht="19.5" customHeight="1" spans="1:70">
      <c r="A43" s="7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77"/>
      <c r="AJ43" s="77"/>
      <c r="AK43" s="77"/>
      <c r="AL43" s="77"/>
      <c r="AM43" s="77"/>
      <c r="AN43" s="77"/>
      <c r="AO43" s="77"/>
      <c r="AP43" s="77"/>
      <c r="AQ43" s="77"/>
      <c r="AR43" s="76"/>
      <c r="AS43" s="76"/>
      <c r="AT43" s="77"/>
      <c r="AU43" s="77"/>
      <c r="AV43" s="77"/>
      <c r="AW43" s="77">
        <f>SUMPRODUCT(--(WEEKDAY(D$3:AG$3,2)&gt;5),--ISNUMBER(MATCH(D43:AG43,{"DM","CS1","CS2","SB1","AE","CS/B"},0)))</f>
        <v>0</v>
      </c>
      <c r="AX43" s="77"/>
      <c r="AY43" s="77"/>
      <c r="AZ43" s="77"/>
      <c r="BA43" s="77"/>
      <c r="BB43" s="76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Q43" s="77"/>
      <c r="BR43" s="77"/>
    </row>
    <row r="44" ht="19.5" customHeight="1" spans="1:70">
      <c r="A44" s="74"/>
      <c r="B44" s="110" t="s">
        <v>57</v>
      </c>
      <c r="C44" s="110"/>
      <c r="D44" s="150" t="str">
        <f t="shared" ref="D44:D51" si="60">INDEX($B$4:$B$42,MATCH($B44,D$4:D$42,0))</f>
        <v>CPL GOH DI XUAN</v>
      </c>
      <c r="E44" s="150" t="str">
        <f t="shared" ref="E44:E51" si="61">INDEX($B$4:$B$42,MATCH($B44,E$4:E$42,0))</f>
        <v>CPL GERALD TAN </v>
      </c>
      <c r="F44" s="150" t="str">
        <f t="shared" ref="F44:F51" si="62">INDEX($B$4:$B$42,MATCH($B44,F$4:F$42,0))</f>
        <v>LCP MATTHEW HWANG YEW SENG</v>
      </c>
      <c r="G44" s="150" t="str">
        <f t="shared" ref="G44:G51" si="63">INDEX($B$4:$B$42,MATCH($B44,G$4:G$42,0))</f>
        <v>LCP EKLAYVA PINGALI</v>
      </c>
      <c r="H44" s="150" t="str">
        <f t="shared" ref="H44:H51" si="64">INDEX($B$4:$B$42,MATCH($B44,H$4:H$42,0))</f>
        <v>CPL GERALD TAN </v>
      </c>
      <c r="I44" s="150" t="str">
        <f t="shared" ref="I44:I51" si="65">INDEX($B$4:$B$42,MATCH($B44,I$4:I$41,0))</f>
        <v>CFC DERRICK CHIN</v>
      </c>
      <c r="J44" s="150" t="str">
        <f t="shared" ref="J44:J51" si="66">INDEX($B$4:$B$42,MATCH($B44,J$4:J$42,0))</f>
        <v>LCP QUEK ZI YI</v>
      </c>
      <c r="K44" s="150" t="str">
        <f t="shared" ref="K44:K51" si="67">INDEX($B$4:$B$42,MATCH($B44,K$4:K$41,0))</f>
        <v>CPL HO SHENGHUI HAYDEN</v>
      </c>
      <c r="L44" s="150" t="str">
        <f t="shared" ref="L44:U44" si="68">INDEX($B$4:$B$42,MATCH($B44,L$4:L$42,0))</f>
        <v>3SG SAMUEL TAN ENG WEE</v>
      </c>
      <c r="M44" s="150" t="str">
        <f t="shared" si="68"/>
        <v>LCP ZHANG ZHONGHAO</v>
      </c>
      <c r="N44" s="150" t="str">
        <f t="shared" si="68"/>
        <v>LCP MATTHEW HWANG YEW SENG</v>
      </c>
      <c r="O44" s="150" t="str">
        <f t="shared" si="68"/>
        <v>CFC DERRICK CHIN</v>
      </c>
      <c r="P44" s="150" t="str">
        <f t="shared" si="68"/>
        <v>CPL HO SHENGHUI HAYDEN</v>
      </c>
      <c r="Q44" s="150" t="str">
        <f t="shared" si="68"/>
        <v>CFC DERRICK CHIN</v>
      </c>
      <c r="R44" s="150" t="str">
        <f t="shared" si="68"/>
        <v>LCP EKLAYVA PINGALI</v>
      </c>
      <c r="S44" s="150" t="str">
        <f t="shared" si="68"/>
        <v>LCP TAN JUN YANG KELVIN</v>
      </c>
      <c r="T44" s="150" t="str">
        <f t="shared" si="68"/>
        <v>LCP CHYE JING AN MAXIMUS</v>
      </c>
      <c r="U44" s="150" t="str">
        <f t="shared" si="68"/>
        <v>LCP APPLE YEO</v>
      </c>
      <c r="V44" s="150" t="str">
        <f t="shared" ref="V44:V51" si="69">INDEX($B$4:$B$42,MATCH($B44,V$4:V$41,0))</f>
        <v>LCP QUEK ZI YI</v>
      </c>
      <c r="W44" s="150" t="str">
        <f t="shared" ref="W44:W51" si="70">INDEX($B$4:$B$42,MATCH($B44,W$4:W$42,0))</f>
        <v>CPL GOH DI XUAN</v>
      </c>
      <c r="X44" s="150" t="str">
        <f t="shared" ref="X44:X51" si="71">INDEX($B$4:$B$42,MATCH($B44,X$4:X$41,0))</f>
        <v>CPL GERALD TAN </v>
      </c>
      <c r="Y44" s="150" t="str">
        <f t="shared" ref="Y44:Y51" si="72">INDEX($B$4:$B$42,MATCH($B44,Y$4:Y$42,0))</f>
        <v>CFC DERRICK CHIN</v>
      </c>
      <c r="Z44" s="150" t="s">
        <v>487</v>
      </c>
      <c r="AA44" s="150" t="str">
        <f t="array" ref="AA44">INDEX($B$4:$B$42,MATCH($B44,AA$4:AA$42,0))</f>
        <v>CPL GOH DI XUAN</v>
      </c>
      <c r="AB44" s="150" t="str">
        <f t="shared" ref="AB44:AB51" si="73">INDEX($B$4:$B$42,MATCH($B44,AB$4:AB$41,0))</f>
        <v>CPL HO SHENGHUI HAYDEN</v>
      </c>
      <c r="AC44" s="150" t="str">
        <f t="shared" ref="AC44:AH44" si="74">INDEX($B$4:$B$42,MATCH($B44,AC$4:AC$42,0))</f>
        <v>CPL GOH DI XUAN</v>
      </c>
      <c r="AD44" s="150" t="str">
        <f t="shared" si="74"/>
        <v>LCP CHYE JING AN MAXIMUS</v>
      </c>
      <c r="AE44" s="150" t="str">
        <f t="shared" si="74"/>
        <v>CFC DERRICK CHIN</v>
      </c>
      <c r="AF44" s="150" t="str">
        <f t="shared" si="74"/>
        <v>CPL GERALD TAN </v>
      </c>
      <c r="AG44" s="150" t="str">
        <f t="shared" si="74"/>
        <v>3SG SAMUEL TAN ENG WEE</v>
      </c>
      <c r="AH44" s="150" t="str">
        <f t="shared" si="74"/>
        <v>LCP MATTHEW HWANG YEW SENG</v>
      </c>
      <c r="AI44" s="74"/>
      <c r="AJ44" s="74"/>
      <c r="AK44" s="74"/>
      <c r="AL44" s="74"/>
      <c r="AM44" s="74"/>
      <c r="AN44" s="74"/>
      <c r="AO44" s="74"/>
      <c r="AP44" s="74"/>
      <c r="AQ44" s="74"/>
      <c r="AR44" s="76"/>
      <c r="AS44" s="76"/>
      <c r="AT44" s="74"/>
      <c r="AU44" s="74"/>
      <c r="AV44" s="74"/>
      <c r="AW44" s="74">
        <f>SUMPRODUCT(--(WEEKDAY(D$3:AG$3,2)&gt;5),--ISNUMBER(MATCH(D44:AG44,{"DM","CS1","CS2","SB1","AE","CS/B"},0)))</f>
        <v>0</v>
      </c>
      <c r="AX44" s="74"/>
      <c r="AY44" s="74"/>
      <c r="AZ44" s="74"/>
      <c r="BA44" s="74"/>
      <c r="BB44" s="76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</row>
    <row r="45" ht="19.5" customHeight="1" spans="1:70">
      <c r="A45" s="77"/>
      <c r="B45" s="107" t="s">
        <v>56</v>
      </c>
      <c r="C45" s="107"/>
      <c r="D45" s="103" t="str">
        <f t="shared" si="60"/>
        <v>LCP RAIYAN ZUFAYRI BIN MOHAMAD HELMY</v>
      </c>
      <c r="E45" s="103" t="str">
        <f t="shared" si="61"/>
        <v>CFC DERRICK CHIN</v>
      </c>
      <c r="F45" s="103" t="str">
        <f t="shared" si="62"/>
        <v>LCP APPLE YEO</v>
      </c>
      <c r="G45" s="103" t="str">
        <f t="shared" si="63"/>
        <v>CPL GOH DI XUAN</v>
      </c>
      <c r="H45" s="103" t="str">
        <f t="shared" si="64"/>
        <v>CPL HO SHENGHUI HAYDEN</v>
      </c>
      <c r="I45" s="103" t="str">
        <f t="shared" si="65"/>
        <v>LCP TRAN MINH KHOA</v>
      </c>
      <c r="J45" s="103" t="str">
        <f t="shared" si="66"/>
        <v>LCP EDWARD GAN BOON WEI </v>
      </c>
      <c r="K45" s="103" t="str">
        <f t="shared" si="67"/>
        <v>LCP TAN JUN YANG KELVIN</v>
      </c>
      <c r="L45" s="103" t="str">
        <f t="shared" ref="L45:U45" si="75">INDEX($B$4:$B$42,MATCH($B45,L$4:L$42,0))</f>
        <v>LCP EKLAYVA PINGALI</v>
      </c>
      <c r="M45" s="103" t="str">
        <f t="shared" si="75"/>
        <v>LCP IGNATIUS QUEK </v>
      </c>
      <c r="N45" s="103" t="str">
        <f t="shared" si="75"/>
        <v>LCP EDWARD GAN BOON WEI </v>
      </c>
      <c r="O45" s="103" t="str">
        <f t="shared" si="75"/>
        <v>CPL GERALD TAN </v>
      </c>
      <c r="P45" s="103" t="str">
        <f t="shared" si="75"/>
        <v>LCP TRAN MINH KHOA</v>
      </c>
      <c r="Q45" s="103" t="str">
        <f t="shared" si="75"/>
        <v>LCP KOO YI XIAN RAPHAEL </v>
      </c>
      <c r="R45" s="103" t="str">
        <f t="shared" si="75"/>
        <v>LCP CHYE JING AN MAXIMUS</v>
      </c>
      <c r="S45" s="103" t="str">
        <f t="shared" si="75"/>
        <v>LCP MUHAMMAD YASIR BIN MUHAMMAD HIJAZ</v>
      </c>
      <c r="T45" s="103" t="str">
        <f t="shared" si="75"/>
        <v>LCP KOO YI XIAN RAPHAEL </v>
      </c>
      <c r="U45" s="103" t="str">
        <f t="shared" si="75"/>
        <v>LCP MATTHEW HWANG YEW SENG</v>
      </c>
      <c r="V45" s="103" t="str">
        <f t="shared" si="69"/>
        <v>3SG SAMUEL TAN ENG WEE</v>
      </c>
      <c r="W45" s="103" t="str">
        <f t="shared" si="70"/>
        <v>LCP APPLE YEO</v>
      </c>
      <c r="X45" s="103" t="str">
        <f t="shared" si="71"/>
        <v>LCP EDWARD GAN BOON WEI </v>
      </c>
      <c r="Y45" s="103" t="str">
        <f t="shared" si="72"/>
        <v>LCP ZHANG ZHONGHAO</v>
      </c>
      <c r="Z45" s="103" t="str">
        <f t="shared" ref="Z45:Z51" si="76">INDEX($B$4:$B$42,MATCH($B45,Z$4:Z$42,0))</f>
        <v>3SG SAMUEL TAN ENG WEE</v>
      </c>
      <c r="AA45" s="103" t="str">
        <f t="shared" ref="AA45:AA51" si="77">INDEX($B$4:$B$42,MATCH($B45,AA$4:AA$42,0))</f>
        <v>LCP RON NG </v>
      </c>
      <c r="AB45" s="103" t="str">
        <f t="shared" si="73"/>
        <v>LCP IGNATIUS QUEK </v>
      </c>
      <c r="AC45" s="103" t="str">
        <f t="shared" ref="AC45:AH45" si="78">INDEX($B$4:$B$42,MATCH($B45,AC$4:AC$42,0))</f>
        <v>LCP MATTHEW HWANG YEW SENG</v>
      </c>
      <c r="AD45" s="103" t="str">
        <f t="shared" si="78"/>
        <v>LCP KOO YI XIAN RAPHAEL </v>
      </c>
      <c r="AE45" s="103" t="str">
        <f t="shared" si="78"/>
        <v>3SG SAMUEL TAN ENG WEE</v>
      </c>
      <c r="AF45" s="103" t="str">
        <f t="shared" si="78"/>
        <v>CPL HO SHENGHUI HAYDEN</v>
      </c>
      <c r="AG45" s="103" t="str">
        <f t="shared" si="78"/>
        <v>LCP TRAN MINH KHOA</v>
      </c>
      <c r="AH45" s="103" t="str">
        <f t="shared" si="78"/>
        <v>CFC DERRICK CHIN</v>
      </c>
      <c r="AI45" s="77"/>
      <c r="AJ45" s="77"/>
      <c r="AK45" s="77"/>
      <c r="AL45" s="77"/>
      <c r="AM45" s="77"/>
      <c r="AN45" s="77"/>
      <c r="AO45" s="77"/>
      <c r="AP45" s="77"/>
      <c r="AQ45" s="77"/>
      <c r="AR45" s="76"/>
      <c r="AS45" s="76"/>
      <c r="AT45" s="77"/>
      <c r="AU45" s="77"/>
      <c r="AV45" s="77"/>
      <c r="AW45" s="77">
        <f>SUMPRODUCT(--(WEEKDAY(D$3:AG$3,2)&gt;5),--ISNUMBER(MATCH(D45:AG45,{"DM","CS1","CS2","SB1","AE","CS/B"},0)))</f>
        <v>0</v>
      </c>
      <c r="AX45" s="77"/>
      <c r="AY45" s="77"/>
      <c r="AZ45" s="77"/>
      <c r="BA45" s="77"/>
      <c r="BB45" s="76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</row>
    <row r="46" ht="19.5" customHeight="1" spans="1:70">
      <c r="A46" s="74"/>
      <c r="B46" s="110" t="s">
        <v>59</v>
      </c>
      <c r="C46" s="110"/>
      <c r="D46" s="150" t="str">
        <f t="shared" si="60"/>
        <v>LCP KOO YI XIAN RAPHAEL </v>
      </c>
      <c r="E46" s="150" t="str">
        <f t="shared" si="61"/>
        <v>LCP EDWARD GAN BOON WEI </v>
      </c>
      <c r="F46" s="150" t="e">
        <f t="shared" si="62"/>
        <v>#N/A</v>
      </c>
      <c r="G46" s="150" t="e">
        <f t="shared" si="63"/>
        <v>#N/A</v>
      </c>
      <c r="H46" s="150" t="str">
        <f t="shared" si="64"/>
        <v>LCP ZHANG ZHONGHAO</v>
      </c>
      <c r="I46" s="150" t="str">
        <f t="shared" si="65"/>
        <v>LCP MUHAMAD ZULKHAIRI BIN MOHAMAD SAPARI</v>
      </c>
      <c r="J46" s="150" t="e">
        <f t="shared" si="66"/>
        <v>#N/A</v>
      </c>
      <c r="K46" s="150" t="str">
        <f t="shared" si="67"/>
        <v>LCP MUHAMMAD YASIR BIN MUHAMMAD HIJAZ</v>
      </c>
      <c r="L46" s="150" t="str">
        <f t="shared" ref="L46:U46" si="79">INDEX($B$4:$B$42,MATCH($B46,L$4:L$42,0))</f>
        <v>LCP TRAN MINH KHOA</v>
      </c>
      <c r="M46" s="150" t="e">
        <f t="shared" si="79"/>
        <v>#N/A</v>
      </c>
      <c r="N46" s="150" t="e">
        <f t="shared" si="79"/>
        <v>#N/A</v>
      </c>
      <c r="O46" s="150" t="str">
        <f t="shared" si="79"/>
        <v>3SG SAMUEL TAN ENG WEE</v>
      </c>
      <c r="P46" s="150" t="str">
        <f t="shared" si="79"/>
        <v>LCP APPLE YEO</v>
      </c>
      <c r="Q46" s="150" t="e">
        <f t="shared" si="79"/>
        <v>#N/A</v>
      </c>
      <c r="R46" s="150" t="str">
        <f t="shared" si="79"/>
        <v>CPL GOH DI XUAN</v>
      </c>
      <c r="S46" s="150" t="str">
        <f t="shared" si="79"/>
        <v>LCP APPLE YEO</v>
      </c>
      <c r="T46" s="150" t="e">
        <f t="shared" si="79"/>
        <v>#N/A</v>
      </c>
      <c r="U46" s="150" t="e">
        <f t="shared" si="79"/>
        <v>#N/A</v>
      </c>
      <c r="V46" s="150" t="str">
        <f t="shared" si="69"/>
        <v>CPL GERALD TAN </v>
      </c>
      <c r="W46" s="150" t="str">
        <f t="shared" si="70"/>
        <v>LCP KOO YI XIAN RAPHAEL </v>
      </c>
      <c r="X46" s="150" t="e">
        <f t="shared" si="71"/>
        <v>#N/A</v>
      </c>
      <c r="Y46" s="150" t="str">
        <f t="shared" si="72"/>
        <v>CPL HO SHENGHUI HAYDEN</v>
      </c>
      <c r="Z46" s="150" t="str">
        <f t="shared" si="76"/>
        <v>LCP TRAN MINH KHOA</v>
      </c>
      <c r="AA46" s="150" t="e">
        <f t="shared" si="77"/>
        <v>#N/A</v>
      </c>
      <c r="AB46" s="150" t="e">
        <f t="shared" si="73"/>
        <v>#N/A</v>
      </c>
      <c r="AC46" s="150" t="str">
        <f t="shared" ref="AC46:AH46" si="80">INDEX($B$4:$B$42,MATCH($B46,AC$4:AC$42,0))</f>
        <v>LCP APPLE YEO</v>
      </c>
      <c r="AD46" s="150" t="str">
        <f t="shared" si="80"/>
        <v>LCP RON NG </v>
      </c>
      <c r="AE46" s="150" t="e">
        <f t="shared" si="80"/>
        <v>#N/A</v>
      </c>
      <c r="AF46" s="150" t="str">
        <f t="shared" si="80"/>
        <v>CPL FANG JIANGRUI</v>
      </c>
      <c r="AG46" s="150" t="str">
        <f t="shared" si="80"/>
        <v>LCP EKLAYVA PINGALI</v>
      </c>
      <c r="AH46" s="150" t="e">
        <f t="shared" si="80"/>
        <v>#N/A</v>
      </c>
      <c r="AI46" s="74"/>
      <c r="AJ46" s="74"/>
      <c r="AK46" s="74"/>
      <c r="AL46" s="74"/>
      <c r="AM46" s="74"/>
      <c r="AN46" s="74"/>
      <c r="AO46" s="74"/>
      <c r="AP46" s="74"/>
      <c r="AQ46" s="74"/>
      <c r="AR46" s="76"/>
      <c r="AS46" s="76"/>
      <c r="AT46" s="74"/>
      <c r="AU46" s="74"/>
      <c r="AV46" s="74"/>
      <c r="AW46" s="74">
        <f>SUMPRODUCT(--(WEEKDAY(D$3:AG$3,2)&gt;5),--ISNUMBER(MATCH(D46:AG46,{"DM","CS1","CS2","SB1","AE","CS/B"},0)))</f>
        <v>0</v>
      </c>
      <c r="AX46" s="74"/>
      <c r="AY46" s="74"/>
      <c r="AZ46" s="74"/>
      <c r="BA46" s="74"/>
      <c r="BB46" s="76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74"/>
      <c r="BR46" s="74"/>
    </row>
    <row r="47" ht="19.5" customHeight="1" spans="1:70">
      <c r="A47" s="77"/>
      <c r="B47" s="107" t="s">
        <v>566</v>
      </c>
      <c r="C47" s="107"/>
      <c r="D47" s="103" t="e">
        <f t="shared" si="60"/>
        <v>#N/A</v>
      </c>
      <c r="E47" s="103" t="e">
        <f t="shared" si="61"/>
        <v>#N/A</v>
      </c>
      <c r="F47" s="103" t="str">
        <f t="shared" si="62"/>
        <v>LCP CHYE JING AN MAXIMUS</v>
      </c>
      <c r="G47" s="103" t="str">
        <f t="shared" si="63"/>
        <v>PTE CHOA ZONGHAN ETIENNE</v>
      </c>
      <c r="H47" s="103" t="e">
        <f t="shared" si="64"/>
        <v>#N/A</v>
      </c>
      <c r="I47" s="103" t="e">
        <f t="shared" si="65"/>
        <v>#N/A</v>
      </c>
      <c r="J47" s="103" t="str">
        <f t="shared" si="66"/>
        <v>LCP KOO YI XIAN RAPHAEL </v>
      </c>
      <c r="K47" s="103" t="e">
        <f t="shared" si="67"/>
        <v>#N/A</v>
      </c>
      <c r="L47" s="103" t="e">
        <f t="shared" ref="L47:U47" si="81">INDEX($B$4:$B$42,MATCH($B47,L$4:L$42,0))</f>
        <v>#N/A</v>
      </c>
      <c r="M47" s="103" t="str">
        <f t="shared" si="81"/>
        <v>LCP QUEK ZI YI</v>
      </c>
      <c r="N47" s="103" t="str">
        <f t="shared" si="81"/>
        <v>LCP APPLE YEO</v>
      </c>
      <c r="O47" s="103" t="e">
        <f t="shared" si="81"/>
        <v>#N/A</v>
      </c>
      <c r="P47" s="103" t="e">
        <f t="shared" si="81"/>
        <v>#N/A</v>
      </c>
      <c r="Q47" s="103" t="str">
        <f t="shared" si="81"/>
        <v>LCP EDWARD GAN BOON WEI </v>
      </c>
      <c r="R47" s="103" t="e">
        <f t="shared" si="81"/>
        <v>#N/A</v>
      </c>
      <c r="S47" s="103" t="e">
        <f t="shared" si="81"/>
        <v>#N/A</v>
      </c>
      <c r="T47" s="103" t="str">
        <f t="shared" si="81"/>
        <v>LCP EKLAYVA PINGALI</v>
      </c>
      <c r="U47" s="103" t="str">
        <f t="shared" si="81"/>
        <v>LCP TRAN MINH KHOA</v>
      </c>
      <c r="V47" s="103" t="e">
        <f t="shared" si="69"/>
        <v>#N/A</v>
      </c>
      <c r="W47" s="103" t="e">
        <f t="shared" si="70"/>
        <v>#N/A</v>
      </c>
      <c r="X47" s="103" t="str">
        <f t="shared" si="71"/>
        <v>LCP MUHAMMAD YASIR BIN MUHAMMAD HIJAZ</v>
      </c>
      <c r="Y47" s="103" t="e">
        <f t="shared" si="72"/>
        <v>#N/A</v>
      </c>
      <c r="Z47" s="103" t="e">
        <f t="shared" si="76"/>
        <v>#N/A</v>
      </c>
      <c r="AA47" s="103" t="str">
        <f t="shared" si="77"/>
        <v>LCP EDWARD GAN BOON WEI </v>
      </c>
      <c r="AB47" s="103" t="str">
        <f t="shared" si="73"/>
        <v>LCP ZHANG ZHONGHAO</v>
      </c>
      <c r="AC47" s="103" t="e">
        <f t="shared" ref="AC47:AH47" si="82">INDEX($B$4:$B$42,MATCH($B47,AC$4:AC$42,0))</f>
        <v>#N/A</v>
      </c>
      <c r="AD47" s="103" t="e">
        <f t="shared" si="82"/>
        <v>#N/A</v>
      </c>
      <c r="AE47" s="103" t="str">
        <f t="shared" si="82"/>
        <v>LCP MUHAMMAD YASIR BIN MUHAMMAD HIJAZ</v>
      </c>
      <c r="AF47" s="103" t="e">
        <f t="shared" si="82"/>
        <v>#N/A</v>
      </c>
      <c r="AG47" s="103" t="e">
        <f t="shared" si="82"/>
        <v>#N/A</v>
      </c>
      <c r="AH47" s="103" t="str">
        <f t="shared" si="82"/>
        <v>LCP APPLE YEO</v>
      </c>
      <c r="AI47" s="77"/>
      <c r="AJ47" s="77"/>
      <c r="AK47" s="77"/>
      <c r="AL47" s="77"/>
      <c r="AM47" s="77"/>
      <c r="AN47" s="77"/>
      <c r="AO47" s="77"/>
      <c r="AP47" s="77"/>
      <c r="AQ47" s="77"/>
      <c r="AR47" s="76"/>
      <c r="AS47" s="76"/>
      <c r="AT47" s="77"/>
      <c r="AU47" s="77"/>
      <c r="AV47" s="77"/>
      <c r="AW47" s="77">
        <f>SUMPRODUCT(--(WEEKDAY(D$3:AG$3,2)&gt;5),--ISNUMBER(MATCH(D47:AG47,{"DM","CS1","CS2","SB1","AE","CS/B"},0)))</f>
        <v>0</v>
      </c>
      <c r="AX47" s="77"/>
      <c r="AY47" s="77"/>
      <c r="AZ47" s="77"/>
      <c r="BA47" s="77"/>
      <c r="BB47" s="76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7"/>
      <c r="BQ47" s="77"/>
      <c r="BR47" s="77"/>
    </row>
    <row r="48" ht="19.5" customHeight="1" spans="1:70">
      <c r="A48" s="74"/>
      <c r="B48" s="110" t="s">
        <v>58</v>
      </c>
      <c r="C48" s="110"/>
      <c r="D48" s="150" t="str">
        <f t="shared" si="60"/>
        <v>LCP IGNATIUS QUEK </v>
      </c>
      <c r="E48" s="150" t="str">
        <f t="shared" si="61"/>
        <v>LCP RON NG </v>
      </c>
      <c r="F48" s="150" t="e">
        <f t="shared" si="62"/>
        <v>#N/A</v>
      </c>
      <c r="G48" s="150" t="e">
        <f t="shared" si="63"/>
        <v>#N/A</v>
      </c>
      <c r="H48" s="150" t="str">
        <f t="shared" si="64"/>
        <v>LCP RAIYAN ZUFAYRI BIN MOHAMAD HELMY</v>
      </c>
      <c r="I48" s="150" t="str">
        <f t="shared" si="65"/>
        <v>LCP HYDER ISKANDAR BIN ZULKILFILY</v>
      </c>
      <c r="J48" s="150" t="e">
        <f t="shared" si="66"/>
        <v>#N/A</v>
      </c>
      <c r="K48" s="150" t="str">
        <f t="shared" si="67"/>
        <v>LCP STEPHEN TAY </v>
      </c>
      <c r="L48" s="150" t="str">
        <f t="shared" ref="L48:U48" si="83">INDEX($B$4:$B$42,MATCH($B48,L$4:L$42,0))</f>
        <v>LCP MUHAMAD ZULKHAIRI BIN MOHAMAD SAPARI</v>
      </c>
      <c r="M48" s="150" t="e">
        <f t="shared" si="83"/>
        <v>#N/A</v>
      </c>
      <c r="N48" s="150" t="e">
        <f t="shared" si="83"/>
        <v>#N/A</v>
      </c>
      <c r="O48" s="150" t="str">
        <f t="shared" si="83"/>
        <v>LCP STEPHEN TAY </v>
      </c>
      <c r="P48" s="150" t="str">
        <f t="shared" si="83"/>
        <v>LCP RON NG </v>
      </c>
      <c r="Q48" s="150" t="e">
        <f t="shared" si="83"/>
        <v>#N/A</v>
      </c>
      <c r="R48" s="150" t="str">
        <f t="shared" si="83"/>
        <v>LCP HYDER ISKANDAR BIN ZULKILFILY</v>
      </c>
      <c r="S48" s="150" t="str">
        <f t="shared" si="83"/>
        <v>LCP STEPHEN TAY </v>
      </c>
      <c r="T48" s="150" t="e">
        <f t="shared" si="83"/>
        <v>#N/A</v>
      </c>
      <c r="U48" s="150" t="e">
        <f t="shared" si="83"/>
        <v>#N/A</v>
      </c>
      <c r="V48" s="150" t="str">
        <f t="shared" si="69"/>
        <v>LCP ZHANG ZHONGHAO</v>
      </c>
      <c r="W48" s="150" t="str">
        <f t="shared" si="70"/>
        <v>LCP RAIYAN ZUFAYRI BIN MOHAMAD HELMY</v>
      </c>
      <c r="X48" s="150" t="e">
        <f t="shared" si="71"/>
        <v>#N/A</v>
      </c>
      <c r="Y48" s="150" t="str">
        <f t="shared" si="72"/>
        <v>LCP APPLE YEO</v>
      </c>
      <c r="Z48" s="150" t="str">
        <f t="shared" si="76"/>
        <v>LCP STEPHEN TAY </v>
      </c>
      <c r="AA48" s="150" t="e">
        <f t="shared" si="77"/>
        <v>#N/A</v>
      </c>
      <c r="AB48" s="150" t="e">
        <f t="shared" si="73"/>
        <v>#N/A</v>
      </c>
      <c r="AC48" s="150" t="str">
        <f t="shared" ref="AC48:AH48" si="84">INDEX($B$4:$B$42,MATCH($B48,AC$4:AC$42,0))</f>
        <v>PTE MENDEZ RALPH JUSTINE MACALINO</v>
      </c>
      <c r="AD48" s="150" t="str">
        <f t="shared" si="84"/>
        <v>PTE RAGURAMAN ANIRUDH</v>
      </c>
      <c r="AE48" s="150" t="e">
        <f t="shared" si="84"/>
        <v>#N/A</v>
      </c>
      <c r="AF48" s="150" t="str">
        <f t="shared" si="84"/>
        <v>PTE MENDEZ RALPH JUSTINE MACALINO</v>
      </c>
      <c r="AG48" s="150" t="str">
        <f t="shared" si="84"/>
        <v>PTE CHOA ZONGHAN ETIENNE</v>
      </c>
      <c r="AH48" s="150" t="e">
        <f t="shared" si="84"/>
        <v>#N/A</v>
      </c>
      <c r="AI48" s="74"/>
      <c r="AJ48" s="74"/>
      <c r="AK48" s="74"/>
      <c r="AL48" s="74"/>
      <c r="AM48" s="74"/>
      <c r="AN48" s="74"/>
      <c r="AO48" s="74"/>
      <c r="AP48" s="74"/>
      <c r="AQ48" s="74"/>
      <c r="AR48" s="76"/>
      <c r="AS48" s="76"/>
      <c r="AT48" s="74"/>
      <c r="AU48" s="74"/>
      <c r="AV48" s="74"/>
      <c r="AW48" s="74">
        <f>SUMPRODUCT(--(WEEKDAY(D$3:AG$3,2)&gt;5),--ISNUMBER(MATCH(D48:AG48,{"DM","CS1","CS2","SB1","AE","CS/B"},0)))</f>
        <v>0</v>
      </c>
      <c r="AX48" s="74"/>
      <c r="AY48" s="74"/>
      <c r="AZ48" s="74"/>
      <c r="BA48" s="74"/>
      <c r="BB48" s="76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</row>
    <row r="49" ht="19.5" customHeight="1" spans="1:70">
      <c r="A49" s="77"/>
      <c r="B49" s="107" t="s">
        <v>93</v>
      </c>
      <c r="C49" s="107"/>
      <c r="D49" s="103" t="e">
        <f t="shared" si="60"/>
        <v>#N/A</v>
      </c>
      <c r="E49" s="103" t="e">
        <f t="shared" si="61"/>
        <v>#N/A</v>
      </c>
      <c r="F49" s="103" t="e">
        <f t="shared" si="62"/>
        <v>#N/A</v>
      </c>
      <c r="G49" s="103" t="str">
        <f t="shared" si="63"/>
        <v>3SG SAMUEL TAN ENG WEE</v>
      </c>
      <c r="H49" s="103" t="str">
        <f t="shared" si="64"/>
        <v>LCP APPLE YEO</v>
      </c>
      <c r="I49" s="103" t="str">
        <f t="shared" si="65"/>
        <v>LCP MUHAMMAD YASIR BIN MUHAMMAD HIJAZ</v>
      </c>
      <c r="J49" s="103" t="str">
        <f t="shared" si="66"/>
        <v>CPL GERALD TAN </v>
      </c>
      <c r="K49" s="103" t="str">
        <f t="shared" si="67"/>
        <v>LCP SHLOK PUROHIT</v>
      </c>
      <c r="L49" s="103" t="e">
        <f t="shared" ref="L49:U49" si="85">INDEX($B$4:$B$42,MATCH($B49,L$4:L$42,0))</f>
        <v>#N/A</v>
      </c>
      <c r="M49" s="103" t="e">
        <f t="shared" si="85"/>
        <v>#N/A</v>
      </c>
      <c r="N49" s="103" t="str">
        <f t="shared" si="85"/>
        <v>CFC DERRICK CHIN</v>
      </c>
      <c r="O49" s="103" t="str">
        <f t="shared" si="85"/>
        <v>LCP KOO YI XIAN RAPHAEL </v>
      </c>
      <c r="P49" s="103" t="str">
        <f t="shared" si="85"/>
        <v>CPL GERALD TAN </v>
      </c>
      <c r="Q49" s="103" t="str">
        <f t="shared" si="85"/>
        <v>LCP STEPHEN TAY </v>
      </c>
      <c r="R49" s="103" t="str">
        <f t="shared" si="85"/>
        <v>LCP RON NG </v>
      </c>
      <c r="S49" s="103" t="e">
        <f t="shared" si="85"/>
        <v>#N/A</v>
      </c>
      <c r="T49" s="103" t="e">
        <f t="shared" si="85"/>
        <v>#N/A</v>
      </c>
      <c r="U49" s="103" t="str">
        <f t="shared" si="85"/>
        <v>LCP SHLOK PUROHIT</v>
      </c>
      <c r="V49" s="103" t="str">
        <f t="shared" si="69"/>
        <v>LCP EDWARD GAN BOON WEI </v>
      </c>
      <c r="W49" s="103" t="str">
        <f t="shared" si="70"/>
        <v>LCP MUHAMMAD YASIR BIN MUHAMMAD HIJAZ</v>
      </c>
      <c r="X49" s="103" t="str">
        <f t="shared" si="71"/>
        <v>CPL FANG JIANGRUI</v>
      </c>
      <c r="Y49" s="103" t="str">
        <f t="shared" si="72"/>
        <v>LCP IGNATIUS QUEK </v>
      </c>
      <c r="Z49" s="103" t="e">
        <f t="shared" si="76"/>
        <v>#N/A</v>
      </c>
      <c r="AA49" s="103" t="e">
        <f t="shared" si="77"/>
        <v>#N/A</v>
      </c>
      <c r="AB49" s="103" t="str">
        <f t="shared" si="73"/>
        <v>PTE CHOA ZONGHAN ETIENNE</v>
      </c>
      <c r="AC49" s="103" t="str">
        <f t="shared" ref="AC49:AH49" si="86">INDEX($B$4:$B$42,MATCH($B49,AC$4:AC$42,0))</f>
        <v>PTE DANIEL ISKANDAR BIN SANUSI</v>
      </c>
      <c r="AD49" s="103" t="e">
        <f t="shared" si="86"/>
        <v>#N/A</v>
      </c>
      <c r="AE49" s="103" t="str">
        <f t="shared" si="86"/>
        <v>LCP CHYE JING AN MAXIMUS</v>
      </c>
      <c r="AF49" s="103" t="str">
        <f t="shared" si="86"/>
        <v>LCP MUHAMMAD YASIR BIN MUHAMMAD HIJAZ</v>
      </c>
      <c r="AG49" s="103" t="e">
        <f t="shared" si="86"/>
        <v>#N/A</v>
      </c>
      <c r="AH49" s="103" t="e">
        <f t="shared" si="86"/>
        <v>#N/A</v>
      </c>
      <c r="AI49" s="77"/>
      <c r="AJ49" s="77"/>
      <c r="AK49" s="77"/>
      <c r="AL49" s="77"/>
      <c r="AM49" s="77"/>
      <c r="AN49" s="77"/>
      <c r="AO49" s="77"/>
      <c r="AP49" s="77"/>
      <c r="AQ49" s="77"/>
      <c r="AR49" s="76"/>
      <c r="AS49" s="76"/>
      <c r="AT49" s="77"/>
      <c r="AU49" s="77"/>
      <c r="AV49" s="77"/>
      <c r="AW49" s="77">
        <f>SUMPRODUCT(--(WEEKDAY(D$3:AG$3,2)&gt;5),--ISNUMBER(MATCH(D49:AG49,{"DM","CS1","CS2","SB1","AE","CS/B"},0)))</f>
        <v>0</v>
      </c>
      <c r="AX49" s="77"/>
      <c r="AY49" s="77"/>
      <c r="AZ49" s="77"/>
      <c r="BA49" s="77"/>
      <c r="BB49" s="76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Q49" s="77"/>
      <c r="BR49" s="77"/>
    </row>
    <row r="50" ht="19.5" customHeight="1" spans="1:70">
      <c r="A50" s="74"/>
      <c r="B50" s="110" t="s">
        <v>65</v>
      </c>
      <c r="C50" s="110"/>
      <c r="D50" s="150" t="str">
        <f t="shared" si="60"/>
        <v>PTE CHOA ZONGHAN ETIENNE</v>
      </c>
      <c r="E50" s="150" t="str">
        <f t="shared" si="61"/>
        <v>PTE MUHAMMAD HAMZA ZUBERI</v>
      </c>
      <c r="F50" s="150" t="str">
        <f t="shared" si="62"/>
        <v>PTE RAGURAMAN ANIRUDH</v>
      </c>
      <c r="G50" s="150" t="str">
        <f t="shared" si="63"/>
        <v>PTE MUHAMMAD SHAUKI BIN MOHD SHAM</v>
      </c>
      <c r="H50" s="150" t="str">
        <f t="shared" si="64"/>
        <v>PTE RAGURAMAN ANIRUDH</v>
      </c>
      <c r="I50" s="150" t="str">
        <f t="shared" si="65"/>
        <v>PTE HUANG JIHUI</v>
      </c>
      <c r="J50" s="150" t="str">
        <f t="shared" si="66"/>
        <v>LCP SHLOK PUROHIT</v>
      </c>
      <c r="K50" s="150" t="str">
        <f t="shared" si="67"/>
        <v>PTE DANIEL ISKANDAR BIN SANUSI</v>
      </c>
      <c r="L50" s="150" t="str">
        <f t="shared" ref="L50:U50" si="87">INDEX($B$4:$B$42,MATCH($B50,L$4:L$42,0))</f>
        <v>PTE HUANG JIHUI</v>
      </c>
      <c r="M50" s="150" t="str">
        <f t="shared" si="87"/>
        <v>PTE MUHAMMAD SHAUKI BIN MOHD SHAM</v>
      </c>
      <c r="N50" s="150" t="str">
        <f t="shared" si="87"/>
        <v>PTE MUHAMMAD HAMZA ZUBERI</v>
      </c>
      <c r="O50" s="150" t="str">
        <f t="shared" si="87"/>
        <v>PTE DANIEL ISKANDAR BIN SANUSI</v>
      </c>
      <c r="P50" s="150" t="str">
        <f t="shared" si="87"/>
        <v>PTE HUANG JIHUI</v>
      </c>
      <c r="Q50" s="150" t="str">
        <f t="shared" si="87"/>
        <v>PTE MENDEZ RALPH JUSTINE MACALINO</v>
      </c>
      <c r="R50" s="150" t="str">
        <f t="shared" si="87"/>
        <v>PTE MUHAMMAD HAMZA ZUBERI</v>
      </c>
      <c r="S50" s="150" t="str">
        <f t="shared" si="87"/>
        <v>PTE DANIEL ISKANDAR BIN SANUSI</v>
      </c>
      <c r="T50" s="150" t="str">
        <f t="shared" si="87"/>
        <v>LCP RAIYAN ZUFAYRI BIN MOHAMAD HELMY</v>
      </c>
      <c r="U50" s="150" t="str">
        <f t="shared" si="87"/>
        <v>PTE MUHAMMAD HAMZA ZUBERI</v>
      </c>
      <c r="V50" s="150" t="str">
        <f t="shared" si="69"/>
        <v>LCP STEPHEN TAY </v>
      </c>
      <c r="W50" s="150" t="str">
        <f t="shared" si="70"/>
        <v>PTE CHOA ZONGHAN ETIENNE</v>
      </c>
      <c r="X50" s="150" t="str">
        <f t="shared" si="71"/>
        <v>LCP STEPHEN TAY </v>
      </c>
      <c r="Y50" s="150" t="str">
        <f t="shared" si="72"/>
        <v>PTE MENDEZ RALPH JUSTINE MACALINO</v>
      </c>
      <c r="Z50" s="150" t="str">
        <f t="shared" si="76"/>
        <v>PTE DANIEL ISKANDAR BIN SANUSI</v>
      </c>
      <c r="AA50" s="150" t="str">
        <f t="shared" si="77"/>
        <v>PTE RAGURAMAN ANIRUDH</v>
      </c>
      <c r="AB50" s="150" t="str">
        <f t="shared" si="73"/>
        <v>CPL FANG JIANGRUI</v>
      </c>
      <c r="AC50" s="150" t="str">
        <f t="shared" ref="AC50:AH50" si="88">INDEX($B$4:$B$42,MATCH($B50,AC$4:AC$42,0))</f>
        <v>LCP HYDER ISKANDAR BIN ZULKILFILY</v>
      </c>
      <c r="AD50" s="150" t="str">
        <f t="shared" si="88"/>
        <v>PTE MUHAMMAD SHAUKI BIN MOHD SHAM</v>
      </c>
      <c r="AE50" s="150" t="str">
        <f t="shared" si="88"/>
        <v>LCP STEPHEN TAY </v>
      </c>
      <c r="AF50" s="150" t="str">
        <f t="shared" si="88"/>
        <v>PTE MUHAMMAD SHAUKI BIN MOHD SHAM</v>
      </c>
      <c r="AG50" s="150" t="str">
        <f t="shared" si="88"/>
        <v>PTE DANIEL ISKANDAR BIN SANUSI</v>
      </c>
      <c r="AH50" s="150" t="str">
        <f t="shared" si="88"/>
        <v>LCP HYDER ISKANDAR BIN ZULKILFILY</v>
      </c>
      <c r="AI50" s="74"/>
      <c r="AJ50" s="74"/>
      <c r="AK50" s="74"/>
      <c r="AL50" s="74"/>
      <c r="AM50" s="74"/>
      <c r="AN50" s="74"/>
      <c r="AO50" s="74"/>
      <c r="AP50" s="74"/>
      <c r="AQ50" s="74"/>
      <c r="AR50" s="76"/>
      <c r="AS50" s="76"/>
      <c r="AT50" s="74"/>
      <c r="AU50" s="74"/>
      <c r="AV50" s="74"/>
      <c r="AW50" s="74">
        <f>SUMPRODUCT(--(WEEKDAY(D$3:AG$3,2)&gt;5),--ISNUMBER(MATCH(D50:AG50,{"DM","CS1","CS2","SB1","AE","CS/B"},0)))</f>
        <v>0</v>
      </c>
      <c r="AX50" s="74"/>
      <c r="AY50" s="74"/>
      <c r="AZ50" s="74"/>
      <c r="BA50" s="74"/>
      <c r="BB50" s="76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</row>
    <row r="51" ht="19.5" customHeight="1" spans="1:70">
      <c r="A51" s="77"/>
      <c r="B51" s="107" t="s">
        <v>350</v>
      </c>
      <c r="C51" s="107"/>
      <c r="D51" s="103" t="str">
        <f t="shared" si="60"/>
        <v>3SG SAMUEL TAN ENG WEE</v>
      </c>
      <c r="E51" s="103" t="str">
        <f t="shared" si="61"/>
        <v>LCP IGNATIUS QUEK </v>
      </c>
      <c r="F51" s="103" t="str">
        <f t="shared" si="62"/>
        <v>3SG SAMUEL TAN ENG WEE</v>
      </c>
      <c r="G51" s="103" t="str">
        <f t="shared" si="63"/>
        <v>PTE MENDEZ RALPH JUSTINE MACALINO</v>
      </c>
      <c r="H51" s="103" t="str">
        <f t="shared" si="64"/>
        <v>LCP SHLOK PUROHIT</v>
      </c>
      <c r="I51" s="103" t="str">
        <f t="shared" si="65"/>
        <v>LCP STEPHEN TAY </v>
      </c>
      <c r="J51" s="103" t="str">
        <f t="shared" si="66"/>
        <v>PTE DANIEL ISKANDAR BIN SANUSI</v>
      </c>
      <c r="K51" s="103" t="str">
        <f t="shared" si="67"/>
        <v>LCP IGNATIUS QUEK </v>
      </c>
      <c r="L51" s="103" t="str">
        <f t="shared" ref="L51:U51" si="89">INDEX($B$4:$B$42,MATCH($B51,L$4:L$42,0))</f>
        <v>LCP CHYE JING AN MAXIMUS</v>
      </c>
      <c r="M51" s="103" t="str">
        <f t="shared" si="89"/>
        <v>LCP APPLE YEO</v>
      </c>
      <c r="N51" s="103" t="str">
        <f t="shared" si="89"/>
        <v>LCP KOO YI XIAN RAPHAEL </v>
      </c>
      <c r="O51" s="103" t="e">
        <f t="shared" si="89"/>
        <v>#N/A</v>
      </c>
      <c r="P51" s="103" t="str">
        <f t="shared" si="89"/>
        <v>LCP TAN JUN YANG KELVIN</v>
      </c>
      <c r="Q51" s="103" t="e">
        <f t="shared" si="89"/>
        <v>#N/A</v>
      </c>
      <c r="R51" s="103" t="str">
        <f t="shared" si="89"/>
        <v>LCP MATTHEW HWANG YEW SENG</v>
      </c>
      <c r="S51" s="103" t="str">
        <f t="shared" si="89"/>
        <v>3SG SAMUEL TAN ENG WEE</v>
      </c>
      <c r="T51" s="103" t="e">
        <f t="shared" si="89"/>
        <v>#N/A</v>
      </c>
      <c r="U51" s="103" t="str">
        <f t="shared" si="89"/>
        <v>LCP WONG JI FENG WILLARD</v>
      </c>
      <c r="V51" s="103" t="e">
        <f t="shared" si="69"/>
        <v>#N/A</v>
      </c>
      <c r="W51" s="103" t="e">
        <f t="shared" si="70"/>
        <v>#N/A</v>
      </c>
      <c r="X51" s="103" t="str">
        <f t="shared" si="71"/>
        <v>PTE DANIEL ISKANDAR BIN SANUSI</v>
      </c>
      <c r="Y51" s="103" t="e">
        <f t="shared" si="72"/>
        <v>#N/A</v>
      </c>
      <c r="Z51" s="103" t="e">
        <f t="shared" si="76"/>
        <v>#N/A</v>
      </c>
      <c r="AA51" s="103" t="str">
        <f t="shared" si="77"/>
        <v>CFC DERRICK CHIN</v>
      </c>
      <c r="AB51" s="103" t="str">
        <f t="shared" si="73"/>
        <v>LCP KOO YI XIAN RAPHAEL </v>
      </c>
      <c r="AC51" s="103" t="str">
        <f t="shared" ref="AC51:AH51" si="90">INDEX($B$4:$B$42,MATCH($B51,AC$4:AC$42,0))</f>
        <v>LCP STEPHEN TAY </v>
      </c>
      <c r="AD51" s="103" t="str">
        <f t="shared" si="90"/>
        <v>LCP RAIYAN ZUFAYRI BIN MOHAMAD HELMY</v>
      </c>
      <c r="AE51" s="103" t="str">
        <f t="shared" si="90"/>
        <v>LCP APPLE YEO</v>
      </c>
      <c r="AF51" s="103" t="str">
        <f t="shared" si="90"/>
        <v>LCP MATTHEW HWANG YEW SENG</v>
      </c>
      <c r="AG51" s="103" t="e">
        <f t="shared" si="90"/>
        <v>#N/A</v>
      </c>
      <c r="AH51" s="103" t="str">
        <f t="shared" si="90"/>
        <v>LCP RAIYAN ZUFAYRI BIN MOHAMAD HELMY</v>
      </c>
      <c r="AI51" s="77"/>
      <c r="AJ51" s="77"/>
      <c r="AK51" s="77"/>
      <c r="AL51" s="77"/>
      <c r="AM51" s="77"/>
      <c r="AN51" s="77"/>
      <c r="AO51" s="77"/>
      <c r="AP51" s="77"/>
      <c r="AQ51" s="77"/>
      <c r="AR51" s="76"/>
      <c r="AS51" s="76"/>
      <c r="AT51" s="77"/>
      <c r="AU51" s="77"/>
      <c r="AV51" s="77"/>
      <c r="AW51" s="77">
        <f>SUMPRODUCT(--(WEEKDAY(D$3:AG$3,2)&gt;5),--ISNUMBER(MATCH(D51:AG51,{"DM","CS1","CS2","SB1","AE","CS/B"},0)))</f>
        <v>0</v>
      </c>
      <c r="AX51" s="77"/>
      <c r="AY51" s="77"/>
      <c r="AZ51" s="77"/>
      <c r="BA51" s="77"/>
      <c r="BB51" s="76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</row>
    <row r="52" ht="19.5" customHeight="1" spans="1:70">
      <c r="A52" s="74"/>
      <c r="B52" s="105"/>
      <c r="C52" s="105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5">
        <f t="shared" ref="AI52:AQ52" si="91">COUNTIF($D52:$AG52,AI$4)</f>
        <v>0</v>
      </c>
      <c r="AJ52" s="105">
        <f t="shared" si="91"/>
        <v>0</v>
      </c>
      <c r="AK52" s="105">
        <f t="shared" si="91"/>
        <v>0</v>
      </c>
      <c r="AL52" s="105">
        <f t="shared" si="91"/>
        <v>0</v>
      </c>
      <c r="AM52" s="105">
        <f t="shared" si="91"/>
        <v>0</v>
      </c>
      <c r="AN52" s="105">
        <f t="shared" si="91"/>
        <v>0</v>
      </c>
      <c r="AO52" s="105">
        <f t="shared" si="91"/>
        <v>0</v>
      </c>
      <c r="AP52" s="105">
        <f t="shared" si="91"/>
        <v>0</v>
      </c>
      <c r="AQ52" s="105">
        <f t="shared" si="91"/>
        <v>0</v>
      </c>
      <c r="AR52" s="105">
        <v>1</v>
      </c>
      <c r="AS52" s="105"/>
      <c r="AT52" s="105">
        <f t="array" ref="AT52">SUMPRODUCT(--(WEEKDAY(D$3:AG$3,2)&lt;5),--ISNUMBER(MATCH(D52:AG52,{"DM","CS1","CS2","SB1","AE","CS/B"},0)))</f>
        <v>0</v>
      </c>
      <c r="AU52" s="105"/>
      <c r="AV52" s="105">
        <f t="array" ref="AV52">SUMPRODUCT(--(WEEKDAY(D$3:AG$3,2)=5),--ISNUMBER(MATCH(D52:AG52,{"DM","CS1","CS2","SB1","AE","CS/B"},0)))</f>
        <v>0</v>
      </c>
      <c r="AW52" s="74">
        <f>SUMPRODUCT(--(WEEKDAY(D$3:AG$3,2)&gt;5),--ISNUMBER(MATCH(D52:AG52,{"DM","CS1","CS2","SB1","AE","CS/B"},0)))</f>
        <v>0</v>
      </c>
      <c r="AX52" s="105"/>
      <c r="AY52" s="105">
        <f>(AT52-AU52)+AV52*1.5+(AW52-AX52)*2+AN52*0.5+AP52*0.5+AR52-AS52</f>
        <v>1</v>
      </c>
      <c r="AZ52" s="105">
        <f t="shared" ref="AZ52:AZ69" si="92">AT52+AV52+AW52</f>
        <v>0</v>
      </c>
      <c r="BA52" s="105">
        <f t="shared" ref="BA52:BA69" si="93">BD52+BF52+BH52+BJ52+BL52</f>
        <v>0</v>
      </c>
      <c r="BB52" s="105">
        <f t="shared" ref="BB52:BB69" si="94">AY52+BC52</f>
        <v>1</v>
      </c>
      <c r="BC52" s="105">
        <f t="shared" ref="BC52:BC69" si="95">BE52+BG52+BI52+BK52+BM52</f>
        <v>0</v>
      </c>
      <c r="BD52" s="105">
        <f t="shared" ref="BD52:BD69" si="96">COUNTIF(A52:AI52,"*$BTP*")</f>
        <v>0</v>
      </c>
      <c r="BE52" s="105">
        <f t="shared" ref="BE52:BE69" si="97">BD52*1.5</f>
        <v>0</v>
      </c>
      <c r="BF52" s="105">
        <f t="shared" ref="BF52:BF69" si="98">COUNTIF(A52:AI52,"*$M*")</f>
        <v>0</v>
      </c>
      <c r="BG52" s="105">
        <f t="shared" ref="BG52:BG69" si="99">BF52*1</f>
        <v>0</v>
      </c>
      <c r="BH52" s="105">
        <f t="shared" ref="BH52:BH69" si="100">COUNTIF(A52:AI52,"*$PM*")</f>
        <v>0</v>
      </c>
      <c r="BI52" s="105">
        <f t="shared" ref="BI52:BI69" si="101">BH52*0.5</f>
        <v>0</v>
      </c>
      <c r="BJ52" s="105">
        <f t="shared" ref="BJ52:BJ69" si="102">COUNTIF(A52:AI52,"*$AM*")</f>
        <v>0</v>
      </c>
      <c r="BK52" s="105">
        <f t="shared" ref="BK52:BK69" si="103">BJ52*0.5</f>
        <v>0</v>
      </c>
      <c r="BL52" s="105">
        <f t="shared" ref="BL52:BL69" si="104">COUNTIF(A52:AI52,"*$FC*")</f>
        <v>0</v>
      </c>
      <c r="BM52" s="105">
        <f t="shared" ref="BM52:BM69" si="105">BL52*1</f>
        <v>0</v>
      </c>
      <c r="BN52" s="105"/>
      <c r="BO52" s="105">
        <f t="shared" ref="BO52:BO62" si="106">COUNTIF($E52:$Z52,BO$4)</f>
        <v>0</v>
      </c>
      <c r="BP52" s="105">
        <f t="shared" ref="BP52:BP62" si="107">COUNTIF($E52:$Z52,BP$4)</f>
        <v>0</v>
      </c>
      <c r="BQ52" s="105">
        <f t="shared" ref="BQ52:BQ62" si="108">COUNTIF($E52:$Z52,BQ$4)</f>
        <v>0</v>
      </c>
      <c r="BR52" s="105"/>
    </row>
    <row r="53" ht="19.5" customHeight="1" spans="1:70">
      <c r="A53" s="77"/>
      <c r="B53" s="76" t="s">
        <v>812</v>
      </c>
      <c r="C53" s="76"/>
      <c r="D53" s="107"/>
      <c r="E53" s="107"/>
      <c r="F53" s="107"/>
      <c r="G53" s="107"/>
      <c r="H53" s="107"/>
      <c r="I53" s="107"/>
      <c r="J53" s="107" t="s">
        <v>57</v>
      </c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 t="s">
        <v>813</v>
      </c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77">
        <f t="shared" ref="AI53:AQ53" si="109">COUNTIF($D53:$AG53,AI$4)</f>
        <v>1</v>
      </c>
      <c r="AJ53" s="77">
        <f t="shared" si="109"/>
        <v>0</v>
      </c>
      <c r="AK53" s="77">
        <f t="shared" si="109"/>
        <v>0</v>
      </c>
      <c r="AL53" s="77">
        <f t="shared" si="109"/>
        <v>0</v>
      </c>
      <c r="AM53" s="77">
        <f t="shared" si="109"/>
        <v>0</v>
      </c>
      <c r="AN53" s="77">
        <f t="shared" si="109"/>
        <v>0</v>
      </c>
      <c r="AO53" s="77">
        <f t="shared" si="109"/>
        <v>0</v>
      </c>
      <c r="AP53" s="77">
        <f t="shared" si="109"/>
        <v>0</v>
      </c>
      <c r="AQ53" s="77">
        <f t="shared" si="109"/>
        <v>0</v>
      </c>
      <c r="AR53" s="76"/>
      <c r="AS53" s="76"/>
      <c r="AT53" s="77">
        <f>SUMPRODUCT(--(WEEKDAY(D$3:AG$3,2)&lt;5),--ISNUMBER(MATCH(D53:AG53,{"DM","CS1","CS2","SB1","SB2","AE","CS/B"},0)))</f>
        <v>1</v>
      </c>
      <c r="AU53" s="77"/>
      <c r="AV53" s="77">
        <f>SUMPRODUCT(--(WEEKDAY(D$3:AG$3,2)=5),--ISNUMBER(MATCH(D53:AG53,{"DM","CS1","CS2","SB1","SB2","AE","CS/B"},0)))</f>
        <v>0</v>
      </c>
      <c r="AW53" s="77">
        <f>SUMPRODUCT(--(WEEKDAY(D$3:AG$3,2)&gt;5),--ISNUMBER(MATCH(D53:AG53,{"DM","CS1","CS2","SB1","AE","CS/B","SB2"},0)))</f>
        <v>0</v>
      </c>
      <c r="AX53" s="77"/>
      <c r="AY53" s="77">
        <f>(AT53-AU53)+AV53*1.5+(AW53-AX53)*2+AP53*0.5+AR53-AS53</f>
        <v>1</v>
      </c>
      <c r="AZ53" s="77">
        <f t="shared" si="92"/>
        <v>1</v>
      </c>
      <c r="BA53" s="77">
        <f t="shared" si="93"/>
        <v>0</v>
      </c>
      <c r="BB53" s="76">
        <f t="shared" si="94"/>
        <v>1</v>
      </c>
      <c r="BC53" s="77">
        <f t="shared" si="95"/>
        <v>0</v>
      </c>
      <c r="BD53" s="77">
        <f t="shared" si="96"/>
        <v>0</v>
      </c>
      <c r="BE53" s="77">
        <f t="shared" si="97"/>
        <v>0</v>
      </c>
      <c r="BF53" s="77">
        <f t="shared" si="98"/>
        <v>0</v>
      </c>
      <c r="BG53" s="77">
        <f t="shared" si="99"/>
        <v>0</v>
      </c>
      <c r="BH53" s="77">
        <f t="shared" si="100"/>
        <v>0</v>
      </c>
      <c r="BI53" s="77">
        <f t="shared" si="101"/>
        <v>0</v>
      </c>
      <c r="BJ53" s="77">
        <f t="shared" si="102"/>
        <v>0</v>
      </c>
      <c r="BK53" s="77">
        <f t="shared" si="103"/>
        <v>0</v>
      </c>
      <c r="BL53" s="77">
        <f t="shared" si="104"/>
        <v>0</v>
      </c>
      <c r="BM53" s="77">
        <f t="shared" si="105"/>
        <v>0</v>
      </c>
      <c r="BN53" s="77"/>
      <c r="BO53" s="77">
        <f t="shared" si="106"/>
        <v>0</v>
      </c>
      <c r="BP53" s="77">
        <f t="shared" si="107"/>
        <v>0</v>
      </c>
      <c r="BQ53" s="77">
        <f t="shared" si="108"/>
        <v>0</v>
      </c>
      <c r="BR53" s="77"/>
    </row>
    <row r="54" ht="19.5" customHeight="1" spans="1:70">
      <c r="A54" s="74"/>
      <c r="B54" s="76" t="s">
        <v>814</v>
      </c>
      <c r="C54" s="76"/>
      <c r="D54" s="110"/>
      <c r="E54" s="110"/>
      <c r="F54" s="110"/>
      <c r="G54" s="110" t="s">
        <v>815</v>
      </c>
      <c r="H54" s="110" t="s">
        <v>65</v>
      </c>
      <c r="I54" s="110"/>
      <c r="J54" s="110"/>
      <c r="K54" s="110" t="s">
        <v>65</v>
      </c>
      <c r="L54" s="110"/>
      <c r="M54" s="110"/>
      <c r="N54" s="110" t="s">
        <v>816</v>
      </c>
      <c r="O54" s="110" t="s">
        <v>58</v>
      </c>
      <c r="P54" s="110"/>
      <c r="Q54" s="110"/>
      <c r="R54" s="110" t="s">
        <v>56</v>
      </c>
      <c r="S54" s="110"/>
      <c r="T54" s="110" t="s">
        <v>58</v>
      </c>
      <c r="U54" s="110" t="s">
        <v>93</v>
      </c>
      <c r="V54" s="110"/>
      <c r="W54" s="110" t="s">
        <v>56</v>
      </c>
      <c r="X54" s="110" t="s">
        <v>253</v>
      </c>
      <c r="Y54" s="110"/>
      <c r="Z54" s="110"/>
      <c r="AA54" s="110"/>
      <c r="AB54" s="110" t="s">
        <v>261</v>
      </c>
      <c r="AC54" s="142"/>
      <c r="AD54" s="110"/>
      <c r="AE54" s="110" t="s">
        <v>56</v>
      </c>
      <c r="AF54" s="110"/>
      <c r="AG54" s="110"/>
      <c r="AH54" s="110"/>
      <c r="AI54" s="74">
        <f t="shared" ref="AI54:AQ54" si="110">COUNTIF($D54:$AG54,AI$4)</f>
        <v>0</v>
      </c>
      <c r="AJ54" s="74">
        <f t="shared" si="110"/>
        <v>3</v>
      </c>
      <c r="AK54" s="74">
        <f t="shared" si="110"/>
        <v>0</v>
      </c>
      <c r="AL54" s="74">
        <f t="shared" si="110"/>
        <v>0</v>
      </c>
      <c r="AM54" s="74">
        <f t="shared" si="110"/>
        <v>2</v>
      </c>
      <c r="AN54" s="74">
        <f t="shared" si="110"/>
        <v>1</v>
      </c>
      <c r="AO54" s="74">
        <f t="shared" si="110"/>
        <v>2</v>
      </c>
      <c r="AP54" s="74">
        <f t="shared" si="110"/>
        <v>0</v>
      </c>
      <c r="AQ54" s="74">
        <f t="shared" si="110"/>
        <v>0</v>
      </c>
      <c r="AR54" s="76"/>
      <c r="AS54" s="76"/>
      <c r="AT54" s="74">
        <f>SUMPRODUCT(--(WEEKDAY(D$3:AG$3,2)&lt;5),--ISNUMBER(MATCH(D54:AG54,{"DM","CS1","CS2","SB1","SB2","AE","CS/B"},0)))</f>
        <v>5</v>
      </c>
      <c r="AU54" s="74"/>
      <c r="AV54" s="74">
        <f>SUMPRODUCT(--(WEEKDAY(D$3:AG$3,2)=5),--ISNUMBER(MATCH(D54:AG54,{"DM","CS1","CS2","SB1","SB2","AE","CS/B"},0)))</f>
        <v>2</v>
      </c>
      <c r="AW54" s="74">
        <f>SUMPRODUCT(--(WEEKDAY(D$3:AG$3,2)&gt;5),--ISNUMBER(MATCH(D54:AG54,{"DM","CS1","CS2","SB1","AE","CS/B","SB2"},0)))</f>
        <v>1</v>
      </c>
      <c r="AX54" s="74"/>
      <c r="AY54" s="74">
        <f t="shared" ref="AY54:AY69" si="111">(AT54-AU54)+AV54*1.5+(AW54-AX54)*2+AN54*0.5+AP54*0.5+AR54-AS54</f>
        <v>10.5</v>
      </c>
      <c r="AZ54" s="74">
        <f t="shared" si="92"/>
        <v>8</v>
      </c>
      <c r="BA54" s="74">
        <f t="shared" si="93"/>
        <v>1</v>
      </c>
      <c r="BB54" s="76">
        <f t="shared" si="94"/>
        <v>11</v>
      </c>
      <c r="BC54" s="74">
        <f t="shared" si="95"/>
        <v>0.5</v>
      </c>
      <c r="BD54" s="74">
        <f t="shared" si="96"/>
        <v>0</v>
      </c>
      <c r="BE54" s="74">
        <f t="shared" si="97"/>
        <v>0</v>
      </c>
      <c r="BF54" s="74">
        <f t="shared" si="98"/>
        <v>0</v>
      </c>
      <c r="BG54" s="74">
        <f t="shared" si="99"/>
        <v>0</v>
      </c>
      <c r="BH54" s="74">
        <f t="shared" si="100"/>
        <v>1</v>
      </c>
      <c r="BI54" s="74">
        <f t="shared" si="101"/>
        <v>0.5</v>
      </c>
      <c r="BJ54" s="74">
        <f t="shared" si="102"/>
        <v>0</v>
      </c>
      <c r="BK54" s="74">
        <f t="shared" si="103"/>
        <v>0</v>
      </c>
      <c r="BL54" s="74">
        <f t="shared" si="104"/>
        <v>0</v>
      </c>
      <c r="BM54" s="74">
        <f t="shared" si="105"/>
        <v>0</v>
      </c>
      <c r="BN54" s="74"/>
      <c r="BO54" s="74">
        <f t="shared" si="106"/>
        <v>0</v>
      </c>
      <c r="BP54" s="74">
        <f t="shared" si="107"/>
        <v>0</v>
      </c>
      <c r="BQ54" s="74">
        <f t="shared" si="108"/>
        <v>0</v>
      </c>
      <c r="BR54" s="74"/>
    </row>
    <row r="55" ht="19.5" customHeight="1" spans="1:70">
      <c r="A55" s="77"/>
      <c r="B55" s="76" t="s">
        <v>817</v>
      </c>
      <c r="C55" s="76"/>
      <c r="D55" s="107"/>
      <c r="E55" s="107"/>
      <c r="F55" s="107"/>
      <c r="G55" s="107" t="s">
        <v>507</v>
      </c>
      <c r="H55" s="107" t="s">
        <v>58</v>
      </c>
      <c r="I55" s="107"/>
      <c r="J55" s="107"/>
      <c r="K55" s="107" t="s">
        <v>818</v>
      </c>
      <c r="L55" s="107" t="s">
        <v>818</v>
      </c>
      <c r="M55" s="141"/>
      <c r="N55" s="107"/>
      <c r="O55" s="107" t="s">
        <v>56</v>
      </c>
      <c r="P55" s="107"/>
      <c r="Q55" s="107"/>
      <c r="R55" s="107"/>
      <c r="S55" s="107"/>
      <c r="T55" s="107" t="s">
        <v>93</v>
      </c>
      <c r="U55" s="107"/>
      <c r="V55" s="107" t="s">
        <v>65</v>
      </c>
      <c r="W55" s="107"/>
      <c r="X55" s="148" t="s">
        <v>58</v>
      </c>
      <c r="Y55" s="107"/>
      <c r="Z55" s="107"/>
      <c r="AA55" s="107"/>
      <c r="AB55" s="107"/>
      <c r="AC55" s="107" t="s">
        <v>819</v>
      </c>
      <c r="AD55" s="148"/>
      <c r="AE55" s="107"/>
      <c r="AF55" s="107" t="s">
        <v>56</v>
      </c>
      <c r="AG55" s="107" t="s">
        <v>58</v>
      </c>
      <c r="AH55" s="107"/>
      <c r="AI55" s="77">
        <f t="shared" ref="AI55:AQ55" si="112">COUNTIF($D55:$AG55,AI$4)</f>
        <v>0</v>
      </c>
      <c r="AJ55" s="77">
        <f t="shared" si="112"/>
        <v>2</v>
      </c>
      <c r="AK55" s="77">
        <f t="shared" si="112"/>
        <v>0</v>
      </c>
      <c r="AL55" s="77">
        <f t="shared" si="112"/>
        <v>0</v>
      </c>
      <c r="AM55" s="77">
        <f t="shared" si="112"/>
        <v>3</v>
      </c>
      <c r="AN55" s="77">
        <f t="shared" si="112"/>
        <v>1</v>
      </c>
      <c r="AO55" s="77">
        <f t="shared" si="112"/>
        <v>1</v>
      </c>
      <c r="AP55" s="77">
        <f t="shared" si="112"/>
        <v>0</v>
      </c>
      <c r="AQ55" s="77">
        <f t="shared" si="112"/>
        <v>0</v>
      </c>
      <c r="AR55" s="76"/>
      <c r="AS55" s="76"/>
      <c r="AT55" s="77">
        <f>SUMPRODUCT(--(WEEKDAY(D$3:AG$3,2)&lt;5),--ISNUMBER(MATCH(D55:AG55,{"DM","CS1","CS2","SB1","SB2","AE","CS/B"},0)))</f>
        <v>4</v>
      </c>
      <c r="AU55" s="77"/>
      <c r="AV55" s="77">
        <f>SUMPRODUCT(--(WEEKDAY(D$3:AG$3,2)=5),--ISNUMBER(MATCH(D55:AG55,{"DM","CS1","CS2","SB1","SB2","AE","CS/B"},0)))</f>
        <v>1</v>
      </c>
      <c r="AW55" s="77">
        <f>SUMPRODUCT(--(WEEKDAY(D$3:AG$3,2)&gt;5),--ISNUMBER(MATCH(D55:AG55,{"DM","CS1","CS2","SB1","AE","CS/B","SB2"},0)))</f>
        <v>2</v>
      </c>
      <c r="AX55" s="77"/>
      <c r="AY55" s="77">
        <f t="shared" si="111"/>
        <v>10</v>
      </c>
      <c r="AZ55" s="77">
        <f t="shared" si="92"/>
        <v>7</v>
      </c>
      <c r="BA55" s="77">
        <f t="shared" si="93"/>
        <v>3</v>
      </c>
      <c r="BB55" s="76">
        <f t="shared" si="94"/>
        <v>12.5</v>
      </c>
      <c r="BC55" s="77">
        <f t="shared" si="95"/>
        <v>2.5</v>
      </c>
      <c r="BD55" s="77">
        <f t="shared" si="96"/>
        <v>0</v>
      </c>
      <c r="BE55" s="77">
        <f t="shared" si="97"/>
        <v>0</v>
      </c>
      <c r="BF55" s="77">
        <f t="shared" si="98"/>
        <v>0</v>
      </c>
      <c r="BG55" s="77">
        <f t="shared" si="99"/>
        <v>0</v>
      </c>
      <c r="BH55" s="77">
        <f t="shared" si="100"/>
        <v>0</v>
      </c>
      <c r="BI55" s="77">
        <f t="shared" si="101"/>
        <v>0</v>
      </c>
      <c r="BJ55" s="77">
        <f t="shared" si="102"/>
        <v>1</v>
      </c>
      <c r="BK55" s="77">
        <f t="shared" si="103"/>
        <v>0.5</v>
      </c>
      <c r="BL55" s="77">
        <f t="shared" si="104"/>
        <v>2</v>
      </c>
      <c r="BM55" s="77">
        <f t="shared" si="105"/>
        <v>2</v>
      </c>
      <c r="BN55" s="77"/>
      <c r="BO55" s="77">
        <f t="shared" si="106"/>
        <v>0</v>
      </c>
      <c r="BP55" s="77">
        <f t="shared" si="107"/>
        <v>0</v>
      </c>
      <c r="BQ55" s="77">
        <f t="shared" si="108"/>
        <v>0</v>
      </c>
      <c r="BR55" s="77"/>
    </row>
    <row r="56" ht="19.5" customHeight="1" spans="1:70">
      <c r="A56" s="74"/>
      <c r="B56" s="76" t="s">
        <v>820</v>
      </c>
      <c r="C56" s="76"/>
      <c r="D56" s="110"/>
      <c r="E56" s="110"/>
      <c r="F56" s="110" t="s">
        <v>93</v>
      </c>
      <c r="G56" s="110"/>
      <c r="H56" s="110"/>
      <c r="I56" s="110"/>
      <c r="J56" s="142" t="s">
        <v>253</v>
      </c>
      <c r="K56" s="110" t="s">
        <v>58</v>
      </c>
      <c r="L56" s="110"/>
      <c r="M56" s="110"/>
      <c r="N56" s="110" t="s">
        <v>93</v>
      </c>
      <c r="O56" s="110"/>
      <c r="P56" s="110" t="s">
        <v>56</v>
      </c>
      <c r="R56" s="110"/>
      <c r="S56" s="110" t="s">
        <v>58</v>
      </c>
      <c r="T56" s="110"/>
      <c r="U56" s="110" t="s">
        <v>56</v>
      </c>
      <c r="V56" s="110" t="s">
        <v>56</v>
      </c>
      <c r="W56" s="110"/>
      <c r="X56" s="110" t="s">
        <v>253</v>
      </c>
      <c r="Y56" s="110"/>
      <c r="Z56" s="110"/>
      <c r="AA56" s="110"/>
      <c r="AB56" s="110" t="s">
        <v>54</v>
      </c>
      <c r="AC56" s="110" t="s">
        <v>54</v>
      </c>
      <c r="AD56" s="110" t="s">
        <v>54</v>
      </c>
      <c r="AE56" s="110" t="s">
        <v>54</v>
      </c>
      <c r="AF56" s="110" t="s">
        <v>54</v>
      </c>
      <c r="AG56" s="110" t="s">
        <v>54</v>
      </c>
      <c r="AH56" s="110" t="s">
        <v>54</v>
      </c>
      <c r="AI56" s="74">
        <f t="shared" ref="AI56:AQ56" si="113">COUNTIF($D56:$AG56,AI$4)</f>
        <v>0</v>
      </c>
      <c r="AJ56" s="74">
        <f t="shared" si="113"/>
        <v>3</v>
      </c>
      <c r="AK56" s="74">
        <f t="shared" si="113"/>
        <v>0</v>
      </c>
      <c r="AL56" s="74">
        <f t="shared" si="113"/>
        <v>0</v>
      </c>
      <c r="AM56" s="74">
        <f t="shared" si="113"/>
        <v>2</v>
      </c>
      <c r="AN56" s="74">
        <f t="shared" si="113"/>
        <v>2</v>
      </c>
      <c r="AO56" s="74">
        <f t="shared" si="113"/>
        <v>0</v>
      </c>
      <c r="AP56" s="74">
        <f t="shared" si="113"/>
        <v>0</v>
      </c>
      <c r="AQ56" s="74">
        <f t="shared" si="113"/>
        <v>0</v>
      </c>
      <c r="AR56" s="76"/>
      <c r="AS56" s="76"/>
      <c r="AT56" s="74">
        <f>SUMPRODUCT(--(WEEKDAY(D$3:AG$3,2)&lt;5),--ISNUMBER(MATCH(D56:AG56,{"DM","CS1","CS2","SB1","SB2","AE","CS/B"},0)))</f>
        <v>4</v>
      </c>
      <c r="AU56" s="74"/>
      <c r="AV56" s="74">
        <f>SUMPRODUCT(--(WEEKDAY(D$3:AG$3,2)=5),--ISNUMBER(MATCH(D56:AG56,{"DM","CS1","CS2","SB1","SB2","AE","CS/B"},0)))</f>
        <v>1</v>
      </c>
      <c r="AW56" s="74">
        <f>SUMPRODUCT(--(WEEKDAY(D$3:AG$3,2)&gt;5),--ISNUMBER(MATCH(D56:AG56,{"DM","CS1","CS2","SB1","AE","CS/B","SB2"},0)))</f>
        <v>2</v>
      </c>
      <c r="AX56" s="74"/>
      <c r="AY56" s="74">
        <f t="shared" si="111"/>
        <v>10.5</v>
      </c>
      <c r="AZ56" s="74">
        <f t="shared" si="92"/>
        <v>7</v>
      </c>
      <c r="BA56" s="74">
        <f t="shared" si="93"/>
        <v>0</v>
      </c>
      <c r="BB56" s="76">
        <f t="shared" si="94"/>
        <v>10.5</v>
      </c>
      <c r="BC56" s="74">
        <f t="shared" si="95"/>
        <v>0</v>
      </c>
      <c r="BD56" s="74">
        <f t="shared" si="96"/>
        <v>0</v>
      </c>
      <c r="BE56" s="74">
        <f t="shared" si="97"/>
        <v>0</v>
      </c>
      <c r="BF56" s="74">
        <f t="shared" si="98"/>
        <v>0</v>
      </c>
      <c r="BG56" s="74">
        <f t="shared" si="99"/>
        <v>0</v>
      </c>
      <c r="BH56" s="74">
        <f t="shared" si="100"/>
        <v>0</v>
      </c>
      <c r="BI56" s="74">
        <f t="shared" si="101"/>
        <v>0</v>
      </c>
      <c r="BJ56" s="74">
        <f t="shared" si="102"/>
        <v>0</v>
      </c>
      <c r="BK56" s="74">
        <f t="shared" si="103"/>
        <v>0</v>
      </c>
      <c r="BL56" s="74">
        <f t="shared" si="104"/>
        <v>0</v>
      </c>
      <c r="BM56" s="74">
        <f t="shared" si="105"/>
        <v>0</v>
      </c>
      <c r="BN56" s="74"/>
      <c r="BO56" s="74">
        <f t="shared" si="106"/>
        <v>0</v>
      </c>
      <c r="BP56" s="74">
        <f t="shared" si="107"/>
        <v>0</v>
      </c>
      <c r="BQ56" s="74">
        <f t="shared" si="108"/>
        <v>0</v>
      </c>
      <c r="BR56" s="74"/>
    </row>
    <row r="57" ht="19.5" customHeight="1" spans="1:70">
      <c r="A57" s="77"/>
      <c r="B57" s="76" t="s">
        <v>821</v>
      </c>
      <c r="C57" s="76"/>
      <c r="D57" s="107"/>
      <c r="E57" s="107"/>
      <c r="F57" s="107" t="s">
        <v>58</v>
      </c>
      <c r="G57" s="107"/>
      <c r="H57" s="107"/>
      <c r="I57" s="107"/>
      <c r="J57" s="107"/>
      <c r="K57" s="107"/>
      <c r="L57" s="107" t="s">
        <v>54</v>
      </c>
      <c r="M57" s="107" t="s">
        <v>54</v>
      </c>
      <c r="N57" s="107" t="s">
        <v>54</v>
      </c>
      <c r="O57" s="107" t="s">
        <v>54</v>
      </c>
      <c r="P57" s="148" t="s">
        <v>822</v>
      </c>
      <c r="Q57" s="107" t="s">
        <v>65</v>
      </c>
      <c r="R57" s="107"/>
      <c r="S57" s="107"/>
      <c r="T57" s="107"/>
      <c r="U57" s="148"/>
      <c r="V57" s="107"/>
      <c r="W57" s="107" t="s">
        <v>823</v>
      </c>
      <c r="X57" s="107" t="s">
        <v>253</v>
      </c>
      <c r="Y57" s="107" t="s">
        <v>65</v>
      </c>
      <c r="Z57" s="107"/>
      <c r="AA57" s="107" t="s">
        <v>824</v>
      </c>
      <c r="AB57" s="107"/>
      <c r="AC57" s="107" t="s">
        <v>65</v>
      </c>
      <c r="AD57" s="107"/>
      <c r="AE57" s="107" t="s">
        <v>261</v>
      </c>
      <c r="AF57" s="107" t="s">
        <v>58</v>
      </c>
      <c r="AG57" s="107"/>
      <c r="AH57" s="107"/>
      <c r="AI57" s="77">
        <f t="shared" ref="AI57:AQ57" si="114">COUNTIF($D57:$AG57,AI$4)</f>
        <v>0</v>
      </c>
      <c r="AJ57" s="77">
        <f t="shared" si="114"/>
        <v>0</v>
      </c>
      <c r="AK57" s="77">
        <f t="shared" si="114"/>
        <v>0</v>
      </c>
      <c r="AL57" s="77">
        <f t="shared" si="114"/>
        <v>0</v>
      </c>
      <c r="AM57" s="77">
        <f t="shared" si="114"/>
        <v>2</v>
      </c>
      <c r="AN57" s="77">
        <f t="shared" si="114"/>
        <v>0</v>
      </c>
      <c r="AO57" s="77">
        <f t="shared" si="114"/>
        <v>3</v>
      </c>
      <c r="AP57" s="77">
        <f t="shared" si="114"/>
        <v>0</v>
      </c>
      <c r="AQ57" s="77">
        <f t="shared" si="114"/>
        <v>0</v>
      </c>
      <c r="AR57" s="76"/>
      <c r="AS57" s="76"/>
      <c r="AT57" s="77">
        <f>SUMPRODUCT(--(WEEKDAY(D$3:AG$3,2)&lt;5),--ISNUMBER(MATCH(D57:AG57,{"DM","CS1","CS2","SB1","SB2","AE","CS/B"},0)))</f>
        <v>2</v>
      </c>
      <c r="AU57" s="77"/>
      <c r="AV57" s="77">
        <f>SUMPRODUCT(--(WEEKDAY(D$3:AG$3,2)=5),--ISNUMBER(MATCH(D57:AG57,{"DM","CS1","CS2","SB1","SB2","AE","CS/B"},0)))</f>
        <v>2</v>
      </c>
      <c r="AW57" s="77">
        <f>SUMPRODUCT(--(WEEKDAY(D$3:AG$3,2)&gt;5),--ISNUMBER(MATCH(D57:AG57,{"DM","CS1","CS2","SB1","AE","CS/B","SB2"},0)))</f>
        <v>1</v>
      </c>
      <c r="AX57" s="77"/>
      <c r="AY57" s="77">
        <f t="shared" si="111"/>
        <v>7</v>
      </c>
      <c r="AZ57" s="77">
        <f t="shared" si="92"/>
        <v>5</v>
      </c>
      <c r="BA57" s="77">
        <f t="shared" si="93"/>
        <v>2</v>
      </c>
      <c r="BB57" s="76">
        <f t="shared" si="94"/>
        <v>8</v>
      </c>
      <c r="BC57" s="77">
        <f t="shared" si="95"/>
        <v>1</v>
      </c>
      <c r="BD57" s="77">
        <f t="shared" si="96"/>
        <v>0</v>
      </c>
      <c r="BE57" s="77">
        <f t="shared" si="97"/>
        <v>0</v>
      </c>
      <c r="BF57" s="77">
        <f t="shared" si="98"/>
        <v>0</v>
      </c>
      <c r="BG57" s="77">
        <f t="shared" si="99"/>
        <v>0</v>
      </c>
      <c r="BH57" s="77">
        <f t="shared" si="100"/>
        <v>1</v>
      </c>
      <c r="BI57" s="77">
        <f t="shared" si="101"/>
        <v>0.5</v>
      </c>
      <c r="BJ57" s="77">
        <f t="shared" si="102"/>
        <v>1</v>
      </c>
      <c r="BK57" s="77">
        <f t="shared" si="103"/>
        <v>0.5</v>
      </c>
      <c r="BL57" s="77">
        <f t="shared" si="104"/>
        <v>0</v>
      </c>
      <c r="BM57" s="77">
        <f t="shared" si="105"/>
        <v>0</v>
      </c>
      <c r="BN57" s="77"/>
      <c r="BO57" s="77">
        <f t="shared" si="106"/>
        <v>0</v>
      </c>
      <c r="BP57" s="77">
        <f t="shared" si="107"/>
        <v>0</v>
      </c>
      <c r="BQ57" s="77">
        <f t="shared" si="108"/>
        <v>0</v>
      </c>
      <c r="BR57" s="77"/>
    </row>
    <row r="58" ht="19.5" customHeight="1" spans="1:70">
      <c r="A58" s="74"/>
      <c r="B58" s="74" t="s">
        <v>825</v>
      </c>
      <c r="C58" s="151"/>
      <c r="D58" s="119"/>
      <c r="E58" s="121"/>
      <c r="F58" s="121"/>
      <c r="G58" s="152" t="s">
        <v>57</v>
      </c>
      <c r="H58" s="110"/>
      <c r="I58" s="110" t="s">
        <v>826</v>
      </c>
      <c r="J58" s="110" t="s">
        <v>826</v>
      </c>
      <c r="K58" s="110" t="s">
        <v>826</v>
      </c>
      <c r="L58" s="121"/>
      <c r="M58" s="121"/>
      <c r="N58" s="114" t="s">
        <v>827</v>
      </c>
      <c r="O58" s="121"/>
      <c r="P58" s="121"/>
      <c r="Q58" s="114" t="s">
        <v>827</v>
      </c>
      <c r="R58" s="110"/>
      <c r="S58" s="110"/>
      <c r="T58" s="121"/>
      <c r="U58" s="110" t="s">
        <v>828</v>
      </c>
      <c r="V58" s="114"/>
      <c r="W58" s="110" t="s">
        <v>829</v>
      </c>
      <c r="X58" s="110" t="s">
        <v>829</v>
      </c>
      <c r="Y58" s="114" t="s">
        <v>57</v>
      </c>
      <c r="Z58" s="121"/>
      <c r="AA58" s="110"/>
      <c r="AB58" s="110" t="s">
        <v>830</v>
      </c>
      <c r="AC58" s="110" t="s">
        <v>830</v>
      </c>
      <c r="AD58" s="110"/>
      <c r="AE58" s="110" t="s">
        <v>57</v>
      </c>
      <c r="AF58" s="114" t="s">
        <v>831</v>
      </c>
      <c r="AG58" s="114" t="s">
        <v>831</v>
      </c>
      <c r="AH58" s="114" t="s">
        <v>831</v>
      </c>
      <c r="AI58" s="74">
        <f t="shared" ref="AI58:AQ58" si="115">COUNTIF($D58:$AG58,AI$4)</f>
        <v>3</v>
      </c>
      <c r="AJ58" s="74">
        <f t="shared" si="115"/>
        <v>0</v>
      </c>
      <c r="AK58" s="74">
        <f t="shared" si="115"/>
        <v>0</v>
      </c>
      <c r="AL58" s="74">
        <f t="shared" si="115"/>
        <v>0</v>
      </c>
      <c r="AM58" s="74">
        <f t="shared" si="115"/>
        <v>0</v>
      </c>
      <c r="AN58" s="74">
        <f t="shared" si="115"/>
        <v>0</v>
      </c>
      <c r="AO58" s="74">
        <f t="shared" si="115"/>
        <v>0</v>
      </c>
      <c r="AP58" s="74">
        <f t="shared" si="115"/>
        <v>0</v>
      </c>
      <c r="AQ58" s="74">
        <f t="shared" si="115"/>
        <v>0</v>
      </c>
      <c r="AR58" s="76">
        <v>1</v>
      </c>
      <c r="AS58" s="76"/>
      <c r="AT58" s="74">
        <f>SUMPRODUCT(--(WEEKDAY(D$3:AG$3,2)&lt;5),--ISNUMBER(MATCH(D58:AG58,{"DM","CS1","CS2","SB1","SB2","AE","CS/B"},0)))</f>
        <v>2</v>
      </c>
      <c r="AU58" s="74"/>
      <c r="AV58" s="74">
        <f>SUMPRODUCT(--(WEEKDAY(D$3:AG$3,2)=5),--ISNUMBER(MATCH(D58:AG58,{"DM","CS1","CS2","SB1","SB2","AE","CS/B"},0)))</f>
        <v>1</v>
      </c>
      <c r="AW58" s="74">
        <f>SUMPRODUCT(--(WEEKDAY(D$3:AG$3,2)&gt;5),--ISNUMBER(MATCH(D58:AG58,{"DM","CS1","CS2","SB1","AE","CS/B","SB2"},0)))</f>
        <v>0</v>
      </c>
      <c r="AX58" s="74"/>
      <c r="AY58" s="74">
        <f t="shared" si="111"/>
        <v>4.5</v>
      </c>
      <c r="AZ58" s="74">
        <f t="shared" si="92"/>
        <v>3</v>
      </c>
      <c r="BA58" s="74">
        <f t="shared" si="93"/>
        <v>5</v>
      </c>
      <c r="BB58" s="76">
        <f t="shared" si="94"/>
        <v>9.5</v>
      </c>
      <c r="BC58" s="74">
        <f t="shared" si="95"/>
        <v>5</v>
      </c>
      <c r="BD58" s="74">
        <f t="shared" si="96"/>
        <v>0</v>
      </c>
      <c r="BE58" s="74">
        <f t="shared" si="97"/>
        <v>0</v>
      </c>
      <c r="BF58" s="74">
        <f t="shared" si="98"/>
        <v>0</v>
      </c>
      <c r="BG58" s="74">
        <f t="shared" si="99"/>
        <v>0</v>
      </c>
      <c r="BH58" s="74">
        <f t="shared" si="100"/>
        <v>0</v>
      </c>
      <c r="BI58" s="74">
        <f t="shared" si="101"/>
        <v>0</v>
      </c>
      <c r="BJ58" s="74">
        <f t="shared" si="102"/>
        <v>0</v>
      </c>
      <c r="BK58" s="74">
        <f t="shared" si="103"/>
        <v>0</v>
      </c>
      <c r="BL58" s="74">
        <f t="shared" si="104"/>
        <v>5</v>
      </c>
      <c r="BM58" s="74">
        <f t="shared" si="105"/>
        <v>5</v>
      </c>
      <c r="BN58" s="74"/>
      <c r="BO58" s="74">
        <f t="shared" si="106"/>
        <v>0</v>
      </c>
      <c r="BP58" s="74">
        <f t="shared" si="107"/>
        <v>0</v>
      </c>
      <c r="BQ58" s="74">
        <f t="shared" si="108"/>
        <v>0</v>
      </c>
      <c r="BR58" s="74"/>
    </row>
    <row r="59" ht="19.5" customHeight="1" spans="1:70">
      <c r="A59" s="107"/>
      <c r="B59" s="107" t="s">
        <v>832</v>
      </c>
      <c r="C59" s="107"/>
      <c r="D59" s="107"/>
      <c r="E59" s="107"/>
      <c r="F59" s="107"/>
      <c r="G59" s="107" t="s">
        <v>56</v>
      </c>
      <c r="H59" s="107"/>
      <c r="I59" s="107" t="s">
        <v>767</v>
      </c>
      <c r="J59" s="107" t="s">
        <v>822</v>
      </c>
      <c r="K59" s="107"/>
      <c r="L59" s="107"/>
      <c r="M59" s="107"/>
      <c r="N59" s="107"/>
      <c r="O59" s="107" t="s">
        <v>813</v>
      </c>
      <c r="P59" s="107" t="s">
        <v>833</v>
      </c>
      <c r="Q59" s="107" t="s">
        <v>56</v>
      </c>
      <c r="R59" s="107" t="s">
        <v>65</v>
      </c>
      <c r="S59" s="107"/>
      <c r="T59" s="107"/>
      <c r="U59" s="107" t="s">
        <v>57</v>
      </c>
      <c r="V59" s="107"/>
      <c r="W59" s="107" t="s">
        <v>57</v>
      </c>
      <c r="X59" s="107" t="s">
        <v>834</v>
      </c>
      <c r="Y59" s="107"/>
      <c r="Z59" s="107"/>
      <c r="AA59" s="107"/>
      <c r="AB59" s="107" t="s">
        <v>57</v>
      </c>
      <c r="AC59" s="107" t="s">
        <v>822</v>
      </c>
      <c r="AD59" s="107"/>
      <c r="AE59" s="107"/>
      <c r="AF59" s="107" t="s">
        <v>57</v>
      </c>
      <c r="AG59" s="107"/>
      <c r="AH59" s="107" t="s">
        <v>58</v>
      </c>
      <c r="AI59" s="77">
        <f t="shared" ref="AI59:AQ59" si="116">COUNTIF($D59:$AG59,AI$4)</f>
        <v>4</v>
      </c>
      <c r="AJ59" s="77">
        <f t="shared" si="116"/>
        <v>2</v>
      </c>
      <c r="AK59" s="77">
        <f t="shared" si="116"/>
        <v>0</v>
      </c>
      <c r="AL59" s="77">
        <f t="shared" si="116"/>
        <v>0</v>
      </c>
      <c r="AM59" s="77">
        <f t="shared" si="116"/>
        <v>0</v>
      </c>
      <c r="AN59" s="77">
        <f t="shared" si="116"/>
        <v>0</v>
      </c>
      <c r="AO59" s="77">
        <f t="shared" si="116"/>
        <v>1</v>
      </c>
      <c r="AP59" s="77">
        <f t="shared" si="116"/>
        <v>1</v>
      </c>
      <c r="AQ59" s="77">
        <f t="shared" si="116"/>
        <v>0</v>
      </c>
      <c r="AR59" s="76"/>
      <c r="AS59" s="76"/>
      <c r="AT59" s="77">
        <f>SUMPRODUCT(--(WEEKDAY(D$3:AG$3,2)&lt;5),--ISNUMBER(MATCH(D59:AG59,{"DM","CS1","CS2","SB1","SB2","AE","CS/B"},0)))</f>
        <v>5</v>
      </c>
      <c r="AU59" s="77"/>
      <c r="AV59" s="77">
        <f>SUMPRODUCT(--(WEEKDAY(D$3:AG$3,2)=5),--ISNUMBER(MATCH(D59:AG59,{"DM","CS1","CS2","SB1","SB2","AE","CS/B"},0)))</f>
        <v>2</v>
      </c>
      <c r="AW59" s="77">
        <f>SUMPRODUCT(--(WEEKDAY(D$3:AG$3,2)&gt;5),--ISNUMBER(MATCH(D59:AG59,{"DM","CS1","CS2","SB1","AE","CS/B","SB2"},0)))</f>
        <v>0</v>
      </c>
      <c r="AX59" s="77"/>
      <c r="AY59" s="77">
        <f t="shared" si="111"/>
        <v>8.5</v>
      </c>
      <c r="AZ59" s="77">
        <f t="shared" si="92"/>
        <v>7</v>
      </c>
      <c r="BA59" s="77">
        <f t="shared" si="93"/>
        <v>1</v>
      </c>
      <c r="BB59" s="76">
        <f t="shared" si="94"/>
        <v>9.5</v>
      </c>
      <c r="BC59" s="77">
        <f t="shared" si="95"/>
        <v>1</v>
      </c>
      <c r="BD59" s="77">
        <f t="shared" si="96"/>
        <v>0</v>
      </c>
      <c r="BE59" s="77">
        <f t="shared" si="97"/>
        <v>0</v>
      </c>
      <c r="BF59" s="77">
        <f t="shared" si="98"/>
        <v>1</v>
      </c>
      <c r="BG59" s="77">
        <f t="shared" si="99"/>
        <v>1</v>
      </c>
      <c r="BH59" s="77">
        <f t="shared" si="100"/>
        <v>0</v>
      </c>
      <c r="BI59" s="77">
        <f t="shared" si="101"/>
        <v>0</v>
      </c>
      <c r="BJ59" s="77">
        <f t="shared" si="102"/>
        <v>0</v>
      </c>
      <c r="BK59" s="77">
        <f t="shared" si="103"/>
        <v>0</v>
      </c>
      <c r="BL59" s="77">
        <f t="shared" si="104"/>
        <v>0</v>
      </c>
      <c r="BM59" s="77">
        <f t="shared" si="105"/>
        <v>0</v>
      </c>
      <c r="BN59" s="77"/>
      <c r="BO59" s="77">
        <f t="shared" si="106"/>
        <v>0</v>
      </c>
      <c r="BP59" s="77">
        <f t="shared" si="107"/>
        <v>0</v>
      </c>
      <c r="BQ59" s="77">
        <f t="shared" si="108"/>
        <v>0</v>
      </c>
      <c r="BR59" s="107"/>
    </row>
    <row r="60" ht="19.5" customHeight="1" spans="1:70">
      <c r="A60" s="110"/>
      <c r="B60" s="110" t="s">
        <v>835</v>
      </c>
      <c r="C60" s="110"/>
      <c r="D60" s="110" t="s">
        <v>58</v>
      </c>
      <c r="E60" s="110"/>
      <c r="F60" s="110"/>
      <c r="G60" s="110" t="s">
        <v>93</v>
      </c>
      <c r="H60" s="110" t="s">
        <v>56</v>
      </c>
      <c r="I60" s="110"/>
      <c r="J60" s="110" t="s">
        <v>56</v>
      </c>
      <c r="K60" s="142"/>
      <c r="L60" s="110"/>
      <c r="M60" s="110"/>
      <c r="N60" s="110" t="s">
        <v>350</v>
      </c>
      <c r="O60" s="110" t="s">
        <v>57</v>
      </c>
      <c r="P60" s="110"/>
      <c r="Q60" s="110"/>
      <c r="R60" s="110"/>
      <c r="S60" s="110" t="s">
        <v>54</v>
      </c>
      <c r="T60" s="110" t="s">
        <v>54</v>
      </c>
      <c r="U60" s="110" t="s">
        <v>54</v>
      </c>
      <c r="V60" s="110" t="s">
        <v>54</v>
      </c>
      <c r="W60" s="110" t="s">
        <v>54</v>
      </c>
      <c r="X60" s="110" t="s">
        <v>54</v>
      </c>
      <c r="Y60" s="110" t="s">
        <v>54</v>
      </c>
      <c r="Z60" s="110" t="s">
        <v>54</v>
      </c>
      <c r="AA60" s="110" t="s">
        <v>54</v>
      </c>
      <c r="AB60" s="110" t="s">
        <v>54</v>
      </c>
      <c r="AC60" s="110" t="s">
        <v>54</v>
      </c>
      <c r="AD60" s="110" t="s">
        <v>54</v>
      </c>
      <c r="AE60" s="110" t="s">
        <v>54</v>
      </c>
      <c r="AF60" s="110" t="s">
        <v>54</v>
      </c>
      <c r="AG60" s="110"/>
      <c r="AH60" s="110"/>
      <c r="AI60" s="74">
        <f t="shared" ref="AI60:AQ60" si="117">COUNTIF($D60:$AG60,AI$4)</f>
        <v>1</v>
      </c>
      <c r="AJ60" s="74">
        <f t="shared" si="117"/>
        <v>2</v>
      </c>
      <c r="AK60" s="74">
        <f t="shared" si="117"/>
        <v>0</v>
      </c>
      <c r="AL60" s="74">
        <f t="shared" si="117"/>
        <v>0</v>
      </c>
      <c r="AM60" s="74">
        <f t="shared" si="117"/>
        <v>1</v>
      </c>
      <c r="AN60" s="74">
        <f t="shared" si="117"/>
        <v>1</v>
      </c>
      <c r="AO60" s="74">
        <f t="shared" si="117"/>
        <v>0</v>
      </c>
      <c r="AP60" s="74">
        <f t="shared" si="117"/>
        <v>0</v>
      </c>
      <c r="AQ60" s="74">
        <f t="shared" si="117"/>
        <v>0</v>
      </c>
      <c r="AR60" s="76">
        <v>3.5</v>
      </c>
      <c r="AS60" s="76"/>
      <c r="AT60" s="74">
        <f>SUMPRODUCT(--(WEEKDAY(D$3:AG$3,2)&lt;5),--ISNUMBER(MATCH(D60:AG60,{"DM","CS1","CS2","SB1","SB2","AE","CS/B"},0)))</f>
        <v>4</v>
      </c>
      <c r="AU60" s="74"/>
      <c r="AV60" s="74">
        <f>SUMPRODUCT(--(WEEKDAY(D$3:AG$3,2)=5),--ISNUMBER(MATCH(D60:AG60,{"DM","CS1","CS2","SB1","SB2","AE","CS/B"},0)))</f>
        <v>1</v>
      </c>
      <c r="AW60" s="74">
        <f>SUMPRODUCT(--(WEEKDAY(D$3:AG$3,2)&gt;5),--ISNUMBER(MATCH(D60:AG60,{"DM","CS1","CS2","SB1","AE","CS/B","SB2"},0)))</f>
        <v>0</v>
      </c>
      <c r="AX60" s="74"/>
      <c r="AY60" s="74">
        <f t="shared" si="111"/>
        <v>9.5</v>
      </c>
      <c r="AZ60" s="74">
        <f t="shared" si="92"/>
        <v>5</v>
      </c>
      <c r="BA60" s="74">
        <f t="shared" si="93"/>
        <v>0</v>
      </c>
      <c r="BB60" s="76">
        <f t="shared" si="94"/>
        <v>9.5</v>
      </c>
      <c r="BC60" s="74">
        <f t="shared" si="95"/>
        <v>0</v>
      </c>
      <c r="BD60" s="74">
        <f t="shared" si="96"/>
        <v>0</v>
      </c>
      <c r="BE60" s="74">
        <f t="shared" si="97"/>
        <v>0</v>
      </c>
      <c r="BF60" s="74">
        <f t="shared" si="98"/>
        <v>0</v>
      </c>
      <c r="BG60" s="74">
        <f t="shared" si="99"/>
        <v>0</v>
      </c>
      <c r="BH60" s="74">
        <f t="shared" si="100"/>
        <v>0</v>
      </c>
      <c r="BI60" s="74">
        <f t="shared" si="101"/>
        <v>0</v>
      </c>
      <c r="BJ60" s="74">
        <f t="shared" si="102"/>
        <v>0</v>
      </c>
      <c r="BK60" s="74">
        <f t="shared" si="103"/>
        <v>0</v>
      </c>
      <c r="BL60" s="74">
        <f t="shared" si="104"/>
        <v>0</v>
      </c>
      <c r="BM60" s="74">
        <f t="shared" si="105"/>
        <v>0</v>
      </c>
      <c r="BN60" s="74"/>
      <c r="BO60" s="74">
        <f t="shared" si="106"/>
        <v>0</v>
      </c>
      <c r="BP60" s="74">
        <f t="shared" si="107"/>
        <v>1</v>
      </c>
      <c r="BQ60" s="74">
        <f t="shared" si="108"/>
        <v>0</v>
      </c>
      <c r="BR60" s="110"/>
    </row>
    <row r="61" ht="19.5" customHeight="1" spans="1:70">
      <c r="A61" s="107"/>
      <c r="B61" s="107" t="s">
        <v>836</v>
      </c>
      <c r="C61" s="107"/>
      <c r="D61" s="107"/>
      <c r="E61" s="107" t="s">
        <v>58</v>
      </c>
      <c r="F61" s="107"/>
      <c r="G61" s="107"/>
      <c r="H61" s="107" t="s">
        <v>57</v>
      </c>
      <c r="I61" s="107"/>
      <c r="J61" s="107" t="s">
        <v>767</v>
      </c>
      <c r="K61" s="107"/>
      <c r="L61" s="107"/>
      <c r="M61" s="107" t="s">
        <v>837</v>
      </c>
      <c r="N61" s="107" t="s">
        <v>65</v>
      </c>
      <c r="O61" s="107"/>
      <c r="P61" s="107"/>
      <c r="Q61" s="107" t="s">
        <v>57</v>
      </c>
      <c r="R61" s="107"/>
      <c r="S61" s="107"/>
      <c r="T61" s="107"/>
      <c r="U61" s="107"/>
      <c r="V61" s="107"/>
      <c r="W61" s="107"/>
      <c r="X61" s="107"/>
      <c r="Y61" s="107" t="s">
        <v>54</v>
      </c>
      <c r="Z61" s="107" t="s">
        <v>54</v>
      </c>
      <c r="AA61" s="107" t="s">
        <v>54</v>
      </c>
      <c r="AB61" s="107" t="s">
        <v>54</v>
      </c>
      <c r="AC61" s="107" t="s">
        <v>54</v>
      </c>
      <c r="AD61" s="107" t="s">
        <v>54</v>
      </c>
      <c r="AE61" s="107" t="s">
        <v>54</v>
      </c>
      <c r="AF61" s="107" t="s">
        <v>54</v>
      </c>
      <c r="AG61" s="107" t="s">
        <v>54</v>
      </c>
      <c r="AH61" s="107" t="s">
        <v>54</v>
      </c>
      <c r="AI61" s="77">
        <f t="shared" ref="AI61:AQ61" si="118">COUNTIF($D61:$AG61,AI$4)</f>
        <v>2</v>
      </c>
      <c r="AJ61" s="77">
        <f t="shared" si="118"/>
        <v>0</v>
      </c>
      <c r="AK61" s="77">
        <f t="shared" si="118"/>
        <v>0</v>
      </c>
      <c r="AL61" s="77">
        <f t="shared" si="118"/>
        <v>0</v>
      </c>
      <c r="AM61" s="77">
        <f t="shared" si="118"/>
        <v>1</v>
      </c>
      <c r="AN61" s="77">
        <f t="shared" si="118"/>
        <v>0</v>
      </c>
      <c r="AO61" s="77">
        <f t="shared" si="118"/>
        <v>1</v>
      </c>
      <c r="AP61" s="77">
        <f t="shared" si="118"/>
        <v>1</v>
      </c>
      <c r="AQ61" s="77">
        <f t="shared" si="118"/>
        <v>0</v>
      </c>
      <c r="AR61" s="76">
        <v>3.5</v>
      </c>
      <c r="AS61" s="76"/>
      <c r="AT61" s="77">
        <f>SUMPRODUCT(--(WEEKDAY(D$3:AG$3,2)&lt;5),--ISNUMBER(MATCH(D61:AG61,{"DM","CS1","CS2","SB1","SB2","AE","CS/B"},0)))</f>
        <v>3</v>
      </c>
      <c r="AU61" s="77"/>
      <c r="AV61" s="77">
        <f>SUMPRODUCT(--(WEEKDAY(D$3:AG$3,2)=5),--ISNUMBER(MATCH(D61:AG61,{"DM","CS1","CS2","SB1","SB2","AE","CS/B"},0)))</f>
        <v>0</v>
      </c>
      <c r="AW61" s="77">
        <f>SUMPRODUCT(--(WEEKDAY(D$3:AG$3,2)&gt;5),--ISNUMBER(MATCH(D61:AG61,{"DM","CS1","CS2","SB1","AE","CS/B","SB2"},0)))</f>
        <v>1</v>
      </c>
      <c r="AX61" s="77"/>
      <c r="AY61" s="77">
        <f t="shared" si="111"/>
        <v>9</v>
      </c>
      <c r="AZ61" s="77">
        <f t="shared" si="92"/>
        <v>4</v>
      </c>
      <c r="BA61" s="77">
        <f t="shared" si="93"/>
        <v>1</v>
      </c>
      <c r="BB61" s="76">
        <f t="shared" si="94"/>
        <v>9.5</v>
      </c>
      <c r="BC61" s="77">
        <f t="shared" si="95"/>
        <v>0.5</v>
      </c>
      <c r="BD61" s="77">
        <f t="shared" si="96"/>
        <v>0</v>
      </c>
      <c r="BE61" s="77">
        <f t="shared" si="97"/>
        <v>0</v>
      </c>
      <c r="BF61" s="77">
        <f t="shared" si="98"/>
        <v>0</v>
      </c>
      <c r="BG61" s="77">
        <f t="shared" si="99"/>
        <v>0</v>
      </c>
      <c r="BH61" s="77">
        <f t="shared" si="100"/>
        <v>0</v>
      </c>
      <c r="BI61" s="77">
        <f t="shared" si="101"/>
        <v>0</v>
      </c>
      <c r="BJ61" s="77">
        <f t="shared" si="102"/>
        <v>1</v>
      </c>
      <c r="BK61" s="77">
        <f t="shared" si="103"/>
        <v>0.5</v>
      </c>
      <c r="BL61" s="77">
        <f t="shared" si="104"/>
        <v>0</v>
      </c>
      <c r="BM61" s="77">
        <f t="shared" si="105"/>
        <v>0</v>
      </c>
      <c r="BN61" s="77"/>
      <c r="BO61" s="77">
        <f t="shared" si="106"/>
        <v>0</v>
      </c>
      <c r="BP61" s="77">
        <f t="shared" si="107"/>
        <v>0</v>
      </c>
      <c r="BQ61" s="77">
        <f t="shared" si="108"/>
        <v>0</v>
      </c>
      <c r="BR61" s="107"/>
    </row>
    <row r="62" ht="19.5" customHeight="1" spans="1:70">
      <c r="A62" s="110"/>
      <c r="B62" s="110" t="s">
        <v>838</v>
      </c>
      <c r="C62" s="110"/>
      <c r="D62" s="110"/>
      <c r="E62" s="110"/>
      <c r="F62" s="110"/>
      <c r="G62" s="153" t="s">
        <v>839</v>
      </c>
      <c r="H62" s="154"/>
      <c r="I62" s="110" t="s">
        <v>57</v>
      </c>
      <c r="J62" s="142" t="s">
        <v>93</v>
      </c>
      <c r="K62" s="110"/>
      <c r="L62" s="110"/>
      <c r="M62" s="110"/>
      <c r="N62" s="110" t="s">
        <v>56</v>
      </c>
      <c r="O62" s="110"/>
      <c r="P62" s="110" t="s">
        <v>61</v>
      </c>
      <c r="Q62" s="110" t="s">
        <v>93</v>
      </c>
      <c r="R62" s="110" t="s">
        <v>57</v>
      </c>
      <c r="S62" s="110"/>
      <c r="T62" s="110"/>
      <c r="U62" s="89"/>
      <c r="V62" s="89" t="s">
        <v>487</v>
      </c>
      <c r="W62" s="110" t="s">
        <v>176</v>
      </c>
      <c r="X62" s="110" t="s">
        <v>176</v>
      </c>
      <c r="Y62" s="110" t="s">
        <v>176</v>
      </c>
      <c r="Z62" s="110" t="s">
        <v>58</v>
      </c>
      <c r="AA62" s="110"/>
      <c r="AB62" s="144" t="s">
        <v>93</v>
      </c>
      <c r="AC62" s="110" t="s">
        <v>57</v>
      </c>
      <c r="AD62" s="110"/>
      <c r="AE62" s="144" t="s">
        <v>58</v>
      </c>
      <c r="AF62" s="110"/>
      <c r="AG62" s="110"/>
      <c r="AH62" s="147"/>
      <c r="AI62" s="74">
        <f t="shared" ref="AI62:AQ62" si="119">COUNTIF($D62:$AG62,AI$4)</f>
        <v>3</v>
      </c>
      <c r="AJ62" s="74">
        <f t="shared" si="119"/>
        <v>1</v>
      </c>
      <c r="AK62" s="74">
        <f t="shared" si="119"/>
        <v>0</v>
      </c>
      <c r="AL62" s="74">
        <f t="shared" si="119"/>
        <v>0</v>
      </c>
      <c r="AM62" s="74">
        <f t="shared" si="119"/>
        <v>2</v>
      </c>
      <c r="AN62" s="74">
        <f t="shared" si="119"/>
        <v>3</v>
      </c>
      <c r="AO62" s="74">
        <f t="shared" si="119"/>
        <v>0</v>
      </c>
      <c r="AP62" s="74">
        <f t="shared" si="119"/>
        <v>0</v>
      </c>
      <c r="AQ62" s="74">
        <f t="shared" si="119"/>
        <v>0</v>
      </c>
      <c r="AR62" s="76"/>
      <c r="AS62" s="76">
        <v>1.5</v>
      </c>
      <c r="AT62" s="74">
        <f>SUMPRODUCT(--(WEEKDAY(D$3:AG$3,2)&lt;5),--ISNUMBER(MATCH(D62:AG62,{"DM","CS1","CS2","SB1","SB2","AE","CS/B"},0)))</f>
        <v>7</v>
      </c>
      <c r="AU62" s="74"/>
      <c r="AV62" s="74">
        <f>SUMPRODUCT(--(WEEKDAY(D$3:AG$3,2)=5),--ISNUMBER(MATCH(D62:AG62,{"DM","CS1","CS2","SB1","SB2","AE","CS/B"},0)))</f>
        <v>1</v>
      </c>
      <c r="AW62" s="74">
        <f>SUMPRODUCT(--(WEEKDAY(D$3:AG$3,2)&gt;5),--ISNUMBER(MATCH(D62:AG62,{"DM","CS1","CS2","SB1","AE","CS/B","SB2"},0)))</f>
        <v>1</v>
      </c>
      <c r="AX62" s="74"/>
      <c r="AY62" s="74">
        <f t="shared" si="111"/>
        <v>10.5</v>
      </c>
      <c r="AZ62" s="74">
        <f t="shared" si="92"/>
        <v>9</v>
      </c>
      <c r="BA62" s="74">
        <f t="shared" si="93"/>
        <v>0</v>
      </c>
      <c r="BB62" s="76">
        <f t="shared" si="94"/>
        <v>10.5</v>
      </c>
      <c r="BC62" s="74">
        <f t="shared" si="95"/>
        <v>0</v>
      </c>
      <c r="BD62" s="74">
        <f t="shared" si="96"/>
        <v>0</v>
      </c>
      <c r="BE62" s="74">
        <f t="shared" si="97"/>
        <v>0</v>
      </c>
      <c r="BF62" s="74">
        <f t="shared" si="98"/>
        <v>0</v>
      </c>
      <c r="BG62" s="74">
        <f t="shared" si="99"/>
        <v>0</v>
      </c>
      <c r="BH62" s="74">
        <f t="shared" si="100"/>
        <v>0</v>
      </c>
      <c r="BI62" s="74">
        <f t="shared" si="101"/>
        <v>0</v>
      </c>
      <c r="BJ62" s="74">
        <f t="shared" si="102"/>
        <v>0</v>
      </c>
      <c r="BK62" s="74">
        <f t="shared" si="103"/>
        <v>0</v>
      </c>
      <c r="BL62" s="74">
        <f t="shared" si="104"/>
        <v>0</v>
      </c>
      <c r="BM62" s="74">
        <f t="shared" si="105"/>
        <v>0</v>
      </c>
      <c r="BN62" s="74"/>
      <c r="BO62" s="74">
        <f t="shared" si="106"/>
        <v>0</v>
      </c>
      <c r="BP62" s="74">
        <f t="shared" si="107"/>
        <v>0</v>
      </c>
      <c r="BQ62" s="74">
        <f t="shared" si="108"/>
        <v>0</v>
      </c>
      <c r="BR62" s="110"/>
    </row>
    <row r="63" ht="19.5" customHeight="1" spans="1:70">
      <c r="A63" s="107"/>
      <c r="B63" s="107" t="s">
        <v>840</v>
      </c>
      <c r="C63" s="107"/>
      <c r="D63" s="107"/>
      <c r="E63" s="107"/>
      <c r="F63" s="107"/>
      <c r="G63" s="107" t="s">
        <v>58</v>
      </c>
      <c r="H63" s="107"/>
      <c r="I63" s="107"/>
      <c r="J63" s="107" t="s">
        <v>841</v>
      </c>
      <c r="K63" s="107" t="s">
        <v>841</v>
      </c>
      <c r="L63" s="107" t="s">
        <v>841</v>
      </c>
      <c r="M63" s="107"/>
      <c r="N63" s="107" t="s">
        <v>57</v>
      </c>
      <c r="O63" s="107"/>
      <c r="P63" s="107" t="s">
        <v>57</v>
      </c>
      <c r="Q63" s="107" t="s">
        <v>350</v>
      </c>
      <c r="R63" s="107" t="s">
        <v>842</v>
      </c>
      <c r="S63" s="107"/>
      <c r="T63" s="107"/>
      <c r="U63" s="148" t="s">
        <v>65</v>
      </c>
      <c r="V63" s="107"/>
      <c r="W63" s="107"/>
      <c r="X63" s="107" t="s">
        <v>57</v>
      </c>
      <c r="Y63" s="107"/>
      <c r="Z63" s="148"/>
      <c r="AA63" s="107"/>
      <c r="AB63" s="107" t="s">
        <v>843</v>
      </c>
      <c r="AC63" s="107"/>
      <c r="AD63" s="107"/>
      <c r="AE63" s="107"/>
      <c r="AF63" s="148"/>
      <c r="AG63" s="107"/>
      <c r="AH63" s="107"/>
      <c r="AI63" s="77">
        <f t="shared" ref="AI63:AQ63" si="120">COUNTIF($D63:$AG63,AI$4)</f>
        <v>3</v>
      </c>
      <c r="AJ63" s="77">
        <f t="shared" si="120"/>
        <v>0</v>
      </c>
      <c r="AK63" s="77">
        <f t="shared" si="120"/>
        <v>0</v>
      </c>
      <c r="AL63" s="77">
        <f t="shared" si="120"/>
        <v>0</v>
      </c>
      <c r="AM63" s="77">
        <f t="shared" si="120"/>
        <v>1</v>
      </c>
      <c r="AN63" s="77">
        <f t="shared" si="120"/>
        <v>0</v>
      </c>
      <c r="AO63" s="77">
        <f t="shared" si="120"/>
        <v>1</v>
      </c>
      <c r="AP63" s="77">
        <f t="shared" si="120"/>
        <v>0</v>
      </c>
      <c r="AQ63" s="77">
        <f t="shared" si="120"/>
        <v>0</v>
      </c>
      <c r="AR63" s="76">
        <v>0.5</v>
      </c>
      <c r="AS63" s="76"/>
      <c r="AT63" s="77">
        <f>SUMPRODUCT(--(WEEKDAY(D$3:AG$3,2)&lt;5),--ISNUMBER(MATCH(D63:AG63,{"DM","CS1","CS2","SB1","SB2","AE","CS/B"},0)))</f>
        <v>5</v>
      </c>
      <c r="AU63" s="77"/>
      <c r="AV63" s="77">
        <f>SUMPRODUCT(--(WEEKDAY(D$3:AG$3,2)=5),--ISNUMBER(MATCH(D63:AG63,{"DM","CS1","CS2","SB1","SB2","AE","CS/B"},0)))</f>
        <v>0</v>
      </c>
      <c r="AW63" s="77">
        <f>SUMPRODUCT(--(WEEKDAY(D$3:AG$3,2)&gt;5),--ISNUMBER(MATCH(D63:AG63,{"DM","CS1","CS2","SB1","AE","CS/B","SB2"},0)))</f>
        <v>0</v>
      </c>
      <c r="AX63" s="77"/>
      <c r="AY63" s="77">
        <f t="shared" si="111"/>
        <v>5.5</v>
      </c>
      <c r="AZ63" s="77">
        <f t="shared" si="92"/>
        <v>5</v>
      </c>
      <c r="BA63" s="77">
        <f t="shared" si="93"/>
        <v>5</v>
      </c>
      <c r="BB63" s="76">
        <f t="shared" si="94"/>
        <v>9.5</v>
      </c>
      <c r="BC63" s="77">
        <f t="shared" si="95"/>
        <v>4</v>
      </c>
      <c r="BD63" s="77">
        <f t="shared" si="96"/>
        <v>0</v>
      </c>
      <c r="BE63" s="77">
        <f t="shared" si="97"/>
        <v>0</v>
      </c>
      <c r="BF63" s="77">
        <f t="shared" si="98"/>
        <v>0</v>
      </c>
      <c r="BG63" s="77">
        <f t="shared" si="99"/>
        <v>0</v>
      </c>
      <c r="BH63" s="77">
        <f t="shared" si="100"/>
        <v>0</v>
      </c>
      <c r="BI63" s="77">
        <f t="shared" si="101"/>
        <v>0</v>
      </c>
      <c r="BJ63" s="77">
        <f t="shared" si="102"/>
        <v>2</v>
      </c>
      <c r="BK63" s="77">
        <f t="shared" si="103"/>
        <v>1</v>
      </c>
      <c r="BL63" s="77">
        <f t="shared" si="104"/>
        <v>3</v>
      </c>
      <c r="BM63" s="77">
        <f t="shared" si="105"/>
        <v>3</v>
      </c>
      <c r="BN63" s="77"/>
      <c r="BO63" s="77">
        <f>COUNTIF($E63:$Y63,BO$4)</f>
        <v>0</v>
      </c>
      <c r="BP63" s="77">
        <f>COUNTIF($E63:$Y63,BP$4)</f>
        <v>1</v>
      </c>
      <c r="BQ63" s="77">
        <f>COUNTIF($E63:$Y63,BQ$4)</f>
        <v>0</v>
      </c>
      <c r="BR63" s="107"/>
    </row>
    <row r="64" ht="19.5" customHeight="1" spans="1:70">
      <c r="A64" s="110"/>
      <c r="B64" s="110" t="s">
        <v>844</v>
      </c>
      <c r="C64" s="110"/>
      <c r="D64" s="110"/>
      <c r="E64" s="110"/>
      <c r="F64" s="110"/>
      <c r="G64" s="110" t="s">
        <v>65</v>
      </c>
      <c r="H64" s="110"/>
      <c r="I64" s="110" t="s">
        <v>56</v>
      </c>
      <c r="J64" s="110"/>
      <c r="K64" s="110" t="s">
        <v>57</v>
      </c>
      <c r="L64" s="110"/>
      <c r="M64" s="110" t="s">
        <v>58</v>
      </c>
      <c r="N64" s="142"/>
      <c r="O64" s="110"/>
      <c r="P64" s="110" t="s">
        <v>845</v>
      </c>
      <c r="R64" s="110"/>
      <c r="S64" s="110"/>
      <c r="T64" s="155"/>
      <c r="U64" s="110"/>
      <c r="V64" s="110"/>
      <c r="W64" s="142" t="s">
        <v>846</v>
      </c>
      <c r="X64" s="110" t="s">
        <v>56</v>
      </c>
      <c r="Y64" s="110" t="s">
        <v>58</v>
      </c>
      <c r="Z64" s="110"/>
      <c r="AA64" s="110"/>
      <c r="AB64" s="110" t="s">
        <v>65</v>
      </c>
      <c r="AC64" s="110"/>
      <c r="AD64" s="110"/>
      <c r="AE64" s="110" t="s">
        <v>847</v>
      </c>
      <c r="AF64" s="110"/>
      <c r="AG64" s="110"/>
      <c r="AH64" s="110"/>
      <c r="AI64" s="74">
        <f t="shared" ref="AI64:AQ64" si="121">COUNTIF($D64:$AG64,AI$4)</f>
        <v>1</v>
      </c>
      <c r="AJ64" s="74">
        <f t="shared" si="121"/>
        <v>2</v>
      </c>
      <c r="AK64" s="74">
        <f t="shared" si="121"/>
        <v>0</v>
      </c>
      <c r="AL64" s="74">
        <f t="shared" si="121"/>
        <v>0</v>
      </c>
      <c r="AM64" s="74">
        <f t="shared" si="121"/>
        <v>2</v>
      </c>
      <c r="AN64" s="74">
        <f t="shared" si="121"/>
        <v>0</v>
      </c>
      <c r="AO64" s="74">
        <f t="shared" si="121"/>
        <v>2</v>
      </c>
      <c r="AP64" s="74">
        <f t="shared" si="121"/>
        <v>0</v>
      </c>
      <c r="AQ64" s="74">
        <f t="shared" si="121"/>
        <v>0</v>
      </c>
      <c r="AR64" s="76"/>
      <c r="AS64" s="76">
        <v>2</v>
      </c>
      <c r="AT64" s="74">
        <f>SUMPRODUCT(--(WEEKDAY(D$3:AG$3,2)&lt;5),--ISNUMBER(MATCH(D64:AG64,{"DM","CS1","CS2","SB1","SB2","AE","CS/B"},0)))</f>
        <v>4</v>
      </c>
      <c r="AU64" s="74"/>
      <c r="AV64" s="74">
        <f>SUMPRODUCT(--(WEEKDAY(D$3:AG$3,2)=5),--ISNUMBER(MATCH(D64:AG64,{"DM","CS1","CS2","SB1","SB2","AE","CS/B"},0)))</f>
        <v>2</v>
      </c>
      <c r="AW64" s="74">
        <f>SUMPRODUCT(--(WEEKDAY(D$3:AG$3,2)&gt;5),--ISNUMBER(MATCH(D64:AG64,{"DM","CS1","CS2","SB1","AE","CS/B","SB2"},0)))</f>
        <v>1</v>
      </c>
      <c r="AX64" s="74"/>
      <c r="AY64" s="74">
        <f t="shared" si="111"/>
        <v>7</v>
      </c>
      <c r="AZ64" s="74">
        <f t="shared" si="92"/>
        <v>7</v>
      </c>
      <c r="BA64" s="74">
        <f t="shared" si="93"/>
        <v>2</v>
      </c>
      <c r="BB64" s="76">
        <f t="shared" si="94"/>
        <v>9.5</v>
      </c>
      <c r="BC64" s="74">
        <f t="shared" si="95"/>
        <v>2.5</v>
      </c>
      <c r="BD64" s="74">
        <f t="shared" si="96"/>
        <v>1</v>
      </c>
      <c r="BE64" s="74">
        <f t="shared" si="97"/>
        <v>1.5</v>
      </c>
      <c r="BF64" s="74">
        <f t="shared" si="98"/>
        <v>0</v>
      </c>
      <c r="BG64" s="74">
        <f t="shared" si="99"/>
        <v>0</v>
      </c>
      <c r="BH64" s="74">
        <f t="shared" si="100"/>
        <v>0</v>
      </c>
      <c r="BI64" s="74">
        <f t="shared" si="101"/>
        <v>0</v>
      </c>
      <c r="BJ64" s="74">
        <f t="shared" si="102"/>
        <v>0</v>
      </c>
      <c r="BK64" s="74">
        <f t="shared" si="103"/>
        <v>0</v>
      </c>
      <c r="BL64" s="74">
        <f t="shared" si="104"/>
        <v>1</v>
      </c>
      <c r="BM64" s="74">
        <f t="shared" si="105"/>
        <v>1</v>
      </c>
      <c r="BN64" s="74"/>
      <c r="BO64" s="74">
        <f t="shared" ref="BO64:BO69" si="122">COUNTIF($E64:$Z64,BO$4)</f>
        <v>0</v>
      </c>
      <c r="BP64" s="74">
        <f t="shared" ref="BP64:BP69" si="123">COUNTIF($E64:$Z64,BP$4)</f>
        <v>0</v>
      </c>
      <c r="BQ64" s="74">
        <f t="shared" ref="BQ64:BQ69" si="124">COUNTIF($E64:$Z64,BQ$4)</f>
        <v>0</v>
      </c>
      <c r="BR64" s="110"/>
    </row>
    <row r="65" ht="19.5" customHeight="1" spans="1:70">
      <c r="A65" s="107"/>
      <c r="B65" s="107" t="s">
        <v>848</v>
      </c>
      <c r="C65" s="107"/>
      <c r="D65" s="107"/>
      <c r="E65" s="107"/>
      <c r="F65" s="107"/>
      <c r="G65" s="107" t="s">
        <v>815</v>
      </c>
      <c r="H65" s="107"/>
      <c r="I65" s="107" t="s">
        <v>839</v>
      </c>
      <c r="J65" s="107"/>
      <c r="K65" s="107" t="s">
        <v>56</v>
      </c>
      <c r="L65" s="107"/>
      <c r="M65" s="107" t="s">
        <v>93</v>
      </c>
      <c r="N65" s="107"/>
      <c r="O65" s="107"/>
      <c r="P65" s="107" t="s">
        <v>849</v>
      </c>
      <c r="Q65" s="107"/>
      <c r="R65" s="107"/>
      <c r="S65" s="107"/>
      <c r="T65" s="107"/>
      <c r="U65" s="107"/>
      <c r="V65" s="107"/>
      <c r="W65" s="107"/>
      <c r="X65" s="107" t="s">
        <v>65</v>
      </c>
      <c r="Y65" s="107" t="s">
        <v>56</v>
      </c>
      <c r="Z65" s="148"/>
      <c r="AA65" s="107"/>
      <c r="AB65" s="107" t="s">
        <v>850</v>
      </c>
      <c r="AC65" s="107" t="s">
        <v>58</v>
      </c>
      <c r="AD65" s="107" t="s">
        <v>58</v>
      </c>
      <c r="AE65" s="107" t="s">
        <v>93</v>
      </c>
      <c r="AF65" s="107"/>
      <c r="AG65" s="107"/>
      <c r="AH65" s="107"/>
      <c r="AI65" s="77">
        <f t="shared" ref="AI65:AQ65" si="125">COUNTIF($D65:$AG65,AI$4)</f>
        <v>0</v>
      </c>
      <c r="AJ65" s="77">
        <f t="shared" si="125"/>
        <v>2</v>
      </c>
      <c r="AK65" s="77">
        <f t="shared" si="125"/>
        <v>0</v>
      </c>
      <c r="AL65" s="77">
        <f t="shared" si="125"/>
        <v>0</v>
      </c>
      <c r="AM65" s="77">
        <f t="shared" si="125"/>
        <v>2</v>
      </c>
      <c r="AN65" s="77">
        <f t="shared" si="125"/>
        <v>2</v>
      </c>
      <c r="AO65" s="77">
        <f t="shared" si="125"/>
        <v>1</v>
      </c>
      <c r="AP65" s="77">
        <f t="shared" si="125"/>
        <v>0</v>
      </c>
      <c r="AQ65" s="77">
        <f t="shared" si="125"/>
        <v>0</v>
      </c>
      <c r="AR65" s="76"/>
      <c r="AS65" s="76">
        <v>1.5</v>
      </c>
      <c r="AT65" s="77">
        <f>SUMPRODUCT(--(WEEKDAY(D$3:AG$3,2)&lt;5),--ISNUMBER(MATCH(D65:AG65,{"DM","CS1","CS2","SB1","SB2","AE","CS/B"},0)))</f>
        <v>4</v>
      </c>
      <c r="AU65" s="77"/>
      <c r="AV65" s="77">
        <f>SUMPRODUCT(--(WEEKDAY(D$3:AG$3,2)=5),--ISNUMBER(MATCH(D65:AG65,{"DM","CS1","CS2","SB1","SB2","AE","CS/B"},0)))</f>
        <v>2</v>
      </c>
      <c r="AW65" s="77">
        <f>SUMPRODUCT(--(WEEKDAY(D$3:AG$3,2)&gt;5),--ISNUMBER(MATCH(D65:AG65,{"DM","CS1","CS2","SB1","AE","CS/B","SB2"},0)))</f>
        <v>1</v>
      </c>
      <c r="AX65" s="77"/>
      <c r="AY65" s="77">
        <f t="shared" si="111"/>
        <v>8.5</v>
      </c>
      <c r="AZ65" s="77">
        <f t="shared" si="92"/>
        <v>7</v>
      </c>
      <c r="BA65" s="77">
        <f t="shared" si="93"/>
        <v>2</v>
      </c>
      <c r="BB65" s="76">
        <f t="shared" si="94"/>
        <v>9.5</v>
      </c>
      <c r="BC65" s="77">
        <f t="shared" si="95"/>
        <v>1</v>
      </c>
      <c r="BD65" s="77">
        <f t="shared" si="96"/>
        <v>0</v>
      </c>
      <c r="BE65" s="77">
        <f t="shared" si="97"/>
        <v>0</v>
      </c>
      <c r="BF65" s="77">
        <f t="shared" si="98"/>
        <v>0</v>
      </c>
      <c r="BG65" s="77">
        <f t="shared" si="99"/>
        <v>0</v>
      </c>
      <c r="BH65" s="77">
        <f t="shared" si="100"/>
        <v>1</v>
      </c>
      <c r="BI65" s="77">
        <f t="shared" si="101"/>
        <v>0.5</v>
      </c>
      <c r="BJ65" s="77">
        <f t="shared" si="102"/>
        <v>1</v>
      </c>
      <c r="BK65" s="77">
        <f t="shared" si="103"/>
        <v>0.5</v>
      </c>
      <c r="BL65" s="77">
        <f t="shared" si="104"/>
        <v>0</v>
      </c>
      <c r="BM65" s="77">
        <f t="shared" si="105"/>
        <v>0</v>
      </c>
      <c r="BN65" s="77"/>
      <c r="BO65" s="77">
        <f t="shared" si="122"/>
        <v>0</v>
      </c>
      <c r="BP65" s="77">
        <f t="shared" si="123"/>
        <v>0</v>
      </c>
      <c r="BQ65" s="77">
        <f t="shared" si="124"/>
        <v>0</v>
      </c>
      <c r="BR65" s="107"/>
    </row>
    <row r="66" ht="19.5" customHeight="1" spans="1:70">
      <c r="A66" s="110"/>
      <c r="B66" s="110" t="s">
        <v>851</v>
      </c>
      <c r="C66" s="110"/>
      <c r="D66" s="110"/>
      <c r="E66" s="110"/>
      <c r="F66" s="110"/>
      <c r="G66" s="110" t="s">
        <v>826</v>
      </c>
      <c r="H66" s="110" t="s">
        <v>826</v>
      </c>
      <c r="I66" s="110" t="s">
        <v>826</v>
      </c>
      <c r="J66" s="110"/>
      <c r="K66" s="110" t="s">
        <v>261</v>
      </c>
      <c r="L66" s="110"/>
      <c r="M66" s="110"/>
      <c r="N66" s="110"/>
      <c r="O66" s="110" t="s">
        <v>65</v>
      </c>
      <c r="P66" s="110" t="s">
        <v>58</v>
      </c>
      <c r="Q66" s="110"/>
      <c r="R66" s="110" t="s">
        <v>261</v>
      </c>
      <c r="S66" s="110"/>
      <c r="T66" s="110"/>
      <c r="U66" s="142"/>
      <c r="V66" s="110" t="s">
        <v>852</v>
      </c>
      <c r="W66" s="110" t="s">
        <v>65</v>
      </c>
      <c r="X66" s="110"/>
      <c r="Y66" s="110"/>
      <c r="Z66" s="110"/>
      <c r="AA66" s="110" t="s">
        <v>93</v>
      </c>
      <c r="AB66" s="110" t="s">
        <v>56</v>
      </c>
      <c r="AC66" s="110" t="s">
        <v>56</v>
      </c>
      <c r="AD66" s="110"/>
      <c r="AE66" s="110" t="s">
        <v>65</v>
      </c>
      <c r="AF66" s="110" t="s">
        <v>65</v>
      </c>
      <c r="AG66" s="110"/>
      <c r="AH66" s="110"/>
      <c r="AI66" s="74">
        <f t="shared" ref="AI66:AQ66" si="126">COUNTIF($D66:$AG66,AI$4)</f>
        <v>0</v>
      </c>
      <c r="AJ66" s="74">
        <f t="shared" si="126"/>
        <v>2</v>
      </c>
      <c r="AK66" s="74">
        <f t="shared" si="126"/>
        <v>0</v>
      </c>
      <c r="AL66" s="74">
        <f t="shared" si="126"/>
        <v>0</v>
      </c>
      <c r="AM66" s="74">
        <f t="shared" si="126"/>
        <v>1</v>
      </c>
      <c r="AN66" s="74">
        <f t="shared" si="126"/>
        <v>1</v>
      </c>
      <c r="AO66" s="74">
        <f t="shared" si="126"/>
        <v>4</v>
      </c>
      <c r="AP66" s="74">
        <f t="shared" si="126"/>
        <v>0</v>
      </c>
      <c r="AQ66" s="74">
        <f t="shared" si="126"/>
        <v>0</v>
      </c>
      <c r="AR66" s="76"/>
      <c r="AS66" s="76">
        <v>4</v>
      </c>
      <c r="AT66" s="74">
        <f>SUMPRODUCT(--(WEEKDAY(D$3:AG$3,2)&lt;5),--ISNUMBER(MATCH(D66:AG66,{"DM","CS1","CS2","SB1","SB2","AE","CS/B"},0)))</f>
        <v>6</v>
      </c>
      <c r="AU66" s="74"/>
      <c r="AV66" s="74">
        <f>SUMPRODUCT(--(WEEKDAY(D$3:AG$3,2)=5),--ISNUMBER(MATCH(D66:AG66,{"DM","CS1","CS2","SB1","SB2","AE","CS/B"},0)))</f>
        <v>1</v>
      </c>
      <c r="AW66" s="74">
        <f>SUMPRODUCT(--(WEEKDAY(D$3:AG$3,2)&gt;5),--ISNUMBER(MATCH(D66:AG66,{"DM","CS1","CS2","SB1","AE","CS/B","SB2"},0)))</f>
        <v>1</v>
      </c>
      <c r="AX66" s="74"/>
      <c r="AY66" s="74">
        <f t="shared" si="111"/>
        <v>6</v>
      </c>
      <c r="AZ66" s="74">
        <f t="shared" si="92"/>
        <v>8</v>
      </c>
      <c r="BA66" s="74">
        <f t="shared" si="93"/>
        <v>4</v>
      </c>
      <c r="BB66" s="76">
        <f t="shared" si="94"/>
        <v>9.5</v>
      </c>
      <c r="BC66" s="74">
        <f t="shared" si="95"/>
        <v>3.5</v>
      </c>
      <c r="BD66" s="74">
        <f t="shared" si="96"/>
        <v>0</v>
      </c>
      <c r="BE66" s="74">
        <f t="shared" si="97"/>
        <v>0</v>
      </c>
      <c r="BF66" s="74">
        <f t="shared" si="98"/>
        <v>0</v>
      </c>
      <c r="BG66" s="74">
        <f t="shared" si="99"/>
        <v>0</v>
      </c>
      <c r="BH66" s="74">
        <f t="shared" si="100"/>
        <v>1</v>
      </c>
      <c r="BI66" s="74">
        <f t="shared" si="101"/>
        <v>0.5</v>
      </c>
      <c r="BJ66" s="74">
        <f t="shared" si="102"/>
        <v>0</v>
      </c>
      <c r="BK66" s="74">
        <f t="shared" si="103"/>
        <v>0</v>
      </c>
      <c r="BL66" s="74">
        <f t="shared" si="104"/>
        <v>3</v>
      </c>
      <c r="BM66" s="74">
        <f t="shared" si="105"/>
        <v>3</v>
      </c>
      <c r="BN66" s="74"/>
      <c r="BO66" s="74">
        <f t="shared" si="122"/>
        <v>0</v>
      </c>
      <c r="BP66" s="74">
        <f t="shared" si="123"/>
        <v>0</v>
      </c>
      <c r="BQ66" s="74">
        <f t="shared" si="124"/>
        <v>0</v>
      </c>
      <c r="BR66" s="110"/>
    </row>
    <row r="67" ht="19.5" customHeight="1" spans="1:70">
      <c r="A67" s="107"/>
      <c r="B67" s="107" t="s">
        <v>853</v>
      </c>
      <c r="C67" s="107"/>
      <c r="D67" s="107"/>
      <c r="E67" s="107"/>
      <c r="F67" s="107"/>
      <c r="G67" s="107" t="s">
        <v>253</v>
      </c>
      <c r="H67" s="107"/>
      <c r="I67" s="107" t="s">
        <v>58</v>
      </c>
      <c r="J67" s="107"/>
      <c r="K67" s="107" t="s">
        <v>253</v>
      </c>
      <c r="L67" s="107"/>
      <c r="M67" s="107"/>
      <c r="N67" s="107" t="s">
        <v>58</v>
      </c>
      <c r="O67" s="107"/>
      <c r="P67" s="148"/>
      <c r="Q67" s="107" t="s">
        <v>854</v>
      </c>
      <c r="R67" s="148"/>
      <c r="S67" s="107"/>
      <c r="T67" s="107"/>
      <c r="U67" s="107"/>
      <c r="V67" s="107" t="s">
        <v>58</v>
      </c>
      <c r="W67" s="86" t="s">
        <v>58</v>
      </c>
      <c r="X67" s="107" t="s">
        <v>93</v>
      </c>
      <c r="Y67" s="107" t="s">
        <v>253</v>
      </c>
      <c r="Z67" s="107"/>
      <c r="AA67" s="107" t="s">
        <v>58</v>
      </c>
      <c r="AB67" s="107" t="s">
        <v>58</v>
      </c>
      <c r="AC67" s="107"/>
      <c r="AD67" s="107"/>
      <c r="AE67" s="107"/>
      <c r="AF67" s="107"/>
      <c r="AG67" s="107"/>
      <c r="AH67" s="107"/>
      <c r="AI67" s="77">
        <f t="shared" ref="AI67:AQ67" si="127">COUNTIF($D67:$AG67,AI$4)</f>
        <v>0</v>
      </c>
      <c r="AJ67" s="77">
        <f t="shared" si="127"/>
        <v>0</v>
      </c>
      <c r="AK67" s="77">
        <f t="shared" si="127"/>
        <v>0</v>
      </c>
      <c r="AL67" s="77">
        <f t="shared" si="127"/>
        <v>0</v>
      </c>
      <c r="AM67" s="77">
        <f t="shared" si="127"/>
        <v>6</v>
      </c>
      <c r="AN67" s="77">
        <f t="shared" si="127"/>
        <v>1</v>
      </c>
      <c r="AO67" s="77">
        <f t="shared" si="127"/>
        <v>0</v>
      </c>
      <c r="AP67" s="77">
        <f t="shared" si="127"/>
        <v>0</v>
      </c>
      <c r="AQ67" s="77">
        <f t="shared" si="127"/>
        <v>0</v>
      </c>
      <c r="AR67" s="76"/>
      <c r="AS67" s="76">
        <v>0.5</v>
      </c>
      <c r="AT67" s="77">
        <f>SUMPRODUCT(--(WEEKDAY(D$3:AG$3,2)&lt;5),--ISNUMBER(MATCH(D67:AG67,{"DM","CS1","CS2","SB1","SB2","AE","CS/B"},0)))</f>
        <v>6</v>
      </c>
      <c r="AU67" s="77"/>
      <c r="AV67" s="77">
        <f>SUMPRODUCT(--(WEEKDAY(D$3:AG$3,2)=5),--ISNUMBER(MATCH(D67:AG67,{"DM","CS1","CS2","SB1","SB2","AE","CS/B"},0)))</f>
        <v>0</v>
      </c>
      <c r="AW67" s="77">
        <f>SUMPRODUCT(--(WEEKDAY(D$3:AG$3,2)&gt;5),--ISNUMBER(MATCH(D67:AG67,{"DM","CS1","CS2","SB1","AE","CS/B","SB2"},0)))</f>
        <v>1</v>
      </c>
      <c r="AX67" s="77"/>
      <c r="AY67" s="77">
        <f t="shared" si="111"/>
        <v>8</v>
      </c>
      <c r="AZ67" s="77">
        <f t="shared" si="92"/>
        <v>7</v>
      </c>
      <c r="BA67" s="77">
        <f t="shared" si="93"/>
        <v>1</v>
      </c>
      <c r="BB67" s="76">
        <f t="shared" si="94"/>
        <v>9.5</v>
      </c>
      <c r="BC67" s="77">
        <f t="shared" si="95"/>
        <v>1.5</v>
      </c>
      <c r="BD67" s="77">
        <f t="shared" si="96"/>
        <v>1</v>
      </c>
      <c r="BE67" s="77">
        <f t="shared" si="97"/>
        <v>1.5</v>
      </c>
      <c r="BF67" s="77">
        <f t="shared" si="98"/>
        <v>0</v>
      </c>
      <c r="BG67" s="77">
        <f t="shared" si="99"/>
        <v>0</v>
      </c>
      <c r="BH67" s="77">
        <f t="shared" si="100"/>
        <v>0</v>
      </c>
      <c r="BI67" s="77">
        <f t="shared" si="101"/>
        <v>0</v>
      </c>
      <c r="BJ67" s="77">
        <f t="shared" si="102"/>
        <v>0</v>
      </c>
      <c r="BK67" s="77">
        <f t="shared" si="103"/>
        <v>0</v>
      </c>
      <c r="BL67" s="77">
        <f t="shared" si="104"/>
        <v>0</v>
      </c>
      <c r="BM67" s="77">
        <f t="shared" si="105"/>
        <v>0</v>
      </c>
      <c r="BN67" s="77"/>
      <c r="BO67" s="77">
        <f t="shared" si="122"/>
        <v>0</v>
      </c>
      <c r="BP67" s="77">
        <f t="shared" si="123"/>
        <v>0</v>
      </c>
      <c r="BQ67" s="77">
        <f t="shared" si="124"/>
        <v>0</v>
      </c>
      <c r="BR67" s="107"/>
    </row>
    <row r="68" ht="19.5" customHeight="1" spans="1:70">
      <c r="A68" s="110"/>
      <c r="B68" s="110" t="s">
        <v>855</v>
      </c>
      <c r="C68" s="110"/>
      <c r="D68" s="110"/>
      <c r="E68" s="110"/>
      <c r="F68" s="110"/>
      <c r="G68" s="110" t="s">
        <v>856</v>
      </c>
      <c r="H68" s="110"/>
      <c r="I68" s="110" t="s">
        <v>65</v>
      </c>
      <c r="J68" s="110" t="s">
        <v>58</v>
      </c>
      <c r="K68" s="110"/>
      <c r="L68" s="110" t="s">
        <v>841</v>
      </c>
      <c r="M68" s="110" t="s">
        <v>841</v>
      </c>
      <c r="N68" s="110" t="s">
        <v>841</v>
      </c>
      <c r="O68" s="110"/>
      <c r="P68" s="110" t="s">
        <v>350</v>
      </c>
      <c r="Q68" s="110" t="s">
        <v>58</v>
      </c>
      <c r="R68" s="110"/>
      <c r="S68" s="110"/>
      <c r="T68" s="110"/>
      <c r="U68" s="110" t="s">
        <v>54</v>
      </c>
      <c r="V68" s="110" t="s">
        <v>54</v>
      </c>
      <c r="W68" s="110" t="s">
        <v>54</v>
      </c>
      <c r="X68" s="110" t="s">
        <v>54</v>
      </c>
      <c r="Y68" s="110" t="s">
        <v>54</v>
      </c>
      <c r="Z68" s="110" t="s">
        <v>54</v>
      </c>
      <c r="AA68" s="110" t="s">
        <v>54</v>
      </c>
      <c r="AB68" s="110" t="s">
        <v>54</v>
      </c>
      <c r="AC68" s="110"/>
      <c r="AD68" s="110"/>
      <c r="AE68" s="110"/>
      <c r="AF68" s="110"/>
      <c r="AG68" s="110"/>
      <c r="AH68" s="110"/>
      <c r="AI68" s="74">
        <f t="shared" ref="AI68:AQ68" si="128">COUNTIF($D68:$AG68,AI$4)</f>
        <v>0</v>
      </c>
      <c r="AJ68" s="74">
        <f t="shared" si="128"/>
        <v>0</v>
      </c>
      <c r="AK68" s="74">
        <f t="shared" si="128"/>
        <v>0</v>
      </c>
      <c r="AL68" s="74">
        <f t="shared" si="128"/>
        <v>0</v>
      </c>
      <c r="AM68" s="74">
        <f t="shared" si="128"/>
        <v>2</v>
      </c>
      <c r="AN68" s="74">
        <f t="shared" si="128"/>
        <v>0</v>
      </c>
      <c r="AO68" s="74">
        <f t="shared" si="128"/>
        <v>1</v>
      </c>
      <c r="AP68" s="74">
        <f t="shared" si="128"/>
        <v>0</v>
      </c>
      <c r="AQ68" s="74">
        <f t="shared" si="128"/>
        <v>0</v>
      </c>
      <c r="AR68" s="76">
        <v>1</v>
      </c>
      <c r="AS68" s="76"/>
      <c r="AT68" s="74">
        <f>SUMPRODUCT(--(WEEKDAY(D$3:AG$3,2)&lt;5),--ISNUMBER(MATCH(D68:AG68,{"DM","CS1","CS2","SB1","SB2","AE","CS/B"},0)))</f>
        <v>3</v>
      </c>
      <c r="AU68" s="74"/>
      <c r="AV68" s="74">
        <f>SUMPRODUCT(--(WEEKDAY(D$3:AG$3,2)=5),--ISNUMBER(MATCH(D68:AG68,{"DM","CS1","CS2","SB1","SB2","AE","CS/B"},0)))</f>
        <v>0</v>
      </c>
      <c r="AW68" s="74">
        <f>SUMPRODUCT(--(WEEKDAY(D$3:AG$3,2)&gt;5),--ISNUMBER(MATCH(D68:AG68,{"DM","CS1","CS2","SB1","AE","CS/B","SB2"},0)))</f>
        <v>0</v>
      </c>
      <c r="AX68" s="74"/>
      <c r="AY68" s="74">
        <f t="shared" si="111"/>
        <v>4</v>
      </c>
      <c r="AZ68" s="74">
        <f t="shared" si="92"/>
        <v>3</v>
      </c>
      <c r="BA68" s="74">
        <f t="shared" si="93"/>
        <v>4</v>
      </c>
      <c r="BB68" s="76">
        <f t="shared" si="94"/>
        <v>8.5</v>
      </c>
      <c r="BC68" s="74">
        <f t="shared" si="95"/>
        <v>4.5</v>
      </c>
      <c r="BD68" s="74">
        <f t="shared" si="96"/>
        <v>1</v>
      </c>
      <c r="BE68" s="74">
        <f t="shared" si="97"/>
        <v>1.5</v>
      </c>
      <c r="BF68" s="74">
        <f t="shared" si="98"/>
        <v>0</v>
      </c>
      <c r="BG68" s="74">
        <f t="shared" si="99"/>
        <v>0</v>
      </c>
      <c r="BH68" s="74">
        <f t="shared" si="100"/>
        <v>0</v>
      </c>
      <c r="BI68" s="74">
        <f t="shared" si="101"/>
        <v>0</v>
      </c>
      <c r="BJ68" s="74">
        <f t="shared" si="102"/>
        <v>0</v>
      </c>
      <c r="BK68" s="74">
        <f t="shared" si="103"/>
        <v>0</v>
      </c>
      <c r="BL68" s="74">
        <f t="shared" si="104"/>
        <v>3</v>
      </c>
      <c r="BM68" s="74">
        <f t="shared" si="105"/>
        <v>3</v>
      </c>
      <c r="BN68" s="74"/>
      <c r="BO68" s="74">
        <f t="shared" si="122"/>
        <v>0</v>
      </c>
      <c r="BP68" s="74">
        <f t="shared" si="123"/>
        <v>1</v>
      </c>
      <c r="BQ68" s="74">
        <f t="shared" si="124"/>
        <v>0</v>
      </c>
      <c r="BR68" s="110"/>
    </row>
    <row r="69" ht="19.5" customHeight="1" spans="1:70">
      <c r="A69" s="107"/>
      <c r="B69" s="107" t="s">
        <v>857</v>
      </c>
      <c r="C69" s="107"/>
      <c r="D69" s="107"/>
      <c r="E69" s="107"/>
      <c r="F69" s="148"/>
      <c r="G69" s="107"/>
      <c r="H69" s="107" t="s">
        <v>856</v>
      </c>
      <c r="I69" s="107"/>
      <c r="J69" s="107" t="s">
        <v>65</v>
      </c>
      <c r="K69" s="107"/>
      <c r="L69" s="107" t="s">
        <v>58</v>
      </c>
      <c r="M69" s="107"/>
      <c r="N69" s="107"/>
      <c r="O69" s="107"/>
      <c r="P69" s="107" t="s">
        <v>65</v>
      </c>
      <c r="Q69" s="107" t="s">
        <v>858</v>
      </c>
      <c r="R69" s="107" t="s">
        <v>58</v>
      </c>
      <c r="S69" s="107"/>
      <c r="T69" s="107"/>
      <c r="U69" s="107" t="s">
        <v>58</v>
      </c>
      <c r="V69" s="107"/>
      <c r="W69" s="107" t="s">
        <v>859</v>
      </c>
      <c r="X69" s="107" t="s">
        <v>860</v>
      </c>
      <c r="Y69" s="107"/>
      <c r="Z69" s="107" t="s">
        <v>54</v>
      </c>
      <c r="AA69" s="107" t="s">
        <v>54</v>
      </c>
      <c r="AB69" s="107" t="s">
        <v>54</v>
      </c>
      <c r="AC69" s="107" t="s">
        <v>54</v>
      </c>
      <c r="AD69" s="107" t="s">
        <v>54</v>
      </c>
      <c r="AE69" s="107" t="s">
        <v>54</v>
      </c>
      <c r="AF69" s="107" t="s">
        <v>54</v>
      </c>
      <c r="AG69" s="107" t="s">
        <v>54</v>
      </c>
      <c r="AH69" s="107" t="s">
        <v>54</v>
      </c>
      <c r="AI69" s="77">
        <f t="shared" ref="AI69:AQ69" si="129">COUNTIF($D69:$AG69,AI$4)</f>
        <v>0</v>
      </c>
      <c r="AJ69" s="77">
        <f t="shared" si="129"/>
        <v>0</v>
      </c>
      <c r="AK69" s="77">
        <f t="shared" si="129"/>
        <v>0</v>
      </c>
      <c r="AL69" s="77">
        <f t="shared" si="129"/>
        <v>0</v>
      </c>
      <c r="AM69" s="77">
        <f t="shared" si="129"/>
        <v>3</v>
      </c>
      <c r="AN69" s="77">
        <f t="shared" si="129"/>
        <v>0</v>
      </c>
      <c r="AO69" s="77">
        <f t="shared" si="129"/>
        <v>2</v>
      </c>
      <c r="AP69" s="77">
        <f t="shared" si="129"/>
        <v>0</v>
      </c>
      <c r="AQ69" s="77">
        <f t="shared" si="129"/>
        <v>0</v>
      </c>
      <c r="AR69" s="76"/>
      <c r="AS69" s="76">
        <v>0.5</v>
      </c>
      <c r="AT69" s="77">
        <f>SUMPRODUCT(--(WEEKDAY(D$3:AG$3,2)&lt;5),--ISNUMBER(MATCH(D69:AG69,{"DM","CS1","CS2","SB1","SB2","AE","CS/B"},0)))</f>
        <v>3</v>
      </c>
      <c r="AU69" s="77"/>
      <c r="AV69" s="77">
        <f>SUMPRODUCT(--(WEEKDAY(D$3:AG$3,2)=5),--ISNUMBER(MATCH(D69:AG69,{"DM","CS1","CS2","SB1","SB2","AE","CS/B"},0)))</f>
        <v>1</v>
      </c>
      <c r="AW69" s="77">
        <f>SUMPRODUCT(--(WEEKDAY(D$3:AG$3,2)&gt;5),--ISNUMBER(MATCH(D69:AG69,{"DM","CS1","CS2","SB1","AE","CS/B","SB2"},0)))</f>
        <v>1</v>
      </c>
      <c r="AX69" s="77"/>
      <c r="AY69" s="77">
        <f t="shared" si="111"/>
        <v>6</v>
      </c>
      <c r="AZ69" s="77">
        <f t="shared" si="92"/>
        <v>5</v>
      </c>
      <c r="BA69" s="77">
        <f t="shared" si="93"/>
        <v>4</v>
      </c>
      <c r="BB69" s="76">
        <f t="shared" si="94"/>
        <v>9.5</v>
      </c>
      <c r="BC69" s="77">
        <f t="shared" si="95"/>
        <v>3.5</v>
      </c>
      <c r="BD69" s="77">
        <f t="shared" si="96"/>
        <v>1</v>
      </c>
      <c r="BE69" s="77">
        <f t="shared" si="97"/>
        <v>1.5</v>
      </c>
      <c r="BF69" s="77">
        <f t="shared" si="98"/>
        <v>1</v>
      </c>
      <c r="BG69" s="77">
        <f t="shared" si="99"/>
        <v>1</v>
      </c>
      <c r="BH69" s="77">
        <f t="shared" si="100"/>
        <v>1</v>
      </c>
      <c r="BI69" s="77">
        <f t="shared" si="101"/>
        <v>0.5</v>
      </c>
      <c r="BJ69" s="77">
        <f t="shared" si="102"/>
        <v>1</v>
      </c>
      <c r="BK69" s="77">
        <f t="shared" si="103"/>
        <v>0.5</v>
      </c>
      <c r="BL69" s="77">
        <f t="shared" si="104"/>
        <v>0</v>
      </c>
      <c r="BM69" s="77">
        <f t="shared" si="105"/>
        <v>0</v>
      </c>
      <c r="BN69" s="77"/>
      <c r="BO69" s="77">
        <f t="shared" si="122"/>
        <v>0</v>
      </c>
      <c r="BP69" s="77">
        <f t="shared" si="123"/>
        <v>0</v>
      </c>
      <c r="BQ69" s="77">
        <f t="shared" si="124"/>
        <v>0</v>
      </c>
      <c r="BR69" s="107"/>
    </row>
    <row r="70" ht="19.5" customHeight="1" spans="1:70">
      <c r="A70" s="74"/>
      <c r="B70" s="115" t="s">
        <v>667</v>
      </c>
      <c r="C70" s="115"/>
      <c r="D70" s="119"/>
      <c r="E70" s="121"/>
      <c r="F70" s="121"/>
      <c r="G70" s="121"/>
      <c r="H70" s="121"/>
      <c r="I70" s="121"/>
      <c r="J70" s="121"/>
      <c r="K70" s="121"/>
      <c r="L70" s="121"/>
      <c r="M70" s="121"/>
      <c r="N70" s="110"/>
      <c r="O70" s="121"/>
      <c r="P70" s="121"/>
      <c r="Q70" s="121"/>
      <c r="R70" s="110"/>
      <c r="S70" s="110"/>
      <c r="T70" s="121"/>
      <c r="U70" s="110"/>
      <c r="V70" s="121" t="s">
        <v>700</v>
      </c>
      <c r="W70" s="156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74"/>
      <c r="BM70" s="74"/>
      <c r="BN70" s="74"/>
      <c r="BO70" s="74"/>
      <c r="BP70" s="74"/>
      <c r="BQ70" s="74"/>
      <c r="BR70" s="74"/>
    </row>
    <row r="71" ht="19.5" customHeight="1" spans="1:70">
      <c r="A71" s="77"/>
      <c r="B71" s="115" t="s">
        <v>668</v>
      </c>
      <c r="C71" s="115"/>
      <c r="D71" s="119"/>
      <c r="E71" s="157"/>
      <c r="F71" s="157"/>
      <c r="G71" s="157"/>
      <c r="H71" s="157"/>
      <c r="I71" s="157"/>
      <c r="J71" s="157"/>
      <c r="K71" s="157"/>
      <c r="L71" s="157"/>
      <c r="M71" s="157"/>
      <c r="N71" s="107"/>
      <c r="O71" s="157"/>
      <c r="P71" s="157"/>
      <c r="Q71" s="157"/>
      <c r="R71" s="107"/>
      <c r="S71" s="107"/>
      <c r="T71" s="157"/>
      <c r="U71" s="107"/>
      <c r="V71" s="121"/>
      <c r="W71" s="158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</row>
    <row r="72" ht="19.5" customHeight="1" spans="1:70">
      <c r="A72" s="67"/>
      <c r="B72" s="105"/>
      <c r="C72" s="105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3"/>
      <c r="AH72" s="123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>
        <f>SUMPRODUCT(--WEEKDAY(D$3:AG$3,2)&gt;5,--((D72:AG72="DM"))+(D72:AG72="CS1")+((D72:AG72="CS2"))+(D72:AG72="SB1")+(D72:AG72="AE")+(D72:AG72="EM"))</f>
        <v>0</v>
      </c>
      <c r="AX72" s="105"/>
      <c r="AY72" s="105">
        <f>(AT72-AU72)/2+(AW72-AX72)</f>
        <v>0</v>
      </c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  <c r="BO72" s="105"/>
      <c r="BP72" s="105"/>
      <c r="BQ72" s="105"/>
      <c r="BR72" s="105"/>
    </row>
    <row r="73" ht="19.5" customHeight="1" spans="1:70">
      <c r="A73" s="67"/>
      <c r="B73" s="124" t="s">
        <v>57</v>
      </c>
      <c r="C73" s="124"/>
      <c r="D73" s="125" t="e">
        <f t="shared" ref="D73:AH73" si="130">VLOOKUP("DM",D53:D69,1,FALSE)</f>
        <v>#N/A</v>
      </c>
      <c r="E73" s="125" t="e">
        <f t="shared" si="130"/>
        <v>#N/A</v>
      </c>
      <c r="F73" s="125" t="e">
        <f t="shared" si="130"/>
        <v>#N/A</v>
      </c>
      <c r="G73" s="125" t="str">
        <f t="shared" si="130"/>
        <v>DM</v>
      </c>
      <c r="H73" s="125" t="str">
        <f t="shared" si="130"/>
        <v>DM</v>
      </c>
      <c r="I73" s="125" t="str">
        <f t="shared" si="130"/>
        <v>DM</v>
      </c>
      <c r="J73" s="125" t="str">
        <f t="shared" si="130"/>
        <v>DM</v>
      </c>
      <c r="K73" s="125" t="str">
        <f t="shared" si="130"/>
        <v>DM</v>
      </c>
      <c r="L73" s="125" t="e">
        <f t="shared" si="130"/>
        <v>#N/A</v>
      </c>
      <c r="M73" s="125" t="e">
        <f t="shared" si="130"/>
        <v>#N/A</v>
      </c>
      <c r="N73" s="125" t="str">
        <f t="shared" si="130"/>
        <v>DM</v>
      </c>
      <c r="O73" s="125" t="str">
        <f t="shared" si="130"/>
        <v>DM</v>
      </c>
      <c r="P73" s="125" t="str">
        <f t="shared" si="130"/>
        <v>DM</v>
      </c>
      <c r="Q73" s="125" t="str">
        <f t="shared" si="130"/>
        <v>DM</v>
      </c>
      <c r="R73" s="125" t="str">
        <f t="shared" si="130"/>
        <v>DM</v>
      </c>
      <c r="S73" s="125" t="e">
        <f t="shared" si="130"/>
        <v>#N/A</v>
      </c>
      <c r="T73" s="125" t="e">
        <f t="shared" si="130"/>
        <v>#N/A</v>
      </c>
      <c r="U73" s="125" t="str">
        <f t="shared" si="130"/>
        <v>DM</v>
      </c>
      <c r="V73" s="125" t="e">
        <f t="shared" si="130"/>
        <v>#N/A</v>
      </c>
      <c r="W73" s="125" t="str">
        <f t="shared" si="130"/>
        <v>DM</v>
      </c>
      <c r="X73" s="125" t="str">
        <f t="shared" si="130"/>
        <v>DM</v>
      </c>
      <c r="Y73" s="125" t="str">
        <f t="shared" si="130"/>
        <v>DM</v>
      </c>
      <c r="Z73" s="125" t="e">
        <f t="shared" si="130"/>
        <v>#N/A</v>
      </c>
      <c r="AA73" s="125" t="e">
        <f t="shared" si="130"/>
        <v>#N/A</v>
      </c>
      <c r="AB73" s="125" t="str">
        <f t="shared" si="130"/>
        <v>DM</v>
      </c>
      <c r="AC73" s="125" t="str">
        <f t="shared" si="130"/>
        <v>DM</v>
      </c>
      <c r="AD73" s="125" t="e">
        <f t="shared" si="130"/>
        <v>#N/A</v>
      </c>
      <c r="AE73" s="125" t="str">
        <f t="shared" si="130"/>
        <v>DM</v>
      </c>
      <c r="AF73" s="125" t="str">
        <f t="shared" si="130"/>
        <v>DM</v>
      </c>
      <c r="AG73" s="125" t="e">
        <f t="shared" si="130"/>
        <v>#N/A</v>
      </c>
      <c r="AH73" s="125" t="e">
        <f t="shared" si="130"/>
        <v>#N/A</v>
      </c>
      <c r="AI73" s="67"/>
      <c r="AJ73" s="67"/>
      <c r="AK73" s="67"/>
      <c r="AL73" s="6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</row>
    <row r="74" ht="19.5" customHeight="1" spans="1:70">
      <c r="A74" s="67"/>
      <c r="B74" s="126" t="s">
        <v>56</v>
      </c>
      <c r="C74" s="126"/>
      <c r="D74" s="125" t="e">
        <f t="shared" ref="D74:AH74" si="131">VLOOKUP("CS1",D53:D69,1,FALSE)</f>
        <v>#N/A</v>
      </c>
      <c r="E74" s="125" t="e">
        <f t="shared" si="131"/>
        <v>#N/A</v>
      </c>
      <c r="F74" s="125" t="e">
        <f t="shared" si="131"/>
        <v>#N/A</v>
      </c>
      <c r="G74" s="125" t="str">
        <f t="shared" si="131"/>
        <v>CS1</v>
      </c>
      <c r="H74" s="125" t="str">
        <f t="shared" si="131"/>
        <v>CS1</v>
      </c>
      <c r="I74" s="125" t="str">
        <f t="shared" si="131"/>
        <v>CS1</v>
      </c>
      <c r="J74" s="125" t="str">
        <f t="shared" si="131"/>
        <v>CS1</v>
      </c>
      <c r="K74" s="125" t="str">
        <f t="shared" si="131"/>
        <v>CS1</v>
      </c>
      <c r="L74" s="125" t="e">
        <f t="shared" si="131"/>
        <v>#N/A</v>
      </c>
      <c r="M74" s="125" t="e">
        <f t="shared" si="131"/>
        <v>#N/A</v>
      </c>
      <c r="N74" s="125" t="str">
        <f t="shared" si="131"/>
        <v>CS1</v>
      </c>
      <c r="O74" s="125" t="str">
        <f t="shared" si="131"/>
        <v>CS1</v>
      </c>
      <c r="P74" s="125" t="str">
        <f t="shared" si="131"/>
        <v>CS1</v>
      </c>
      <c r="Q74" s="125" t="str">
        <f t="shared" si="131"/>
        <v>CS1</v>
      </c>
      <c r="R74" s="125" t="str">
        <f t="shared" si="131"/>
        <v>CS1</v>
      </c>
      <c r="S74" s="125" t="e">
        <f t="shared" si="131"/>
        <v>#N/A</v>
      </c>
      <c r="T74" s="125" t="e">
        <f t="shared" si="131"/>
        <v>#N/A</v>
      </c>
      <c r="U74" s="125" t="str">
        <f t="shared" si="131"/>
        <v>CS1</v>
      </c>
      <c r="V74" s="125" t="str">
        <f t="shared" si="131"/>
        <v>CS1</v>
      </c>
      <c r="W74" s="125" t="str">
        <f t="shared" si="131"/>
        <v>CS1</v>
      </c>
      <c r="X74" s="125" t="str">
        <f t="shared" si="131"/>
        <v>CS1</v>
      </c>
      <c r="Y74" s="125" t="str">
        <f t="shared" si="131"/>
        <v>CS1</v>
      </c>
      <c r="Z74" s="125" t="e">
        <f t="shared" si="131"/>
        <v>#N/A</v>
      </c>
      <c r="AA74" s="125" t="e">
        <f t="shared" si="131"/>
        <v>#N/A</v>
      </c>
      <c r="AB74" s="125" t="str">
        <f t="shared" si="131"/>
        <v>CS1</v>
      </c>
      <c r="AC74" s="125" t="str">
        <f t="shared" si="131"/>
        <v>CS1</v>
      </c>
      <c r="AD74" s="125" t="e">
        <f t="shared" si="131"/>
        <v>#N/A</v>
      </c>
      <c r="AE74" s="125" t="str">
        <f t="shared" si="131"/>
        <v>CS1</v>
      </c>
      <c r="AF74" s="125" t="str">
        <f t="shared" si="131"/>
        <v>CS1</v>
      </c>
      <c r="AG74" s="125" t="e">
        <f t="shared" si="131"/>
        <v>#N/A</v>
      </c>
      <c r="AH74" s="125" t="e">
        <f t="shared" si="131"/>
        <v>#N/A</v>
      </c>
      <c r="AI74" s="67"/>
      <c r="AJ74" s="67"/>
      <c r="AK74" s="67"/>
      <c r="AL74" s="6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</row>
    <row r="75" ht="19.5" customHeight="1" spans="1:70">
      <c r="A75" s="67"/>
      <c r="B75" s="127" t="s">
        <v>58</v>
      </c>
      <c r="C75" s="127"/>
      <c r="D75" s="125" t="str">
        <f t="shared" ref="D75:X75" si="132">VLOOKUP("SB1",D5:D69,1,FALSE)</f>
        <v>SB1</v>
      </c>
      <c r="E75" s="125" t="str">
        <f t="shared" si="132"/>
        <v>SB1</v>
      </c>
      <c r="F75" s="125" t="str">
        <f t="shared" si="132"/>
        <v>SB1</v>
      </c>
      <c r="G75" s="125" t="str">
        <f t="shared" si="132"/>
        <v>SB1</v>
      </c>
      <c r="H75" s="125" t="str">
        <f t="shared" si="132"/>
        <v>SB1</v>
      </c>
      <c r="I75" s="125" t="str">
        <f t="shared" si="132"/>
        <v>SB1</v>
      </c>
      <c r="J75" s="125" t="str">
        <f t="shared" si="132"/>
        <v>SB1</v>
      </c>
      <c r="K75" s="125" t="str">
        <f t="shared" si="132"/>
        <v>SB1</v>
      </c>
      <c r="L75" s="125" t="str">
        <f t="shared" si="132"/>
        <v>SB1</v>
      </c>
      <c r="M75" s="125" t="str">
        <f t="shared" si="132"/>
        <v>SB1</v>
      </c>
      <c r="N75" s="125" t="str">
        <f t="shared" si="132"/>
        <v>SB1</v>
      </c>
      <c r="O75" s="125" t="str">
        <f t="shared" si="132"/>
        <v>SB1</v>
      </c>
      <c r="P75" s="125" t="str">
        <f t="shared" si="132"/>
        <v>SB1</v>
      </c>
      <c r="Q75" s="125" t="str">
        <f t="shared" si="132"/>
        <v>SB1</v>
      </c>
      <c r="R75" s="125" t="str">
        <f t="shared" si="132"/>
        <v>SB1</v>
      </c>
      <c r="S75" s="125" t="str">
        <f t="shared" si="132"/>
        <v>SB1</v>
      </c>
      <c r="T75" s="125" t="str">
        <f t="shared" si="132"/>
        <v>SB1</v>
      </c>
      <c r="U75" s="125" t="str">
        <f t="shared" si="132"/>
        <v>SB1</v>
      </c>
      <c r="V75" s="125" t="str">
        <f t="shared" si="132"/>
        <v>SB1</v>
      </c>
      <c r="W75" s="125" t="str">
        <f t="shared" si="132"/>
        <v>SB1</v>
      </c>
      <c r="X75" s="125" t="str">
        <f t="shared" si="132"/>
        <v>SB1</v>
      </c>
      <c r="Y75" s="125" t="str">
        <f>VLOOKUP("SB1",Y6:Y69,1,FALSE)</f>
        <v>SB1</v>
      </c>
      <c r="Z75" s="125" t="str">
        <f t="shared" ref="Z75:AH75" si="133">VLOOKUP("SB1",Z5:Z69,1,FALSE)</f>
        <v>SB1</v>
      </c>
      <c r="AA75" s="125" t="str">
        <f t="shared" si="133"/>
        <v>SB1</v>
      </c>
      <c r="AB75" s="125" t="str">
        <f t="shared" si="133"/>
        <v>SB1</v>
      </c>
      <c r="AC75" s="125" t="str">
        <f t="shared" si="133"/>
        <v>SB1</v>
      </c>
      <c r="AD75" s="125" t="str">
        <f t="shared" si="133"/>
        <v>SB1</v>
      </c>
      <c r="AE75" s="125" t="str">
        <f t="shared" si="133"/>
        <v>SB1</v>
      </c>
      <c r="AF75" s="125" t="str">
        <f t="shared" si="133"/>
        <v>SB1</v>
      </c>
      <c r="AG75" s="125" t="str">
        <f t="shared" si="133"/>
        <v>SB1</v>
      </c>
      <c r="AH75" s="125" t="str">
        <f t="shared" si="133"/>
        <v>SB1</v>
      </c>
      <c r="AI75" s="67"/>
      <c r="AJ75" s="67"/>
      <c r="AK75" s="67"/>
      <c r="AL75" s="6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Q75" s="77"/>
      <c r="BR75" s="77"/>
    </row>
    <row r="76" ht="18.75" customHeight="1" spans="1:70">
      <c r="A76" s="67"/>
      <c r="B76" s="128" t="s">
        <v>93</v>
      </c>
      <c r="C76" s="128"/>
      <c r="D76" s="125" t="e">
        <f t="shared" ref="D76:AH76" si="134">VLOOKUP("SB2",D53:D69,1,FALSE)</f>
        <v>#N/A</v>
      </c>
      <c r="E76" s="125" t="e">
        <f t="shared" si="134"/>
        <v>#N/A</v>
      </c>
      <c r="F76" s="125" t="str">
        <f t="shared" si="134"/>
        <v>SB2</v>
      </c>
      <c r="G76" s="125" t="str">
        <f t="shared" si="134"/>
        <v>SB2</v>
      </c>
      <c r="H76" s="125" t="e">
        <f t="shared" si="134"/>
        <v>#N/A</v>
      </c>
      <c r="I76" s="125" t="e">
        <f t="shared" si="134"/>
        <v>#N/A</v>
      </c>
      <c r="J76" s="125" t="str">
        <f t="shared" si="134"/>
        <v>SB2</v>
      </c>
      <c r="K76" s="125" t="e">
        <f t="shared" si="134"/>
        <v>#N/A</v>
      </c>
      <c r="L76" s="125" t="e">
        <f t="shared" si="134"/>
        <v>#N/A</v>
      </c>
      <c r="M76" s="125" t="str">
        <f t="shared" si="134"/>
        <v>SB2</v>
      </c>
      <c r="N76" s="125" t="str">
        <f t="shared" si="134"/>
        <v>SB2</v>
      </c>
      <c r="O76" s="125" t="e">
        <f t="shared" si="134"/>
        <v>#N/A</v>
      </c>
      <c r="P76" s="125" t="e">
        <f t="shared" si="134"/>
        <v>#N/A</v>
      </c>
      <c r="Q76" s="125" t="str">
        <f t="shared" si="134"/>
        <v>SB2</v>
      </c>
      <c r="R76" s="125" t="e">
        <f t="shared" si="134"/>
        <v>#N/A</v>
      </c>
      <c r="S76" s="125" t="e">
        <f t="shared" si="134"/>
        <v>#N/A</v>
      </c>
      <c r="T76" s="125" t="str">
        <f t="shared" si="134"/>
        <v>SB2</v>
      </c>
      <c r="U76" s="125" t="str">
        <f t="shared" si="134"/>
        <v>SB2</v>
      </c>
      <c r="V76" s="125" t="e">
        <f t="shared" si="134"/>
        <v>#N/A</v>
      </c>
      <c r="W76" s="125" t="e">
        <f t="shared" si="134"/>
        <v>#N/A</v>
      </c>
      <c r="X76" s="125" t="str">
        <f t="shared" si="134"/>
        <v>SB2</v>
      </c>
      <c r="Y76" s="125" t="e">
        <f t="shared" si="134"/>
        <v>#N/A</v>
      </c>
      <c r="Z76" s="125" t="e">
        <f t="shared" si="134"/>
        <v>#N/A</v>
      </c>
      <c r="AA76" s="125" t="str">
        <f t="shared" si="134"/>
        <v>SB2</v>
      </c>
      <c r="AB76" s="125" t="str">
        <f t="shared" si="134"/>
        <v>SB2</v>
      </c>
      <c r="AC76" s="125" t="e">
        <f t="shared" si="134"/>
        <v>#N/A</v>
      </c>
      <c r="AD76" s="125" t="e">
        <f t="shared" si="134"/>
        <v>#N/A</v>
      </c>
      <c r="AE76" s="125" t="str">
        <f t="shared" si="134"/>
        <v>SB2</v>
      </c>
      <c r="AF76" s="125" t="e">
        <f t="shared" si="134"/>
        <v>#N/A</v>
      </c>
      <c r="AG76" s="125" t="e">
        <f t="shared" si="134"/>
        <v>#N/A</v>
      </c>
      <c r="AH76" s="125" t="e">
        <f t="shared" si="134"/>
        <v>#N/A</v>
      </c>
      <c r="AI76" s="67"/>
      <c r="AJ76" s="67"/>
      <c r="AK76" s="67"/>
      <c r="AL76" s="6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</row>
    <row r="77" ht="19.5" customHeight="1" spans="1:70">
      <c r="A77" s="67"/>
      <c r="B77" s="129" t="s">
        <v>65</v>
      </c>
      <c r="C77" s="129"/>
      <c r="D77" s="125" t="e">
        <f t="shared" ref="D77:AH77" si="135">VLOOKUP("AE",D53:D69,1,FALSE)</f>
        <v>#N/A</v>
      </c>
      <c r="E77" s="125" t="e">
        <f t="shared" si="135"/>
        <v>#N/A</v>
      </c>
      <c r="F77" s="125" t="e">
        <f t="shared" si="135"/>
        <v>#N/A</v>
      </c>
      <c r="G77" s="125" t="str">
        <f t="shared" si="135"/>
        <v>AE</v>
      </c>
      <c r="H77" s="125" t="str">
        <f t="shared" si="135"/>
        <v>AE</v>
      </c>
      <c r="I77" s="125" t="str">
        <f t="shared" si="135"/>
        <v>AE</v>
      </c>
      <c r="J77" s="125" t="str">
        <f t="shared" si="135"/>
        <v>AE</v>
      </c>
      <c r="K77" s="125" t="str">
        <f t="shared" si="135"/>
        <v>AE</v>
      </c>
      <c r="L77" s="125" t="e">
        <f t="shared" si="135"/>
        <v>#N/A</v>
      </c>
      <c r="M77" s="125" t="e">
        <f t="shared" si="135"/>
        <v>#N/A</v>
      </c>
      <c r="N77" s="125" t="str">
        <f t="shared" si="135"/>
        <v>AE</v>
      </c>
      <c r="O77" s="125" t="str">
        <f t="shared" si="135"/>
        <v>AE</v>
      </c>
      <c r="P77" s="125" t="str">
        <f t="shared" si="135"/>
        <v>AE</v>
      </c>
      <c r="Q77" s="125" t="str">
        <f t="shared" si="135"/>
        <v>AE</v>
      </c>
      <c r="R77" s="125" t="str">
        <f t="shared" si="135"/>
        <v>AE</v>
      </c>
      <c r="S77" s="125" t="e">
        <f t="shared" si="135"/>
        <v>#N/A</v>
      </c>
      <c r="T77" s="125" t="e">
        <f t="shared" si="135"/>
        <v>#N/A</v>
      </c>
      <c r="U77" s="125" t="str">
        <f t="shared" si="135"/>
        <v>AE</v>
      </c>
      <c r="V77" s="125" t="str">
        <f t="shared" si="135"/>
        <v>AE</v>
      </c>
      <c r="W77" s="125" t="str">
        <f t="shared" si="135"/>
        <v>AE</v>
      </c>
      <c r="X77" s="125" t="str">
        <f t="shared" si="135"/>
        <v>AE</v>
      </c>
      <c r="Y77" s="125" t="str">
        <f t="shared" si="135"/>
        <v>AE</v>
      </c>
      <c r="Z77" s="125" t="e">
        <f t="shared" si="135"/>
        <v>#N/A</v>
      </c>
      <c r="AA77" s="125" t="e">
        <f t="shared" si="135"/>
        <v>#N/A</v>
      </c>
      <c r="AB77" s="125" t="str">
        <f t="shared" si="135"/>
        <v>AE</v>
      </c>
      <c r="AC77" s="125" t="str">
        <f t="shared" si="135"/>
        <v>AE</v>
      </c>
      <c r="AD77" s="125" t="e">
        <f t="shared" si="135"/>
        <v>#N/A</v>
      </c>
      <c r="AE77" s="125" t="str">
        <f t="shared" si="135"/>
        <v>AE</v>
      </c>
      <c r="AF77" s="125" t="str">
        <f t="shared" si="135"/>
        <v>AE</v>
      </c>
      <c r="AG77" s="125" t="e">
        <f t="shared" si="135"/>
        <v>#N/A</v>
      </c>
      <c r="AH77" s="125" t="e">
        <f t="shared" si="135"/>
        <v>#N/A</v>
      </c>
      <c r="AI77" s="67"/>
      <c r="AJ77" s="67"/>
      <c r="AK77" s="67"/>
      <c r="AL77" s="6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Q77" s="77"/>
      <c r="BR77" s="77"/>
    </row>
    <row r="78" ht="19.5" customHeight="1" spans="1:70">
      <c r="A78" s="67"/>
      <c r="B78" s="60" t="s">
        <v>350</v>
      </c>
      <c r="C78" s="60"/>
      <c r="D78" s="60" t="e">
        <f t="shared" ref="D78:AH78" si="136">VLOOKUP("RESERVE",D53:D69,1,FALSE)</f>
        <v>#N/A</v>
      </c>
      <c r="E78" s="60" t="e">
        <f t="shared" si="136"/>
        <v>#N/A</v>
      </c>
      <c r="F78" s="60" t="e">
        <f t="shared" si="136"/>
        <v>#N/A</v>
      </c>
      <c r="G78" s="60" t="e">
        <f t="shared" si="136"/>
        <v>#N/A</v>
      </c>
      <c r="H78" s="60" t="e">
        <f t="shared" si="136"/>
        <v>#N/A</v>
      </c>
      <c r="I78" s="60" t="e">
        <f t="shared" si="136"/>
        <v>#N/A</v>
      </c>
      <c r="J78" s="60" t="e">
        <f t="shared" si="136"/>
        <v>#N/A</v>
      </c>
      <c r="K78" s="60" t="e">
        <f t="shared" si="136"/>
        <v>#N/A</v>
      </c>
      <c r="L78" s="60" t="e">
        <f t="shared" si="136"/>
        <v>#N/A</v>
      </c>
      <c r="M78" s="60" t="e">
        <f t="shared" si="136"/>
        <v>#N/A</v>
      </c>
      <c r="N78" s="60" t="str">
        <f t="shared" si="136"/>
        <v>RESERVE</v>
      </c>
      <c r="O78" s="60" t="e">
        <f t="shared" si="136"/>
        <v>#N/A</v>
      </c>
      <c r="P78" s="60" t="str">
        <f t="shared" si="136"/>
        <v>RESERVE</v>
      </c>
      <c r="Q78" s="60" t="str">
        <f t="shared" si="136"/>
        <v>RESERVE</v>
      </c>
      <c r="R78" s="60" t="e">
        <f t="shared" si="136"/>
        <v>#N/A</v>
      </c>
      <c r="S78" s="60" t="e">
        <f t="shared" si="136"/>
        <v>#N/A</v>
      </c>
      <c r="T78" s="60" t="e">
        <f t="shared" si="136"/>
        <v>#N/A</v>
      </c>
      <c r="U78" s="60" t="e">
        <f t="shared" si="136"/>
        <v>#N/A</v>
      </c>
      <c r="V78" s="60" t="e">
        <f t="shared" si="136"/>
        <v>#N/A</v>
      </c>
      <c r="W78" s="60" t="e">
        <f t="shared" si="136"/>
        <v>#N/A</v>
      </c>
      <c r="X78" s="60" t="e">
        <f t="shared" si="136"/>
        <v>#N/A</v>
      </c>
      <c r="Y78" s="60" t="e">
        <f t="shared" si="136"/>
        <v>#N/A</v>
      </c>
      <c r="Z78" s="60" t="e">
        <f t="shared" si="136"/>
        <v>#N/A</v>
      </c>
      <c r="AA78" s="60" t="e">
        <f t="shared" si="136"/>
        <v>#N/A</v>
      </c>
      <c r="AB78" s="60" t="e">
        <f t="shared" si="136"/>
        <v>#N/A</v>
      </c>
      <c r="AC78" s="60" t="e">
        <f t="shared" si="136"/>
        <v>#N/A</v>
      </c>
      <c r="AD78" s="60" t="e">
        <f t="shared" si="136"/>
        <v>#N/A</v>
      </c>
      <c r="AE78" s="60" t="e">
        <f t="shared" si="136"/>
        <v>#N/A</v>
      </c>
      <c r="AF78" s="60" t="e">
        <f t="shared" si="136"/>
        <v>#N/A</v>
      </c>
      <c r="AG78" s="60" t="e">
        <f t="shared" si="136"/>
        <v>#N/A</v>
      </c>
      <c r="AH78" s="60" t="e">
        <f t="shared" si="136"/>
        <v>#N/A</v>
      </c>
      <c r="AI78" s="67"/>
      <c r="AJ78" s="67"/>
      <c r="AK78" s="67"/>
      <c r="AL78" s="6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</row>
    <row r="79" ht="19.5" customHeight="1" spans="1:70">
      <c r="A79" s="67"/>
      <c r="B79" s="60" t="s">
        <v>755</v>
      </c>
      <c r="C79" s="60"/>
      <c r="D79" s="60">
        <f t="shared" ref="D79:AH79" si="137">COUNTIF(D53:D69,"DM")</f>
        <v>0</v>
      </c>
      <c r="E79" s="60">
        <f t="shared" si="137"/>
        <v>0</v>
      </c>
      <c r="F79" s="60">
        <f t="shared" si="137"/>
        <v>0</v>
      </c>
      <c r="G79" s="60">
        <f t="shared" si="137"/>
        <v>1</v>
      </c>
      <c r="H79" s="60">
        <f t="shared" si="137"/>
        <v>1</v>
      </c>
      <c r="I79" s="60">
        <f t="shared" si="137"/>
        <v>1</v>
      </c>
      <c r="J79" s="60">
        <f t="shared" si="137"/>
        <v>1</v>
      </c>
      <c r="K79" s="60">
        <f t="shared" si="137"/>
        <v>1</v>
      </c>
      <c r="L79" s="60">
        <f t="shared" si="137"/>
        <v>0</v>
      </c>
      <c r="M79" s="60">
        <f t="shared" si="137"/>
        <v>0</v>
      </c>
      <c r="N79" s="60">
        <f t="shared" si="137"/>
        <v>1</v>
      </c>
      <c r="O79" s="60">
        <f t="shared" si="137"/>
        <v>1</v>
      </c>
      <c r="P79" s="60">
        <f t="shared" si="137"/>
        <v>1</v>
      </c>
      <c r="Q79" s="60">
        <f t="shared" si="137"/>
        <v>1</v>
      </c>
      <c r="R79" s="60">
        <f t="shared" si="137"/>
        <v>1</v>
      </c>
      <c r="S79" s="60">
        <f t="shared" si="137"/>
        <v>0</v>
      </c>
      <c r="T79" s="60">
        <f t="shared" si="137"/>
        <v>0</v>
      </c>
      <c r="U79" s="60">
        <f t="shared" si="137"/>
        <v>1</v>
      </c>
      <c r="V79" s="60">
        <f t="shared" si="137"/>
        <v>0</v>
      </c>
      <c r="W79" s="60">
        <f t="shared" si="137"/>
        <v>1</v>
      </c>
      <c r="X79" s="60">
        <f t="shared" si="137"/>
        <v>1</v>
      </c>
      <c r="Y79" s="60">
        <f t="shared" si="137"/>
        <v>1</v>
      </c>
      <c r="Z79" s="60">
        <f t="shared" si="137"/>
        <v>0</v>
      </c>
      <c r="AA79" s="60">
        <f t="shared" si="137"/>
        <v>0</v>
      </c>
      <c r="AB79" s="60">
        <f t="shared" si="137"/>
        <v>1</v>
      </c>
      <c r="AC79" s="60">
        <f t="shared" si="137"/>
        <v>1</v>
      </c>
      <c r="AD79" s="60">
        <f t="shared" si="137"/>
        <v>0</v>
      </c>
      <c r="AE79" s="60">
        <f t="shared" si="137"/>
        <v>1</v>
      </c>
      <c r="AF79" s="60">
        <f t="shared" si="137"/>
        <v>1</v>
      </c>
      <c r="AG79" s="60">
        <f t="shared" si="137"/>
        <v>0</v>
      </c>
      <c r="AH79" s="60">
        <f t="shared" si="137"/>
        <v>0</v>
      </c>
      <c r="AI79" s="67"/>
      <c r="AJ79" s="67"/>
      <c r="AK79" s="67"/>
      <c r="AL79" s="6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Q79" s="77"/>
      <c r="BR79" s="77"/>
    </row>
    <row r="80" ht="19.5" customHeight="1" spans="1:70">
      <c r="A80" s="159"/>
      <c r="B80" s="60" t="s">
        <v>861</v>
      </c>
      <c r="C80" s="60"/>
      <c r="D80" s="60">
        <f t="shared" ref="D80:AH80" si="138">COUNTIF(D53:D69,"SB1")+COUNTIF(D53:D69,"SB2")</f>
        <v>1</v>
      </c>
      <c r="E80" s="60">
        <f t="shared" si="138"/>
        <v>1</v>
      </c>
      <c r="F80" s="60">
        <f t="shared" si="138"/>
        <v>2</v>
      </c>
      <c r="G80" s="60">
        <f t="shared" si="138"/>
        <v>2</v>
      </c>
      <c r="H80" s="60">
        <f t="shared" si="138"/>
        <v>1</v>
      </c>
      <c r="I80" s="60">
        <f t="shared" si="138"/>
        <v>1</v>
      </c>
      <c r="J80" s="60">
        <f t="shared" si="138"/>
        <v>2</v>
      </c>
      <c r="K80" s="60">
        <f t="shared" si="138"/>
        <v>1</v>
      </c>
      <c r="L80" s="60">
        <f t="shared" si="138"/>
        <v>1</v>
      </c>
      <c r="M80" s="60">
        <f t="shared" si="138"/>
        <v>2</v>
      </c>
      <c r="N80" s="60">
        <f t="shared" si="138"/>
        <v>2</v>
      </c>
      <c r="O80" s="60">
        <f t="shared" si="138"/>
        <v>1</v>
      </c>
      <c r="P80" s="60">
        <f t="shared" si="138"/>
        <v>1</v>
      </c>
      <c r="Q80" s="60">
        <f t="shared" si="138"/>
        <v>2</v>
      </c>
      <c r="R80" s="60">
        <f t="shared" si="138"/>
        <v>1</v>
      </c>
      <c r="S80" s="60">
        <f t="shared" si="138"/>
        <v>1</v>
      </c>
      <c r="T80" s="60">
        <f t="shared" si="138"/>
        <v>2</v>
      </c>
      <c r="U80" s="60">
        <f t="shared" si="138"/>
        <v>2</v>
      </c>
      <c r="V80" s="60">
        <f t="shared" si="138"/>
        <v>1</v>
      </c>
      <c r="W80" s="60">
        <f t="shared" si="138"/>
        <v>1</v>
      </c>
      <c r="X80" s="60">
        <f t="shared" si="138"/>
        <v>2</v>
      </c>
      <c r="Y80" s="60">
        <f t="shared" si="138"/>
        <v>1</v>
      </c>
      <c r="Z80" s="60">
        <f t="shared" si="138"/>
        <v>1</v>
      </c>
      <c r="AA80" s="60">
        <f t="shared" si="138"/>
        <v>2</v>
      </c>
      <c r="AB80" s="60">
        <f t="shared" si="138"/>
        <v>2</v>
      </c>
      <c r="AC80" s="60">
        <f t="shared" si="138"/>
        <v>1</v>
      </c>
      <c r="AD80" s="60">
        <f t="shared" si="138"/>
        <v>1</v>
      </c>
      <c r="AE80" s="60">
        <f t="shared" si="138"/>
        <v>2</v>
      </c>
      <c r="AF80" s="60">
        <f t="shared" si="138"/>
        <v>1</v>
      </c>
      <c r="AG80" s="60">
        <f t="shared" si="138"/>
        <v>1</v>
      </c>
      <c r="AH80" s="60">
        <f t="shared" si="138"/>
        <v>1</v>
      </c>
      <c r="AI80" s="159"/>
      <c r="AJ80" s="159"/>
      <c r="AK80" s="159"/>
      <c r="AL80" s="159"/>
      <c r="AM80" s="160"/>
      <c r="AN80" s="160"/>
      <c r="AO80" s="160"/>
      <c r="AP80" s="160"/>
      <c r="AQ80" s="160"/>
      <c r="AR80" s="160"/>
      <c r="AS80" s="160"/>
      <c r="AT80" s="160"/>
      <c r="AU80" s="160"/>
      <c r="AV80" s="160"/>
      <c r="AW80" s="160"/>
      <c r="AX80" s="160"/>
      <c r="AY80" s="160"/>
      <c r="AZ80" s="160"/>
      <c r="BA80" s="160"/>
      <c r="BB80" s="160"/>
      <c r="BC80" s="160"/>
      <c r="BD80" s="160"/>
      <c r="BE80" s="160"/>
      <c r="BF80" s="160"/>
      <c r="BG80" s="160"/>
      <c r="BH80" s="160"/>
      <c r="BI80" s="160"/>
      <c r="BJ80" s="160"/>
      <c r="BK80" s="160"/>
      <c r="BL80" s="160"/>
      <c r="BM80" s="160"/>
      <c r="BN80" s="160"/>
      <c r="BO80" s="160"/>
      <c r="BP80" s="160"/>
      <c r="BQ80" s="160"/>
      <c r="BR80" s="160"/>
    </row>
    <row r="81" ht="19.5" customHeight="1" spans="1:70">
      <c r="A81" s="159"/>
      <c r="B81" s="60" t="s">
        <v>862</v>
      </c>
      <c r="C81" s="60"/>
      <c r="D81" s="60">
        <f t="shared" ref="D81:AH81" si="139">COUNTIF(D53:D69,"CS1")</f>
        <v>0</v>
      </c>
      <c r="E81" s="60">
        <f t="shared" si="139"/>
        <v>0</v>
      </c>
      <c r="F81" s="60">
        <f t="shared" si="139"/>
        <v>0</v>
      </c>
      <c r="G81" s="60">
        <f t="shared" si="139"/>
        <v>1</v>
      </c>
      <c r="H81" s="60">
        <f t="shared" si="139"/>
        <v>1</v>
      </c>
      <c r="I81" s="60">
        <f t="shared" si="139"/>
        <v>1</v>
      </c>
      <c r="J81" s="60">
        <f t="shared" si="139"/>
        <v>1</v>
      </c>
      <c r="K81" s="60">
        <f t="shared" si="139"/>
        <v>1</v>
      </c>
      <c r="L81" s="60">
        <f t="shared" si="139"/>
        <v>0</v>
      </c>
      <c r="M81" s="60">
        <f t="shared" si="139"/>
        <v>0</v>
      </c>
      <c r="N81" s="60">
        <f t="shared" si="139"/>
        <v>1</v>
      </c>
      <c r="O81" s="60">
        <f t="shared" si="139"/>
        <v>1</v>
      </c>
      <c r="P81" s="60">
        <f t="shared" si="139"/>
        <v>1</v>
      </c>
      <c r="Q81" s="60">
        <f t="shared" si="139"/>
        <v>1</v>
      </c>
      <c r="R81" s="60">
        <f t="shared" si="139"/>
        <v>1</v>
      </c>
      <c r="S81" s="60">
        <f t="shared" si="139"/>
        <v>0</v>
      </c>
      <c r="T81" s="60">
        <f t="shared" si="139"/>
        <v>0</v>
      </c>
      <c r="U81" s="60">
        <f t="shared" si="139"/>
        <v>1</v>
      </c>
      <c r="V81" s="60">
        <f t="shared" si="139"/>
        <v>1</v>
      </c>
      <c r="W81" s="60">
        <f t="shared" si="139"/>
        <v>1</v>
      </c>
      <c r="X81" s="60">
        <f t="shared" si="139"/>
        <v>1</v>
      </c>
      <c r="Y81" s="60">
        <f t="shared" si="139"/>
        <v>1</v>
      </c>
      <c r="Z81" s="60">
        <f t="shared" si="139"/>
        <v>0</v>
      </c>
      <c r="AA81" s="60">
        <f t="shared" si="139"/>
        <v>0</v>
      </c>
      <c r="AB81" s="60">
        <f t="shared" si="139"/>
        <v>1</v>
      </c>
      <c r="AC81" s="60">
        <f t="shared" si="139"/>
        <v>1</v>
      </c>
      <c r="AD81" s="60">
        <f t="shared" si="139"/>
        <v>0</v>
      </c>
      <c r="AE81" s="60">
        <f t="shared" si="139"/>
        <v>1</v>
      </c>
      <c r="AF81" s="60">
        <f t="shared" si="139"/>
        <v>1</v>
      </c>
      <c r="AG81" s="60">
        <f t="shared" si="139"/>
        <v>0</v>
      </c>
      <c r="AH81" s="60">
        <f t="shared" si="139"/>
        <v>0</v>
      </c>
      <c r="AI81" s="159"/>
      <c r="AJ81" s="159"/>
      <c r="AK81" s="159"/>
      <c r="AL81" s="159"/>
      <c r="AM81" s="160"/>
      <c r="AN81" s="160"/>
      <c r="AO81" s="160"/>
      <c r="AP81" s="160"/>
      <c r="AQ81" s="160"/>
      <c r="AR81" s="160"/>
      <c r="AS81" s="160"/>
      <c r="AT81" s="160"/>
      <c r="AU81" s="160"/>
      <c r="AV81" s="160"/>
      <c r="AW81" s="160"/>
      <c r="AX81" s="160"/>
      <c r="AY81" s="160"/>
      <c r="AZ81" s="160"/>
      <c r="BA81" s="160"/>
      <c r="BB81" s="160"/>
      <c r="BC81" s="160"/>
      <c r="BD81" s="160"/>
      <c r="BE81" s="160"/>
      <c r="BF81" s="160"/>
      <c r="BG81" s="160"/>
      <c r="BH81" s="160"/>
      <c r="BI81" s="160"/>
      <c r="BJ81" s="160"/>
      <c r="BK81" s="160"/>
      <c r="BL81" s="160"/>
      <c r="BM81" s="160"/>
      <c r="BN81" s="160"/>
      <c r="BO81" s="160"/>
      <c r="BP81" s="160"/>
      <c r="BQ81" s="160"/>
      <c r="BR81" s="160"/>
    </row>
    <row r="82" ht="19.5" customHeight="1" spans="1:70">
      <c r="A82" s="159"/>
      <c r="B82" s="60" t="s">
        <v>863</v>
      </c>
      <c r="C82" s="60"/>
      <c r="D82" s="60">
        <f t="shared" ref="D82:AH82" si="140">COUNTIF(D53:D69,"AE")</f>
        <v>0</v>
      </c>
      <c r="E82" s="60">
        <f t="shared" si="140"/>
        <v>0</v>
      </c>
      <c r="F82" s="60">
        <f t="shared" si="140"/>
        <v>0</v>
      </c>
      <c r="G82" s="60">
        <f t="shared" si="140"/>
        <v>1</v>
      </c>
      <c r="H82" s="60">
        <f t="shared" si="140"/>
        <v>1</v>
      </c>
      <c r="I82" s="60">
        <f t="shared" si="140"/>
        <v>1</v>
      </c>
      <c r="J82" s="60">
        <f t="shared" si="140"/>
        <v>1</v>
      </c>
      <c r="K82" s="60">
        <f t="shared" si="140"/>
        <v>1</v>
      </c>
      <c r="L82" s="60">
        <f t="shared" si="140"/>
        <v>0</v>
      </c>
      <c r="M82" s="60">
        <f t="shared" si="140"/>
        <v>0</v>
      </c>
      <c r="N82" s="60">
        <f t="shared" si="140"/>
        <v>1</v>
      </c>
      <c r="O82" s="60">
        <f t="shared" si="140"/>
        <v>1</v>
      </c>
      <c r="P82" s="60">
        <f t="shared" si="140"/>
        <v>1</v>
      </c>
      <c r="Q82" s="60">
        <f t="shared" si="140"/>
        <v>1</v>
      </c>
      <c r="R82" s="60">
        <f t="shared" si="140"/>
        <v>1</v>
      </c>
      <c r="S82" s="60">
        <f t="shared" si="140"/>
        <v>0</v>
      </c>
      <c r="T82" s="60">
        <f t="shared" si="140"/>
        <v>0</v>
      </c>
      <c r="U82" s="60">
        <f t="shared" si="140"/>
        <v>1</v>
      </c>
      <c r="V82" s="60">
        <f t="shared" si="140"/>
        <v>1</v>
      </c>
      <c r="W82" s="60">
        <f t="shared" si="140"/>
        <v>1</v>
      </c>
      <c r="X82" s="60">
        <f t="shared" si="140"/>
        <v>1</v>
      </c>
      <c r="Y82" s="60">
        <f t="shared" si="140"/>
        <v>1</v>
      </c>
      <c r="Z82" s="60">
        <f t="shared" si="140"/>
        <v>0</v>
      </c>
      <c r="AA82" s="60">
        <f t="shared" si="140"/>
        <v>0</v>
      </c>
      <c r="AB82" s="60">
        <f t="shared" si="140"/>
        <v>1</v>
      </c>
      <c r="AC82" s="60">
        <f t="shared" si="140"/>
        <v>1</v>
      </c>
      <c r="AD82" s="60">
        <f t="shared" si="140"/>
        <v>0</v>
      </c>
      <c r="AE82" s="60">
        <f t="shared" si="140"/>
        <v>1</v>
      </c>
      <c r="AF82" s="60">
        <f t="shared" si="140"/>
        <v>1</v>
      </c>
      <c r="AG82" s="60">
        <f t="shared" si="140"/>
        <v>0</v>
      </c>
      <c r="AH82" s="60">
        <f t="shared" si="140"/>
        <v>0</v>
      </c>
      <c r="AI82" s="159"/>
      <c r="AJ82" s="159"/>
      <c r="AK82" s="159"/>
      <c r="AL82" s="159"/>
      <c r="AM82" s="160"/>
      <c r="AN82" s="160"/>
      <c r="AO82" s="160"/>
      <c r="AP82" s="160"/>
      <c r="AQ82" s="160"/>
      <c r="AR82" s="160"/>
      <c r="AS82" s="160"/>
      <c r="AT82" s="160"/>
      <c r="AU82" s="160"/>
      <c r="AV82" s="160"/>
      <c r="AW82" s="160"/>
      <c r="AX82" s="160"/>
      <c r="AY82" s="160"/>
      <c r="AZ82" s="160"/>
      <c r="BA82" s="160"/>
      <c r="BB82" s="160"/>
      <c r="BC82" s="160"/>
      <c r="BD82" s="160"/>
      <c r="BE82" s="160"/>
      <c r="BF82" s="160"/>
      <c r="BG82" s="160"/>
      <c r="BH82" s="160"/>
      <c r="BI82" s="160"/>
      <c r="BJ82" s="160"/>
      <c r="BK82" s="160"/>
      <c r="BL82" s="160"/>
      <c r="BM82" s="160"/>
      <c r="BN82" s="160"/>
      <c r="BO82" s="160"/>
      <c r="BP82" s="160"/>
      <c r="BQ82" s="160"/>
      <c r="BR82" s="160"/>
    </row>
    <row r="83" ht="19.5" customHeight="1" spans="1:70">
      <c r="A83" s="159"/>
      <c r="B83" s="60" t="s">
        <v>864</v>
      </c>
      <c r="C83" s="161"/>
      <c r="D83" s="60">
        <f t="shared" ref="D83:AH83" si="141">SUM(D79:D82)</f>
        <v>1</v>
      </c>
      <c r="E83" s="60">
        <f t="shared" si="141"/>
        <v>1</v>
      </c>
      <c r="F83" s="60">
        <f t="shared" si="141"/>
        <v>2</v>
      </c>
      <c r="G83" s="60">
        <f t="shared" si="141"/>
        <v>5</v>
      </c>
      <c r="H83" s="60">
        <f t="shared" si="141"/>
        <v>4</v>
      </c>
      <c r="I83" s="60">
        <f t="shared" si="141"/>
        <v>4</v>
      </c>
      <c r="J83" s="60">
        <f t="shared" si="141"/>
        <v>5</v>
      </c>
      <c r="K83" s="60">
        <f t="shared" si="141"/>
        <v>4</v>
      </c>
      <c r="L83" s="60">
        <f t="shared" si="141"/>
        <v>1</v>
      </c>
      <c r="M83" s="60">
        <f t="shared" si="141"/>
        <v>2</v>
      </c>
      <c r="N83" s="60">
        <f t="shared" si="141"/>
        <v>5</v>
      </c>
      <c r="O83" s="60">
        <f t="shared" si="141"/>
        <v>4</v>
      </c>
      <c r="P83" s="60">
        <f t="shared" si="141"/>
        <v>4</v>
      </c>
      <c r="Q83" s="60">
        <f t="shared" si="141"/>
        <v>5</v>
      </c>
      <c r="R83" s="60">
        <f t="shared" si="141"/>
        <v>4</v>
      </c>
      <c r="S83" s="60">
        <f t="shared" si="141"/>
        <v>1</v>
      </c>
      <c r="T83" s="60">
        <f t="shared" si="141"/>
        <v>2</v>
      </c>
      <c r="U83" s="60">
        <f t="shared" si="141"/>
        <v>5</v>
      </c>
      <c r="V83" s="60">
        <f t="shared" si="141"/>
        <v>3</v>
      </c>
      <c r="W83" s="60">
        <f t="shared" si="141"/>
        <v>4</v>
      </c>
      <c r="X83" s="60">
        <f t="shared" si="141"/>
        <v>5</v>
      </c>
      <c r="Y83" s="60">
        <f t="shared" si="141"/>
        <v>4</v>
      </c>
      <c r="Z83" s="60">
        <f t="shared" si="141"/>
        <v>1</v>
      </c>
      <c r="AA83" s="60">
        <f t="shared" si="141"/>
        <v>2</v>
      </c>
      <c r="AB83" s="60">
        <f t="shared" si="141"/>
        <v>5</v>
      </c>
      <c r="AC83" s="60">
        <f t="shared" si="141"/>
        <v>4</v>
      </c>
      <c r="AD83" s="60">
        <f t="shared" si="141"/>
        <v>1</v>
      </c>
      <c r="AE83" s="60">
        <f t="shared" si="141"/>
        <v>5</v>
      </c>
      <c r="AF83" s="60">
        <f t="shared" si="141"/>
        <v>4</v>
      </c>
      <c r="AG83" s="60">
        <f t="shared" si="141"/>
        <v>1</v>
      </c>
      <c r="AH83" s="60">
        <f t="shared" si="141"/>
        <v>1</v>
      </c>
      <c r="AI83" s="159"/>
      <c r="AJ83" s="159"/>
      <c r="AK83" s="159"/>
      <c r="AL83" s="159"/>
      <c r="AM83" s="160"/>
      <c r="AN83" s="160"/>
      <c r="AO83" s="160"/>
      <c r="AP83" s="160"/>
      <c r="AQ83" s="160"/>
      <c r="AR83" s="160"/>
      <c r="AS83" s="160"/>
      <c r="AT83" s="160"/>
      <c r="AU83" s="160"/>
      <c r="AV83" s="160"/>
      <c r="AW83" s="160"/>
      <c r="AX83" s="160"/>
      <c r="AY83" s="160"/>
      <c r="AZ83" s="160"/>
      <c r="BA83" s="160"/>
      <c r="BB83" s="160"/>
      <c r="BC83" s="160"/>
      <c r="BD83" s="160"/>
      <c r="BE83" s="160"/>
      <c r="BF83" s="160"/>
      <c r="BG83" s="160"/>
      <c r="BH83" s="160"/>
      <c r="BI83" s="160"/>
      <c r="BJ83" s="160"/>
      <c r="BK83" s="160"/>
      <c r="BL83" s="160"/>
      <c r="BM83" s="160"/>
      <c r="BN83" s="160"/>
      <c r="BO83" s="160"/>
      <c r="BP83" s="160"/>
      <c r="BQ83" s="160"/>
      <c r="BR83" s="160"/>
    </row>
    <row r="84" ht="19.5" customHeight="1" spans="1:70">
      <c r="A84" s="159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59"/>
      <c r="AJ84" s="159"/>
      <c r="AK84" s="159"/>
      <c r="AL84" s="159"/>
      <c r="AM84" s="160"/>
      <c r="AN84" s="160"/>
      <c r="AO84" s="160"/>
      <c r="AP84" s="160"/>
      <c r="AQ84" s="160"/>
      <c r="AR84" s="160"/>
      <c r="AS84" s="160"/>
      <c r="AT84" s="160"/>
      <c r="AU84" s="160"/>
      <c r="AV84" s="160"/>
      <c r="AW84" s="160"/>
      <c r="AX84" s="160"/>
      <c r="AY84" s="160"/>
      <c r="AZ84" s="160"/>
      <c r="BA84" s="160"/>
      <c r="BB84" s="160"/>
      <c r="BC84" s="160"/>
      <c r="BD84" s="160"/>
      <c r="BE84" s="160"/>
      <c r="BF84" s="160"/>
      <c r="BG84" s="160"/>
      <c r="BH84" s="160"/>
      <c r="BI84" s="160"/>
      <c r="BJ84" s="160"/>
      <c r="BK84" s="160"/>
      <c r="BL84" s="160"/>
      <c r="BM84" s="160"/>
      <c r="BN84" s="160"/>
      <c r="BO84" s="160"/>
      <c r="BP84" s="160"/>
      <c r="BQ84" s="160"/>
      <c r="BR84" s="160"/>
    </row>
    <row r="85" ht="19.5" customHeight="1" spans="1:70">
      <c r="A85" s="159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59"/>
      <c r="AJ85" s="159"/>
      <c r="AK85" s="159"/>
      <c r="AL85" s="159"/>
      <c r="AM85" s="160"/>
      <c r="AN85" s="160"/>
      <c r="AO85" s="160"/>
      <c r="AP85" s="160"/>
      <c r="AQ85" s="160"/>
      <c r="AR85" s="160"/>
      <c r="AS85" s="160"/>
      <c r="AT85" s="160"/>
      <c r="AU85" s="160"/>
      <c r="AV85" s="160"/>
      <c r="AW85" s="160"/>
      <c r="AX85" s="160"/>
      <c r="AY85" s="160"/>
      <c r="AZ85" s="160"/>
      <c r="BA85" s="160"/>
      <c r="BB85" s="160"/>
      <c r="BC85" s="160"/>
      <c r="BD85" s="160"/>
      <c r="BE85" s="160"/>
      <c r="BF85" s="160"/>
      <c r="BG85" s="160"/>
      <c r="BH85" s="160"/>
      <c r="BI85" s="160"/>
      <c r="BJ85" s="160"/>
      <c r="BK85" s="160"/>
      <c r="BL85" s="160"/>
      <c r="BM85" s="160"/>
      <c r="BN85" s="160"/>
      <c r="BO85" s="160"/>
      <c r="BP85" s="160"/>
      <c r="BQ85" s="160"/>
      <c r="BR85" s="160"/>
    </row>
    <row r="86" ht="19.5" customHeight="1" spans="1:70">
      <c r="A86" s="159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59"/>
      <c r="AJ86" s="159"/>
      <c r="AK86" s="159"/>
      <c r="AL86" s="159"/>
      <c r="AM86" s="160"/>
      <c r="AN86" s="160"/>
      <c r="AO86" s="160"/>
      <c r="AP86" s="160"/>
      <c r="AQ86" s="160"/>
      <c r="AR86" s="160"/>
      <c r="AS86" s="160"/>
      <c r="AT86" s="160"/>
      <c r="AU86" s="160"/>
      <c r="AV86" s="160"/>
      <c r="AW86" s="160"/>
      <c r="AX86" s="160"/>
      <c r="AY86" s="160"/>
      <c r="AZ86" s="160"/>
      <c r="BA86" s="160"/>
      <c r="BB86" s="160"/>
      <c r="BC86" s="160"/>
      <c r="BD86" s="160"/>
      <c r="BE86" s="160"/>
      <c r="BF86" s="160"/>
      <c r="BG86" s="160"/>
      <c r="BH86" s="160"/>
      <c r="BI86" s="160"/>
      <c r="BJ86" s="160"/>
      <c r="BK86" s="160"/>
      <c r="BL86" s="160"/>
      <c r="BM86" s="160"/>
      <c r="BN86" s="160"/>
      <c r="BO86" s="160"/>
      <c r="BP86" s="160"/>
      <c r="BQ86" s="160"/>
      <c r="BR86" s="160"/>
    </row>
    <row r="87" ht="19.5" customHeight="1" spans="1:70">
      <c r="A87" s="159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59"/>
      <c r="AJ87" s="159"/>
      <c r="AK87" s="159"/>
      <c r="AL87" s="159"/>
      <c r="AM87" s="160"/>
      <c r="AN87" s="160"/>
      <c r="AO87" s="160"/>
      <c r="AP87" s="160"/>
      <c r="AQ87" s="160"/>
      <c r="AR87" s="160"/>
      <c r="AS87" s="160"/>
      <c r="AT87" s="160"/>
      <c r="AU87" s="160"/>
      <c r="AV87" s="160"/>
      <c r="AW87" s="160"/>
      <c r="AX87" s="160"/>
      <c r="AY87" s="160"/>
      <c r="AZ87" s="160"/>
      <c r="BA87" s="160"/>
      <c r="BB87" s="160"/>
      <c r="BC87" s="160"/>
      <c r="BD87" s="160"/>
      <c r="BE87" s="160"/>
      <c r="BF87" s="160"/>
      <c r="BG87" s="160"/>
      <c r="BH87" s="160"/>
      <c r="BI87" s="160"/>
      <c r="BJ87" s="160"/>
      <c r="BK87" s="160"/>
      <c r="BL87" s="160"/>
      <c r="BM87" s="160"/>
      <c r="BN87" s="160"/>
      <c r="BO87" s="160"/>
      <c r="BP87" s="160"/>
      <c r="BQ87" s="160"/>
      <c r="BR87" s="160"/>
    </row>
  </sheetData>
  <mergeCells count="4">
    <mergeCell ref="D1:T1"/>
    <mergeCell ref="G62:H62"/>
    <mergeCell ref="AR3:AR4"/>
    <mergeCell ref="AS3:AS4"/>
  </mergeCells>
  <conditionalFormatting sqref="E25">
    <cfRule type="expression" dxfId="136" priority="5">
      <formula>WEEKDAY(H$3,2)&gt;5</formula>
    </cfRule>
    <cfRule type="expression" dxfId="136" priority="6">
      <formula>WEEKDAY(G$3,2)&gt;5</formula>
    </cfRule>
  </conditionalFormatting>
  <conditionalFormatting sqref="X62">
    <cfRule type="expression" dxfId="136" priority="1">
      <formula>WEEKDAY(W$3,2)&gt;5</formula>
    </cfRule>
  </conditionalFormatting>
  <conditionalFormatting sqref="D22:D23">
    <cfRule type="expression" dxfId="136" priority="8">
      <formula>WEEKDAY(E$3,2)&gt;5</formula>
    </cfRule>
  </conditionalFormatting>
  <conditionalFormatting sqref="A1:BR87">
    <cfRule type="cellIs" dxfId="155" priority="75" operator="equal">
      <formula>"RESERVE"</formula>
    </cfRule>
  </conditionalFormatting>
  <conditionalFormatting sqref="U2:Y71 D3:T71 Z3:AH71 B44:B50">
    <cfRule type="expression" dxfId="136" priority="68">
      <formula>WEEKDAY(U$3,2)&gt;5</formula>
    </cfRule>
  </conditionalFormatting>
  <conditionalFormatting sqref="K4:K87 AB4:AB87 D5:J87 L5:AA87 AC5:AH87 B44:B50">
    <cfRule type="cellIs" dxfId="137" priority="53" operator="equal">
      <formula>"B"</formula>
    </cfRule>
    <cfRule type="cellIs" dxfId="137" priority="54" operator="equal">
      <formula>"AL"</formula>
    </cfRule>
    <cfRule type="cellIs" dxfId="138" priority="55" operator="equal">
      <formula>"DM"</formula>
    </cfRule>
    <cfRule type="cellIs" dxfId="139" priority="56" operator="equal">
      <formula>"CS1"</formula>
    </cfRule>
    <cfRule type="cellIs" dxfId="140" priority="57" operator="equal">
      <formula>"CS2"</formula>
    </cfRule>
    <cfRule type="cellIs" dxfId="141" priority="58" operator="equal">
      <formula>"SB1"</formula>
    </cfRule>
    <cfRule type="cellIs" dxfId="142" priority="59" operator="equal">
      <formula>"SB2"</formula>
    </cfRule>
    <cfRule type="cellIs" dxfId="143" priority="60" operator="equal">
      <formula>"AE"</formula>
    </cfRule>
  </conditionalFormatting>
  <conditionalFormatting sqref="K4:K71 AB4:AB71 D5:J71 L5:AA71 AC5:AH71 B44:B50">
    <cfRule type="cellIs" dxfId="137" priority="62" operator="equal">
      <formula>"DB"</formula>
    </cfRule>
    <cfRule type="containsText" dxfId="144" priority="63" operator="between" text="$AM">
      <formula>NOT(ISERROR(SEARCH("$AM",B4)))</formula>
    </cfRule>
    <cfRule type="containsText" dxfId="145" priority="64" operator="between" text="$PM">
      <formula>NOT(ISERROR(SEARCH("$PM",B4)))</formula>
    </cfRule>
    <cfRule type="containsText" dxfId="146" priority="65" operator="between" text="$L">
      <formula>NOT(ISERROR(SEARCH("$L",B4)))</formula>
    </cfRule>
    <cfRule type="containsText" dxfId="147" priority="66" operator="between" text="$BTP">
      <formula>NOT(ISERROR(SEARCH("$BTP",B4)))</formula>
    </cfRule>
    <cfRule type="containsText" dxfId="148" priority="67" operator="between" text="$M">
      <formula>NOT(ISERROR(SEARCH("$M",B4)))</formula>
    </cfRule>
    <cfRule type="containsText" dxfId="149" priority="69" operator="between" text="$N">
      <formula>NOT(ISERROR(SEARCH("$N",B4)))</formula>
    </cfRule>
    <cfRule type="containsText" dxfId="150" priority="70" operator="between" text="$FC">
      <formula>NOT(ISERROR(SEARCH("$FC",B4)))</formula>
    </cfRule>
    <cfRule type="containsText" dxfId="151" priority="71" operator="between" text="OAL">
      <formula>NOT(ISERROR(SEARCH("OAL",B4)))</formula>
    </cfRule>
    <cfRule type="containsText" dxfId="152" priority="72" operator="between" text="S+">
      <formula>NOT(ISERROR(SEARCH("S+",B4)))</formula>
    </cfRule>
    <cfRule type="containsText" dxfId="153" priority="73" operator="between" text="EX-D">
      <formula>NOT(ISERROR(SEARCH("EX-D",B4)))</formula>
    </cfRule>
  </conditionalFormatting>
  <conditionalFormatting sqref="K4:K6 D5:D10 F5:F6 H5:H15 I5 J5:J10 L5:L12 N5:O7 P5:P6 Q5:R5 S5:S6 T5:T9 X5:X7 Y5 Z5:Z57 AA5:AA69 AB5:AB64 AC5:AC69 AD5:AD31 AE5:AE27 AF5 AG5:AG15 AH5:AH19 E6 G6:G13 M6:M9 U6 W6 I7:I8 Q7:Q8 R7:R19 Y7:Y8 E8:F8 K8 P8:P9 S8:S10 W8 AF8:AF14 N9:N12 U9:U15 V9 X9:X10 F10:F12 I10:I26 K10:K16 O10 W10:W13 Y10:Y30 P11 T11:T12 V11:V22 D12:D26 E12:E19 M12 O12 S12:S30 X12:X26 J13:J16 F14:F21 L14:L16 M14:M18 N14:N25 O14:O15 P14:P21 T14:T30 W15:W22 G16:G27 Q16:Q25 AF16:AF27 O17:O20 U17:U21 AG17:AG19 J18:J19 K18:K21 L18:L23 H19:H27 E21:E26 J21:J30 R21:R27 AG21:AH27 M22:M27 K23:K26 O23:O27 P23:P30 U23:U26 F24:F26 V24:V25 W24:W36 L25 L27:L28 N27 Q27:Q28 V27:V31 E28 I28:I30 K28:K30 X28:X33 F29:F30 G29 M29:M30 N29:N32 O29:O30 R29 AE29:AE33 AF29:AF32 AG29 AH29:AH31 E30:E32 H30 L30 Q30:Q31 U31 D32 F32:H32 P32:P33 R32 S32:S33 T32 Y32:Y36 AG32 J33 K33:K55 L33 U33 AD33:AD69 F34:I34 M34:N34 L35:L40 P35:P38 S35 AF35 F36:F56 G36:H37 J36:J38 Q36:Q38 U36:V36 E37 I37 N37:N53 O37:O38 T37:T38 X37:X57 AF37:AF42 D38:D57 M38:M54 S38:S57 U38 W38 Y38:Y57 AE38:AE69 I39:I41 G40:G41 P40 U40:U41 W40:W56 AG40:AG41 AH40 Q41 T41 H42 J42 L42:L57 P42:P51 R42:R54 I43:I56 B44:B50 E44:E51 G44:H51 J44:J51 O44:O51 Q44:Q51 T44:V51 AF44:AH51 N55:N57 M56:M57 R56:R57 AF56:AH56 K57 V58:V61 G60 I60 X62 V63:V71 M64 AF64:AH64 I66 AB66:AB69">
    <cfRule type="containsText" dxfId="154" priority="74" operator="between" text="VACC">
      <formula>NOT(ISERROR(SEARCH("VACC",B4)))</formula>
    </cfRule>
  </conditionalFormatting>
  <conditionalFormatting sqref="D5:D10 F5:F6 H5:H15 I5 J5:J10 K5:L6 N5:N12 O5 P5:P6 Q5:R5 S5:S36 T5:T6 X5:X7 Y5 Z5:Z8 AF5:AH5 E6 G6:G13 M6:M9 W6 AA6 AC6 AD6:AD10 AE6:AE11 I7:I8 O7 Q7:R8 E8:F8 K8 P8:P9 T8:T9 Y8 AC8 AF8:AF11 AG8:AH13 L9 V9 X9:X10 F10:F12 I10:I26 K10:K15 O10 U10:U13 W10:W11 AA10:AA12 L11:L12 R11:R18 T11 V11:V13 Y11 Z11:Z22 D12:D30 E12:E19 M12 X12:X19 J13:J16 W13 Y13:Y23 AB13:AF13 F14:F16 M14:M18 N14:N16 O14:O15 P14:P19 L15:L16 T15:T21 U15 V15:V22 W15 AA15:AB17 AC15:AD15 AE15:AE21 AG15 AH15:AH16 G16:G27 Q16 AF16:AF21 U17:U21 W17:W22 AC17:AC21 F18:F21 J18:J19 L18:L23 N18:N25 O18:O19 Q18:Q21 AG18:AH18 H19:H22 AA19 K20:K21 E21 J21:J26 M21:M26 P21 R21:R24 X21:X22 AA21 AB21:AB22 AD21:AD26 AG21 AH21:AH23 K23:K25 O23 P23:P28 Q23:Q25 T23:U25 AC23:AC24 AE23 AF23:AF27 AG23 E24:F26 H24:H27 V24 X24:X26 AA24:AA25 O26:O27 W26:W27 L27:L28 N27 Q27:Q28 R27 T27:T30 V27 Y27:Y30 AB27 E28 I28:K30 AD28:AD30 F29:F30 G29 M29:M30 O29:O30 V29:W30 X29:X33 Z29:AA29 AC29 AG29:AH29 E30:E32 H30 L30 N30:N32 P30:Q30 AB30 AF30 U31 D32 F32:H32 P32 R32 T32 W32:W33 Y32 AB32:AC32 AE32:AF32 J33:L33 U33 AD33 F34:I34 M34:N34 Y34:Y36 L35 P35:P38 W35 AC35:AD35 AF35 F36:F56 G36:H37 J36:J38 K36:K39 Q36:Q38 U36:V36 AB36 E37 I37 L37:L40 N37:N53 O37:O38 T37 X37:X38 AD37 D38:D57 M38:M54 S38:S57 U38 Y38 AC38:AC40 I39:I41 AA39 AD39:AE69 AF39 G40:G41 P40 U40:U41 X40:Y57 Q41 T41 AB41 AF41:AF42 AG41 H42 J42 L42:L57 P42:P51 R42:R54 AA42:AA69 AC42:AC69 I43:I56 AB43:AB64 B44:B50 E44:E51 G44:H51 J44:K51 O44:O51 Q44:Q51 T44:W51 Z44:Z51 AF44:AH51 N55:N57 M56:M57 R56:R57 Z56 AF56:AH56 G60 I60 M64 AF64:AH64 I66 AB66:AB69">
    <cfRule type="cellIs" dxfId="137" priority="9" operator="equal">
      <formula>"B"</formula>
    </cfRule>
    <cfRule type="cellIs" dxfId="137" priority="10" operator="equal">
      <formula>"AL"</formula>
    </cfRule>
    <cfRule type="cellIs" dxfId="138" priority="11" operator="equal">
      <formula>"DM"</formula>
    </cfRule>
    <cfRule type="cellIs" dxfId="139" priority="12" operator="equal">
      <formula>"CS1"</formula>
    </cfRule>
    <cfRule type="cellIs" dxfId="140" priority="13" operator="equal">
      <formula>"CS2"</formula>
    </cfRule>
    <cfRule type="cellIs" dxfId="141" priority="14" operator="equal">
      <formula>"SB1"</formula>
    </cfRule>
    <cfRule type="cellIs" dxfId="142" priority="15" operator="equal">
      <formula>"SB2"</formula>
    </cfRule>
    <cfRule type="cellIs" dxfId="143" priority="16" operator="equal">
      <formula>"AE"</formula>
    </cfRule>
    <cfRule type="cellIs" dxfId="137" priority="17" operator="equal">
      <formula>"DB"</formula>
    </cfRule>
    <cfRule type="containsText" dxfId="144" priority="18" operator="between" text="$AM">
      <formula>NOT(ISERROR(SEARCH("$AM",B5)))</formula>
    </cfRule>
    <cfRule type="containsText" dxfId="145" priority="19" operator="between" text="$PM">
      <formula>NOT(ISERROR(SEARCH("$PM",B5)))</formula>
    </cfRule>
    <cfRule type="containsText" dxfId="146" priority="20" operator="between" text="$L">
      <formula>NOT(ISERROR(SEARCH("$L",B5)))</formula>
    </cfRule>
    <cfRule type="containsText" dxfId="147" priority="21" operator="between" text="$BTP">
      <formula>NOT(ISERROR(SEARCH("$BTP",B5)))</formula>
    </cfRule>
    <cfRule type="containsText" dxfId="148" priority="22" operator="between" text="$M">
      <formula>NOT(ISERROR(SEARCH("$M",B5)))</formula>
    </cfRule>
    <cfRule type="containsText" dxfId="149" priority="23" operator="between" text="$N">
      <formula>NOT(ISERROR(SEARCH("$N",B5)))</formula>
    </cfRule>
    <cfRule type="containsText" dxfId="150" priority="24" operator="between" text="$FC">
      <formula>NOT(ISERROR(SEARCH("$FC",B5)))</formula>
    </cfRule>
    <cfRule type="containsText" dxfId="151" priority="25" operator="between" text="OAL">
      <formula>NOT(ISERROR(SEARCH("OAL",B5)))</formula>
    </cfRule>
    <cfRule type="containsText" dxfId="152" priority="26" operator="between" text="S+">
      <formula>NOT(ISERROR(SEARCH("S+",B5)))</formula>
    </cfRule>
    <cfRule type="containsText" dxfId="153" priority="27" operator="between" text="EX-D">
      <formula>NOT(ISERROR(SEARCH("EX-D",B5)))</formula>
    </cfRule>
  </conditionalFormatting>
  <conditionalFormatting sqref="D5:D10 F5:F6 H5:H15 I5 J5:J10 K5:K6 L5:L7 N5:N7 O5 P5:P6 Q5:R5 S5:T6 X5:X7 Y5 Z5:Z8 AA5:AB6 AC5:AC9 AD5:AD10 AE5:AE21 AF5:AH5 E6 G6:G13 M6 W6 I7:I8 O7 Q7:R8 E8:F8 K8:K15 M8:M9 P8:P9 S8:S10 T8:T9 Y8 AF8:AH13 L9 N9:N12 V9 X9:X10 F10:F12 I10:I26 O10 R10:R18 U10:U13 W10:W11 AA10:AA12 AB10:AB28 L11:L12 T11 V11:V13 Y11 Z11:Z18 AC11:AC24 D12:D26 E12:E19 M12 O12 S12:S30 X12:X19 AD12:AD15 J13:J16 W13 Y13:Y23 F14:F16 M14:M18 N14:N16 O14:O15 P14:P17 AA14:AA17 L15:L16 T15:T21 U15 V15:W22 AG15 AH15:AH16 G16:G27 Q16 AF16:AF21 U17:U21 F18:F21 J18:J19 L18:L23 N18:N25 O18:O20 Q18:Q25 AG18:AH18 H19:H27 P19 AA19 K20:K21 AD20:AD31 E21 J21:J30 P21 R21:R24 X21:X22 Z21:Z22 AA21 AG21 AH21:AH23 M22:M27 K23:K25 O23 P23:P28 T23:T24 U23:U26 AA23:AA26 AE23 AF23:AF27 AG23 E24:F26 V24 X24:X26 O26:O27 W26:W27 AG26:AH26 L27:L28 N27 Q27:Q28 R27 T27:T30 V27 Y27:Y30 Z27 AC27:AC30 AE27 E28 I28:I30 K28:K30 AA28:AA30 F29:F30 G29 M29:M30 N29:N32 O29:O30 V29:V30 W29:X33 AG29:AH29 E30:E32 H30 L30 P30:Q30 AB30 AE30:AF30 U31 D32 F32:H32 P32 R32 S32:S33 T32 Y32 AB32:AC32 AE32:AE33 AF32 J33 K33:K39 L33 U33 AD33 F34:I34 M34:N34 Y34:Y36 AA34:AA35 AB34:AB39 AC34:AC40 L35 P35:P38 S35 W35:W36 Z35 AD35 AF35 F36:F56 G36:H37 J36:J38 Q36:Q38 U36:V36 E37 I37 L37:L40 N37:N53 O37:O38 T37 X37:X38 AD37:AD69 AF37:AF42 D38:D57 M38:M54 S38:S57 U38 W38 Y38 AA38:AA69 AE38:AE69 I39:I41 G40:G41 P40 U40:U41 W40 X40:Y57 Z40 AG40:AG41 AH40 Q41 T41 AB41 H42 J42 L42:L57 R42:R54 W42:W56 AC42:AC69 I43:I56 AB43:AB64 B44:B50 E44:E51 G44:H51 J44:K51 O44:Q51 T44:V51 Z44:Z51 AF44:AH51 N55:N57 M56:M57 R56:R57 Z56 AF56:AH56 G60 I60 M64 AF64:AH64 I66 AB66:AB69">
    <cfRule type="expression" dxfId="136" priority="28">
      <formula>WEEKDAY(#REF!,2)&gt;5</formula>
    </cfRule>
  </conditionalFormatting>
  <conditionalFormatting sqref="D5:D10 F5:F6 H5:H15 I5 J5:J10 K5:K6 L5:L12 N5:O7 P5:P6 Q5:R5 S5:S6 T5:T9 X5:X7 Y5 Z5:Z57 AA5:AA69 AB5:AB64 AC5:AC69 AD5:AD31 AE5:AE27 AF5 AG5:AG15 AH5:AH19 E6 G6:G13 M6:M9 U6 W6 I7:I8 Q7:Q8 R7:R19 Y7:Y8 E8:F8 K8 P8:P9 W8 AF8:AF14 N9:N11 U9:U15 V9 X9:X10 F10:F12 I10:I26 K10:K16 O10 S10 W10:W13 Y10:Y30 P11 T11:T12 D12:D26 E12:E19 M12 O12 S12:S30 V12:V22 X12:X26 J13:J16 F14:F21 L14:L16 M14:M18 N14:N19 O14:O15 P14:P21 T14:T30 W15:W22 G16:G27 Q16:Q25 AF16:AF27 O17:O20 U17:U21 AG17:AG19 J18:J19 K18:K21 L18:L23 H19:H27 E21:E26 J21:J30 N21:N25 R21:R27 AG21:AH27 M22:M27 K23:K26 O23:O27 P23:P30 U23:U26 F24:F26 V24:V25 W24:W36 L25 L27:L28 N27 Q27:Q28 V27:V31 E28 I28:I30 K28:K30 X28:X33 F29:F30 G29 M29:M30 N29:N32 O29:O30 R29 AE29:AE33 AF29:AF32 AG29 AH29:AH31 E30:E32 H30 L30 Q30:Q31 U31 D32 F32:H32 P32:P33 R32:T32 Y32:Y36 AG32 J33 K33:K55 L33 U33 AD33:AD69 F34:I34 M34:N34 L35:L40 P35:P38 S35 AF35 F36:F56 G36:H37 J36:J38 Q36:Q38 U36:V36 E37 I37 N37:N53 O37:O38 T37:T38 X37:X57 AF37:AF42 D38:D57 M38:M54 S38:S57 U38 W38 Y38:Y57 AE38:AE69 I39:I41 G40:G41 P40 U40:U41 W40:W56 AG40:AG41 AH40 Q41 T41 H42 J42 L42:L57 P42:P51 R42:R54 I43:I56 B44:B50 E44:E51 G44:H51 J44:J51 O44:O51 Q44:Q51 T44:V51 AF44:AH51 N55:N57 M56:M57 R56:R57 AF56:AH56 K57 V58:V61 G60 I60 X62 V63:V71 M64 AF64:AH64 I66 AB66:AB69">
    <cfRule type="cellIs" dxfId="137" priority="32" operator="equal">
      <formula>"B"</formula>
    </cfRule>
    <cfRule type="cellIs" dxfId="137" priority="33" operator="equal">
      <formula>"AL"</formula>
    </cfRule>
    <cfRule type="cellIs" dxfId="138" priority="34" operator="equal">
      <formula>"DM"</formula>
    </cfRule>
    <cfRule type="cellIs" dxfId="139" priority="35" operator="equal">
      <formula>"CS1"</formula>
    </cfRule>
    <cfRule type="cellIs" dxfId="140" priority="36" operator="equal">
      <formula>"CS2"</formula>
    </cfRule>
    <cfRule type="cellIs" dxfId="141" priority="37" operator="equal">
      <formula>"SB1"</formula>
    </cfRule>
    <cfRule type="cellIs" dxfId="142" priority="38" operator="equal">
      <formula>"SB2"</formula>
    </cfRule>
    <cfRule type="cellIs" dxfId="143" priority="39" operator="equal">
      <formula>"AE"</formula>
    </cfRule>
    <cfRule type="cellIs" dxfId="137" priority="41" operator="equal">
      <formula>"DB"</formula>
    </cfRule>
    <cfRule type="containsText" dxfId="144" priority="42" operator="between" text="$AM">
      <formula>NOT(ISERROR(SEARCH("$AM",B5)))</formula>
    </cfRule>
    <cfRule type="containsText" dxfId="145" priority="43" operator="between" text="$PM">
      <formula>NOT(ISERROR(SEARCH("$PM",B5)))</formula>
    </cfRule>
    <cfRule type="containsText" dxfId="146" priority="44" operator="between" text="$L">
      <formula>NOT(ISERROR(SEARCH("$L",B5)))</formula>
    </cfRule>
    <cfRule type="containsText" dxfId="147" priority="45" operator="between" text="$BTP">
      <formula>NOT(ISERROR(SEARCH("$BTP",B5)))</formula>
    </cfRule>
    <cfRule type="containsText" dxfId="148" priority="46" operator="between" text="$M">
      <formula>NOT(ISERROR(SEARCH("$M",B5)))</formula>
    </cfRule>
    <cfRule type="containsText" dxfId="149" priority="47" operator="between" text="$N">
      <formula>NOT(ISERROR(SEARCH("$N",B5)))</formula>
    </cfRule>
    <cfRule type="containsText" dxfId="150" priority="48" operator="between" text="$FC">
      <formula>NOT(ISERROR(SEARCH("$FC",B5)))</formula>
    </cfRule>
    <cfRule type="containsText" dxfId="151" priority="49" operator="between" text="OAL">
      <formula>NOT(ISERROR(SEARCH("OAL",B5)))</formula>
    </cfRule>
    <cfRule type="containsText" dxfId="152" priority="50" operator="between" text="S+">
      <formula>NOT(ISERROR(SEARCH("S+",B5)))</formula>
    </cfRule>
    <cfRule type="containsText" dxfId="153" priority="51" operator="between" text="EX-D">
      <formula>NOT(ISERROR(SEARCH("EX-D",B5)))</formula>
    </cfRule>
    <cfRule type="expression" dxfId="136" priority="52">
      <formula>WEEKDAY(#REF!,2)&gt;5</formula>
    </cfRule>
  </conditionalFormatting>
  <conditionalFormatting sqref="D5:AH87 B44:B50">
    <cfRule type="containsText" dxfId="1388" priority="40" operator="between" text="CS/B">
      <formula>NOT(ISERROR(SEARCH("CS/B",B5)))</formula>
    </cfRule>
  </conditionalFormatting>
  <conditionalFormatting sqref="Y5 X7 T8:T9 X10 AA10:AA11 AE10 T11 Z11 D12 H12 V12 X12 U13 Y13:Z13 AB13 AA15:AA16 AB15 AG15:AH15 W17 T19 AA19 W20 Y20 X24 AA24 X26 AD26 AF26 AD29 Y32 AB32:AC32 W35 Y36 T37">
    <cfRule type="expression" dxfId="136" priority="29">
      <formula>WEEKDAY(AA$3,2)&gt;5</formula>
    </cfRule>
  </conditionalFormatting>
  <conditionalFormatting sqref="Y5 X7 X10 AA10:AA12 AE10 T11 Z11 V12 X12 U13 Y13:Z13 AB13 AA15:AA16 AB15 AG15:AH15 W17 T19 AA19 W20 Y20 X24 AA24 X26 AD26 AF26 AD29 Y32 AB32:AC32 W35 Y36 T37 V58:V61 V63:V71">
    <cfRule type="expression" dxfId="136" priority="30">
      <formula>WEEKDAY(Z$3,2)&gt;5</formula>
    </cfRule>
  </conditionalFormatting>
  <conditionalFormatting sqref="BQ5:BR71">
    <cfRule type="cellIs" dxfId="155" priority="61" operator="lessThan">
      <formula>1</formula>
    </cfRule>
  </conditionalFormatting>
  <conditionalFormatting sqref="S8:S9 D12:E12 I18 G21:I21 T23 G24 U24 D25 H25:I25 N25 S26 E28 I30">
    <cfRule type="expression" dxfId="136" priority="7">
      <formula>WEEKDAY(T$3,2)&gt;5</formula>
    </cfRule>
  </conditionalFormatting>
  <conditionalFormatting sqref="T8:T9 D9 D12 H12 S17:S18 D18 T18 S20 D21 F21 K21 T21 AA21 AD21:AF21 S22 T23 D32:H32 S33">
    <cfRule type="expression" dxfId="136" priority="31">
      <formula>WEEKDAY(V$3,2)&gt;5</formula>
    </cfRule>
  </conditionalFormatting>
  <conditionalFormatting sqref="S9 D12:E12">
    <cfRule type="expression" dxfId="136" priority="2">
      <formula>WEEKDAY(U$3,2)&gt;5</formula>
    </cfRule>
  </conditionalFormatting>
  <conditionalFormatting sqref="R18 R21 S23">
    <cfRule type="expression" dxfId="136" priority="3">
      <formula>WEEKDAY(U$3,2)&gt;5</formula>
    </cfRule>
    <cfRule type="expression" dxfId="136" priority="4">
      <formula>WEEKDAY(V$3,2)&gt;5</formula>
    </cfRule>
  </conditionalFormatting>
  <conditionalFormatting sqref="AB54 AD54:AF54">
    <cfRule type="cellIs" dxfId="1735" priority="76" operator="equal">
      <formula>"CS"</formula>
    </cfRule>
  </conditionalFormatting>
  <dataValidations count="4">
    <dataValidation type="custom" allowBlank="1" sqref="D5 F5 K5 M5 AG5:AH5 K6:N6 P6 V6 Z6:AH6 M7 Z7:AB7 AD7:AE7 AG7:AH7 L8:M8 AC8:AH8 D9 J9 M9 P9 W9 F10:K10 O10 U10 W10:X10 D11 F11 N11 P11 R11 T11:U11 W11 Y11 AA11:AB11 AD11:AH11 F12:H12 K12:M12 O12 R12:V12 X12 Z12 L13:M13 R13:S13 U13:V13 Y13:AA13 AG13:AH13 L14:P14 R14:W14 Y14:Z14 K15:M15 O15:U15 W15 AF15 K16:P16 R16:T16 V16 X16 AG16 D17:G17 I17:K17 M17:Z17 D18:J18 N18 R18:U18 Z18:AB18 AE18 D19:N19 S19:W19 Y19 AA19 AC19:AH19 D20:F20 H20:I20 K20 M20 P20:U20 W20 Z20 AC20 K22:N22 P22:R22 T22 V22:AB22 AD22:AF22 K23 M23 O23 R23 T23:W23 Z23:AH23 D24:J24 L24 N24:V24 X24:Y24 AB24 AE24:AH24 D25:I25 K25:M25 O25:AH25 D26:F26 H26 O26:P26 R26:S26 U26 X26 Z26:AA26 AC26:AH26 D27 F27:H27 J27 Q27:X27 AA27:AB27 AG27:AH27 D28:I28 K28 M28:O28 S28:T28 V28:X28 Z28:AF28 D29:H29 J29:K29 N29:O29 R29 T29 W29 Y29:AA29 AC29:AD29 AF29 D30:I30 L30:O30 U30:W30 Z30:AC30 D31:F31 H31:I31 K31:Q31 S31:Y31 AA31:AF31 D32:I32 K32 O32:P32 U32 Y32 AG32:AH32 D33:F33 H33 J33:N33 P33:Q33 T33:U33 X33 AA33:AC33 AG33 D34:J34 M34:N34 P34 R34:V34 Z34:AB34 AD34:AE34 D35:H35 R35:T35 Y35:AA35 AC35 D36:G36 R36:S36 U36:X36 AD36:AH36 D37:I37 K37:Q37 S37 Y37 AC37 E38:G38 I38 L38 N38:R38 U38 X38:AA38 D39:F39 H39 J39 M39:O39 Z39 D40:E40 G40:K40 Q40 D41:G41 I41 K41:L41 P41 R41:U41 X41:AA41 AH41 D42:F42 J42 L42:O42 T42:U42 W42 Z42 AB42 AG42:AH42 AH43 D54:M54 O54:P54 D55:L55 N55:P55 U55:W55 D56:I56 L56:O56 V56:X56 D57:E57 J57:O57 V57 X57 Z57 AF57:AH57 G60:H60 J60 M64 P66 L26:L27 N40:N41 P18:P19 R7:R9 T5:T6 T56:T57 U69:U71 X6:X7 Z15:Z16 Z52:Z55 AA36:AA37 AH30:AH31 D6:F8 D13:F16 D22:H23 D52:P53 K35:M36 S39:U40 T52:X54 Z8:AA10 AE9:AH10 AE20:AH21 AF52:AH55 AG17:AH18 AG34:AH35 AG37:AH39">
      <formula1>NOT(ISERROR(SEARCH((#REF!),(D5))))</formula1>
    </dataValidation>
    <dataValidation type="list" allowBlank="1" sqref="L5 P8:Q8 Y8 S10 E11 Z11 D12:E12 AG12:AH12 AB13 AE13:AF13 Y15 AA15:AE15 AG15:AH15 AA16:AB16 AE16 AH16 AB17:AC17 AE17:AF17 L18:M18 Q18 W18 Y18 Y20 D21:L21 N21 P21:X21 Z21:AD21 L23 N23 P23:Q23 Y23 N27 AF27 L28 P28:Q28 AG29:AH29 S30 N32 T32 AB32:AC32 AE32:AF32 AD35 Y36 AB36 J37 T37 M38 AC38 AA39:AF39 P40 Q41 AB41 AG41 R42 AA42 AC42 AE42:AF42 AA54:AB54 AD54:AE54 AA55:AC55 AE55 AB56:AH56 AA57:AE57 AD59 O18:O19 R52:R54 R56:R57 S22:S23 T8:T9 AA52:AE53" showDropDown="1">
      <formula1>'Setting key Duty'!$B$7:$B$54</formula1>
    </dataValidation>
    <dataValidation type="list" allowBlank="1" sqref="S5 B30 K38 L40 T55 K56 P56 U56 F57 L58:Q58 J59:M59 O59:P59 D60:F60 L60:M60 O60 Q60 AG60:AH60 J61:M61 T61:V61 Y61:AH61 K62:M62 W62:X62 Z62 AF62:AG62 J63:M63 V63 Y63 AG63:AH63 J64:L64 O64:P64 U64:V64 Y64:Z64 O65:Q65 U65 Y65 AF65:AH65 D66:F66 T66 V66 AE66:AH66 T67:V67 J68:O68 T68:AB68 D69:E69 G69:H69 J69:M69 O69 V69 Y69:AH69 B5:B11 B13:B18 B20:B23 B25:B27 O66:O67 Q66:Q69 T62:T63 T69:T71 AF67:AH68 Y58:Z59 Y66:Z67 D58:G59 D61:G65 D67:G68 D70:M71 J65:M67 O61:Q63 O70:Q71 T58:V59 AF58:AH59 V70:AH71" showDropDown="1">
      <formula1>'Setting key Duty'!$B$7:$B$56</formula1>
    </dataValidation>
    <dataValidation type="list" allowBlank="1" sqref="D43:AG43 D44:AH51 D72:AH77" showDropDown="1">
      <formula1>'Setting key Duty'!$B$7:$B$23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BQ81"/>
  <sheetViews>
    <sheetView showGridLines="0" zoomScale="70" zoomScaleNormal="70" workbookViewId="0">
      <pane xSplit="2" ySplit="4" topLeftCell="C21" activePane="bottomRight" state="frozen"/>
      <selection/>
      <selection pane="topRight"/>
      <selection pane="bottomLeft"/>
      <selection pane="bottomRight" activeCell="B62" sqref="B62"/>
    </sheetView>
  </sheetViews>
  <sheetFormatPr defaultColWidth="12.6285714285714" defaultRowHeight="15.75" customHeight="1"/>
  <cols>
    <col min="1" max="1" width="2.13333333333333" customWidth="1"/>
    <col min="2" max="2" width="29.752380952381" customWidth="1"/>
    <col min="3" max="11" width="9.24761904761905" customWidth="1"/>
    <col min="12" max="12" width="9.38095238095238" customWidth="1"/>
    <col min="13" max="13" width="10.6285714285714" customWidth="1"/>
    <col min="14" max="14" width="9.24761904761905" customWidth="1"/>
    <col min="15" max="15" width="10" customWidth="1"/>
    <col min="16" max="16" width="10.752380952381" customWidth="1"/>
    <col min="17" max="17" width="10.247619047619" customWidth="1"/>
    <col min="18" max="18" width="9.62857142857143" customWidth="1"/>
    <col min="19" max="19" width="9.13333333333333" customWidth="1"/>
    <col min="20" max="23" width="9.24761904761905" customWidth="1"/>
    <col min="24" max="24" width="12.8761904761905" customWidth="1"/>
    <col min="25" max="26" width="9.24761904761905" customWidth="1"/>
    <col min="27" max="27" width="10.5047619047619" customWidth="1"/>
    <col min="28" max="30" width="9.24761904761905" customWidth="1"/>
    <col min="31" max="31" width="10.5047619047619" customWidth="1"/>
    <col min="32" max="33" width="9.38095238095238" customWidth="1"/>
    <col min="34" max="40" width="9.38095238095238" customWidth="1" outlineLevel="1"/>
    <col min="41" max="41" width="12" customWidth="1" outlineLevel="1"/>
    <col min="42" max="42" width="9.38095238095238" customWidth="1" outlineLevel="1"/>
    <col min="43" max="44" width="6.75238095238095" customWidth="1"/>
    <col min="45" max="45" width="8.87619047619048" customWidth="1" outlineLevel="1"/>
    <col min="46" max="47" width="7.87619047619048" customWidth="1" outlineLevel="1"/>
    <col min="48" max="48" width="9.13333333333333" customWidth="1" outlineLevel="1"/>
    <col min="49" max="49" width="8.24761904761905" customWidth="1" outlineLevel="1"/>
    <col min="50" max="50" width="5.5047619047619" customWidth="1" outlineLevel="1"/>
    <col min="51" max="54" width="9.38095238095238" customWidth="1"/>
    <col min="55" max="65" width="9.38095238095238" hidden="1" customWidth="1" outlineLevel="1"/>
    <col min="66" max="66" width="9.38095238095238" customWidth="1" collapsed="1"/>
    <col min="67" max="67" width="9.5047619047619" customWidth="1"/>
    <col min="68" max="69" width="9.38095238095238" customWidth="1"/>
  </cols>
  <sheetData>
    <row r="1" ht="3" customHeight="1" spans="1:69">
      <c r="A1" s="44" t="s">
        <v>865</v>
      </c>
      <c r="B1" s="45" t="s">
        <v>0</v>
      </c>
      <c r="C1" s="46" t="str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>
  Enter DM for DM, CS1 for CS1, CS2 for CS2, and SB1 for SB1. Use the 'Setting key' tab to customise. Change Date on highlighted cell
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</row>
    <row r="2" ht="26.25" customHeight="1" spans="1:69">
      <c r="A2" s="51"/>
      <c r="B2" s="52" t="s">
        <v>1</v>
      </c>
      <c r="C2" s="52" t="s">
        <v>866</v>
      </c>
      <c r="D2" s="52"/>
      <c r="E2" s="52" t="s">
        <v>678</v>
      </c>
      <c r="F2" s="52" t="s">
        <v>678</v>
      </c>
      <c r="G2" s="52" t="s">
        <v>867</v>
      </c>
      <c r="H2" s="52" t="s">
        <v>150</v>
      </c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6"/>
      <c r="U2" s="52"/>
      <c r="V2" s="58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60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</row>
    <row r="3" ht="26.25" customHeight="1" spans="1:69">
      <c r="A3" s="51"/>
      <c r="B3" s="52" t="s">
        <v>21</v>
      </c>
      <c r="C3" s="61">
        <v>46174</v>
      </c>
      <c r="D3" s="62">
        <f t="shared" ref="D3:AG3" si="0">C3+1</f>
        <v>46175</v>
      </c>
      <c r="E3" s="62">
        <f t="shared" si="0"/>
        <v>46176</v>
      </c>
      <c r="F3" s="62">
        <f t="shared" si="0"/>
        <v>46177</v>
      </c>
      <c r="G3" s="62">
        <f t="shared" si="0"/>
        <v>46178</v>
      </c>
      <c r="H3" s="62">
        <f t="shared" si="0"/>
        <v>46179</v>
      </c>
      <c r="I3" s="62">
        <f t="shared" si="0"/>
        <v>46180</v>
      </c>
      <c r="J3" s="62">
        <f t="shared" si="0"/>
        <v>46181</v>
      </c>
      <c r="K3" s="62">
        <f t="shared" si="0"/>
        <v>46182</v>
      </c>
      <c r="L3" s="62">
        <f t="shared" si="0"/>
        <v>46183</v>
      </c>
      <c r="M3" s="62">
        <f t="shared" si="0"/>
        <v>46184</v>
      </c>
      <c r="N3" s="62">
        <f t="shared" si="0"/>
        <v>46185</v>
      </c>
      <c r="O3" s="62">
        <f t="shared" si="0"/>
        <v>46186</v>
      </c>
      <c r="P3" s="62">
        <f t="shared" si="0"/>
        <v>46187</v>
      </c>
      <c r="Q3" s="62">
        <f t="shared" si="0"/>
        <v>46188</v>
      </c>
      <c r="R3" s="62">
        <f t="shared" si="0"/>
        <v>46189</v>
      </c>
      <c r="S3" s="62">
        <f t="shared" si="0"/>
        <v>46190</v>
      </c>
      <c r="T3" s="63">
        <f t="shared" si="0"/>
        <v>46191</v>
      </c>
      <c r="U3" s="62">
        <f t="shared" si="0"/>
        <v>46192</v>
      </c>
      <c r="V3" s="64">
        <f t="shared" si="0"/>
        <v>46193</v>
      </c>
      <c r="W3" s="62">
        <f t="shared" si="0"/>
        <v>46194</v>
      </c>
      <c r="X3" s="62">
        <f t="shared" si="0"/>
        <v>46195</v>
      </c>
      <c r="Y3" s="62">
        <f t="shared" si="0"/>
        <v>46196</v>
      </c>
      <c r="Z3" s="62">
        <f t="shared" si="0"/>
        <v>46197</v>
      </c>
      <c r="AA3" s="62">
        <f t="shared" si="0"/>
        <v>46198</v>
      </c>
      <c r="AB3" s="62">
        <f t="shared" si="0"/>
        <v>46199</v>
      </c>
      <c r="AC3" s="62">
        <f t="shared" si="0"/>
        <v>46200</v>
      </c>
      <c r="AD3" s="62">
        <f t="shared" si="0"/>
        <v>46201</v>
      </c>
      <c r="AE3" s="62">
        <f t="shared" si="0"/>
        <v>46202</v>
      </c>
      <c r="AF3" s="62">
        <f t="shared" si="0"/>
        <v>46203</v>
      </c>
      <c r="AG3" s="62">
        <f t="shared" si="0"/>
        <v>46204</v>
      </c>
      <c r="AH3" s="59" t="str">
        <f>'Setting key Duty'!$C7</f>
        <v>DM</v>
      </c>
      <c r="AI3" s="59" t="str">
        <f>'Setting key Duty'!$C8</f>
        <v>CS1</v>
      </c>
      <c r="AJ3" s="59" t="str">
        <f>'Setting key Duty'!$C9</f>
        <v>CS2</v>
      </c>
      <c r="AK3" s="59" t="str">
        <f>'Setting key Duty'!$C10</f>
        <v>CS/B</v>
      </c>
      <c r="AL3" s="59" t="str">
        <f>'Setting key Duty'!$C11</f>
        <v>SB1</v>
      </c>
      <c r="AM3" s="59" t="str">
        <f>'Setting key Duty'!$C12</f>
        <v>SB2</v>
      </c>
      <c r="AN3" s="59" t="str">
        <f>'Setting key Duty'!$C13</f>
        <v>AE</v>
      </c>
      <c r="AO3" s="59" t="str">
        <f>'Setting key Duty'!$C16</f>
        <v>Outfield Reserve</v>
      </c>
      <c r="AP3" s="59" t="str">
        <f>'Setting key Duty'!C14</f>
        <v>EM</v>
      </c>
      <c r="AQ3" s="65" t="s">
        <v>559</v>
      </c>
      <c r="AR3" s="65" t="s">
        <v>560</v>
      </c>
      <c r="AS3" s="59" t="s">
        <v>22</v>
      </c>
      <c r="AT3" s="59" t="s">
        <v>23</v>
      </c>
      <c r="AU3" s="59" t="s">
        <v>561</v>
      </c>
      <c r="AV3" s="59" t="s">
        <v>24</v>
      </c>
      <c r="AW3" s="59" t="s">
        <v>25</v>
      </c>
      <c r="AX3" s="59" t="s">
        <v>26</v>
      </c>
      <c r="AY3" s="59" t="s">
        <v>27</v>
      </c>
      <c r="AZ3" s="59" t="s">
        <v>28</v>
      </c>
      <c r="BA3" s="66" t="s">
        <v>29</v>
      </c>
      <c r="BB3" s="66"/>
      <c r="BC3" s="59" t="s">
        <v>30</v>
      </c>
      <c r="BD3" s="59" t="s">
        <v>32</v>
      </c>
      <c r="BE3" s="59" t="s">
        <v>33</v>
      </c>
      <c r="BF3" s="59" t="s">
        <v>36</v>
      </c>
      <c r="BG3" s="59" t="s">
        <v>37</v>
      </c>
      <c r="BH3" s="59" t="s">
        <v>39</v>
      </c>
      <c r="BI3" s="59" t="s">
        <v>40</v>
      </c>
      <c r="BJ3" s="59" t="s">
        <v>41</v>
      </c>
      <c r="BK3" s="59" t="s">
        <v>42</v>
      </c>
      <c r="BL3" s="59" t="str">
        <f>'Setting key Duty'!C52</f>
        <v>Field Camp</v>
      </c>
      <c r="BM3" s="59" t="s">
        <v>43</v>
      </c>
      <c r="BN3" s="59" t="str">
        <f>'Setting key Duty'!$C15</f>
        <v>Block</v>
      </c>
      <c r="BO3" s="59" t="str">
        <f>'Setting key Duty'!C17</f>
        <v>Reserve</v>
      </c>
      <c r="BP3" s="59" t="str">
        <f>'Setting key Duty'!$C22</f>
        <v>AL</v>
      </c>
      <c r="BQ3" s="59"/>
    </row>
    <row r="4" ht="18" customHeight="1" spans="1:69">
      <c r="A4" s="67"/>
      <c r="B4" s="68" t="s">
        <v>156</v>
      </c>
      <c r="C4" s="69" t="str">
        <f t="shared" ref="C4:AG4" si="1">TEXT(C3,"ddd")</f>
        <v>Mon</v>
      </c>
      <c r="D4" s="70" t="str">
        <f t="shared" si="1"/>
        <v>Tue</v>
      </c>
      <c r="E4" s="70" t="str">
        <f t="shared" si="1"/>
        <v>Wed</v>
      </c>
      <c r="F4" s="70" t="str">
        <f t="shared" si="1"/>
        <v>Thu</v>
      </c>
      <c r="G4" s="70" t="str">
        <f t="shared" si="1"/>
        <v>Fri</v>
      </c>
      <c r="H4" s="70" t="str">
        <f t="shared" si="1"/>
        <v>Sat</v>
      </c>
      <c r="I4" s="70" t="str">
        <f t="shared" si="1"/>
        <v>Sun</v>
      </c>
      <c r="J4" s="70" t="str">
        <f t="shared" si="1"/>
        <v>Mon</v>
      </c>
      <c r="K4" s="70" t="str">
        <f t="shared" si="1"/>
        <v>Tue</v>
      </c>
      <c r="L4" s="70" t="str">
        <f t="shared" si="1"/>
        <v>Wed</v>
      </c>
      <c r="M4" s="70" t="str">
        <f t="shared" si="1"/>
        <v>Thu</v>
      </c>
      <c r="N4" s="70" t="str">
        <f t="shared" si="1"/>
        <v>Fri</v>
      </c>
      <c r="O4" s="70" t="str">
        <f t="shared" si="1"/>
        <v>Sat</v>
      </c>
      <c r="P4" s="70" t="str">
        <f t="shared" si="1"/>
        <v>Sun</v>
      </c>
      <c r="Q4" s="70" t="str">
        <f t="shared" si="1"/>
        <v>Mon</v>
      </c>
      <c r="R4" s="70" t="str">
        <f t="shared" si="1"/>
        <v>Tue</v>
      </c>
      <c r="S4" s="70" t="str">
        <f t="shared" si="1"/>
        <v>Wed</v>
      </c>
      <c r="T4" s="69" t="str">
        <f t="shared" si="1"/>
        <v>Thu</v>
      </c>
      <c r="U4" s="70" t="str">
        <f t="shared" si="1"/>
        <v>Fri</v>
      </c>
      <c r="V4" s="71" t="str">
        <f t="shared" si="1"/>
        <v>Sat</v>
      </c>
      <c r="W4" s="70" t="str">
        <f t="shared" si="1"/>
        <v>Sun</v>
      </c>
      <c r="X4" s="70" t="str">
        <f t="shared" si="1"/>
        <v>Mon</v>
      </c>
      <c r="Y4" s="70" t="str">
        <f t="shared" si="1"/>
        <v>Tue</v>
      </c>
      <c r="Z4" s="70" t="str">
        <f t="shared" si="1"/>
        <v>Wed</v>
      </c>
      <c r="AA4" s="70" t="str">
        <f t="shared" si="1"/>
        <v>Thu</v>
      </c>
      <c r="AB4" s="70" t="str">
        <f t="shared" si="1"/>
        <v>Fri</v>
      </c>
      <c r="AC4" s="70" t="str">
        <f t="shared" si="1"/>
        <v>Sat</v>
      </c>
      <c r="AD4" s="70" t="str">
        <f t="shared" si="1"/>
        <v>Sun</v>
      </c>
      <c r="AE4" s="70" t="str">
        <f t="shared" si="1"/>
        <v>Mon</v>
      </c>
      <c r="AF4" s="70" t="str">
        <f t="shared" si="1"/>
        <v>Tue</v>
      </c>
      <c r="AG4" s="70" t="str">
        <f t="shared" si="1"/>
        <v>Wed</v>
      </c>
      <c r="AH4" s="68" t="str">
        <f>'Setting key Duty'!$B7</f>
        <v>DM</v>
      </c>
      <c r="AI4" s="68" t="str">
        <f>'Setting key Duty'!$B8</f>
        <v>CS1</v>
      </c>
      <c r="AJ4" s="68" t="str">
        <f>'Setting key Duty'!$B9</f>
        <v>CS2</v>
      </c>
      <c r="AK4" s="68" t="str">
        <f>'Setting key Duty'!$B10</f>
        <v>CS/B</v>
      </c>
      <c r="AL4" s="68" t="str">
        <f>'Setting key Duty'!$B11</f>
        <v>SB1</v>
      </c>
      <c r="AM4" s="68" t="str">
        <f>'Setting key Duty'!$B12</f>
        <v>SB2</v>
      </c>
      <c r="AN4" s="68" t="str">
        <f>'Setting key Duty'!$B13</f>
        <v>AE</v>
      </c>
      <c r="AO4" s="68" t="str">
        <f>'Setting key Duty'!$B16</f>
        <v>Outfield Reserve</v>
      </c>
      <c r="AP4" s="68" t="str">
        <f>'Setting key Duty'!B14</f>
        <v>EM</v>
      </c>
      <c r="AQ4" s="72"/>
      <c r="AR4" s="72"/>
      <c r="AS4" s="68"/>
      <c r="AT4" s="68"/>
      <c r="AU4" s="68"/>
      <c r="AV4" s="68"/>
      <c r="AW4" s="68"/>
      <c r="AX4" s="68"/>
      <c r="AY4" s="68"/>
      <c r="AZ4" s="68"/>
      <c r="BA4" s="73"/>
      <c r="BB4" s="73"/>
      <c r="BC4" s="68"/>
      <c r="BD4" s="68" t="s">
        <v>46</v>
      </c>
      <c r="BE4" s="68"/>
      <c r="BF4" s="68" t="s">
        <v>48</v>
      </c>
      <c r="BG4" s="68"/>
      <c r="BH4" s="68" t="s">
        <v>50</v>
      </c>
      <c r="BI4" s="68"/>
      <c r="BJ4" s="68" t="s">
        <v>51</v>
      </c>
      <c r="BK4" s="68"/>
      <c r="BL4" s="68" t="str">
        <f>'Setting key Duty'!B52</f>
        <v>$FC</v>
      </c>
      <c r="BM4" s="68"/>
      <c r="BN4" s="68">
        <f>'Setting key Duty'!$B15</f>
        <v>0</v>
      </c>
      <c r="BO4" s="68" t="str">
        <f>'Setting key Duty'!B17</f>
        <v>RESERVE</v>
      </c>
      <c r="BP4" s="68" t="str">
        <f>'Setting key Duty'!$B22</f>
        <v>AL</v>
      </c>
      <c r="BQ4" s="68"/>
    </row>
    <row r="5" ht="87" customHeight="1" spans="1:69">
      <c r="A5" s="67"/>
      <c r="B5" s="74" t="s">
        <v>565</v>
      </c>
      <c r="C5" s="107"/>
      <c r="D5" s="107" t="s">
        <v>709</v>
      </c>
      <c r="E5" s="136"/>
      <c r="F5" s="60"/>
      <c r="G5" s="60" t="s">
        <v>150</v>
      </c>
      <c r="H5" s="60" t="s">
        <v>671</v>
      </c>
      <c r="I5" s="60"/>
      <c r="J5" s="60" t="s">
        <v>55</v>
      </c>
      <c r="K5" s="60" t="s">
        <v>57</v>
      </c>
      <c r="L5" s="136"/>
      <c r="M5" s="53" t="s">
        <v>709</v>
      </c>
      <c r="N5" s="136"/>
      <c r="O5" s="60"/>
      <c r="P5" s="60" t="s">
        <v>56</v>
      </c>
      <c r="Q5" s="136"/>
      <c r="R5" s="1" t="s">
        <v>350</v>
      </c>
      <c r="T5" s="53" t="s">
        <v>868</v>
      </c>
      <c r="U5" s="60" t="s">
        <v>869</v>
      </c>
      <c r="V5" s="60" t="s">
        <v>869</v>
      </c>
      <c r="W5" s="60" t="s">
        <v>869</v>
      </c>
      <c r="X5" s="60" t="s">
        <v>869</v>
      </c>
      <c r="Y5" s="60" t="s">
        <v>93</v>
      </c>
      <c r="Z5" s="60" t="s">
        <v>869</v>
      </c>
      <c r="AA5" s="60" t="s">
        <v>869</v>
      </c>
      <c r="AB5" s="60" t="s">
        <v>869</v>
      </c>
      <c r="AC5" s="60" t="s">
        <v>869</v>
      </c>
      <c r="AD5" s="60" t="s">
        <v>869</v>
      </c>
      <c r="AE5" s="60" t="s">
        <v>869</v>
      </c>
      <c r="AF5" s="60" t="s">
        <v>869</v>
      </c>
      <c r="AG5" s="60" t="s">
        <v>869</v>
      </c>
      <c r="AH5" s="67">
        <f t="shared" ref="AH5:AP5" si="2">COUNTIF($C5:$AF5,AH$4)</f>
        <v>1</v>
      </c>
      <c r="AI5" s="67">
        <f t="shared" si="2"/>
        <v>1</v>
      </c>
      <c r="AJ5" s="67">
        <f t="shared" si="2"/>
        <v>0</v>
      </c>
      <c r="AK5" s="67">
        <f t="shared" si="2"/>
        <v>0</v>
      </c>
      <c r="AL5" s="67">
        <f t="shared" si="2"/>
        <v>0</v>
      </c>
      <c r="AM5" s="67">
        <f t="shared" si="2"/>
        <v>1</v>
      </c>
      <c r="AN5" s="67">
        <f t="shared" si="2"/>
        <v>0</v>
      </c>
      <c r="AO5" s="67">
        <f t="shared" si="2"/>
        <v>0</v>
      </c>
      <c r="AP5" s="67">
        <f t="shared" si="2"/>
        <v>0</v>
      </c>
      <c r="AQ5" s="76"/>
      <c r="AR5" s="76">
        <v>0.5</v>
      </c>
      <c r="AS5" s="77">
        <f>SUMPRODUCT(--(WEEKDAY(C$3:AG$3,2)&lt;5),--ISNUMBER(MATCH(C5:AG5,{"DM","CS1","CS2","SB1","AE","CS/B"},0)))</f>
        <v>1</v>
      </c>
      <c r="AT5" s="77"/>
      <c r="AU5" s="77">
        <f>SUMPRODUCT(--(WEEKDAY(C$3:AG$3,2)=5),--ISNUMBER(MATCH(C5:AG5,{"DM","CS1","CS2","SB1","AE","CS/B","WEEKEND OUTFIELD RESERVE"},0)))</f>
        <v>0</v>
      </c>
      <c r="AV5" s="77">
        <f>SUMPRODUCT(--(WEEKDAY(C$3:AG$3,2)&gt;5),--ISNUMBER(MATCH(C5:AG5,{"DM","CS1","CS2","SB1","AE","CS/B","WEEKEND OUTFIELD RESERVE"},0)))</f>
        <v>1</v>
      </c>
      <c r="AW5" s="77"/>
      <c r="AX5" s="77">
        <f t="shared" ref="AX5:AX37" si="3">(AS5-AT5)+AU5*1.5+(AV5-AW5)*2+AM5*0.5+AO5*0.5+AQ5-AR5</f>
        <v>3</v>
      </c>
      <c r="AY5" s="77">
        <f t="shared" ref="AY5:AY37" si="4">AS5+AU5+AV5</f>
        <v>2</v>
      </c>
      <c r="AZ5" s="77">
        <f t="shared" ref="AZ5:AZ37" si="5">BD5+BF5+BH5+BJ5+BL5</f>
        <v>1</v>
      </c>
      <c r="BA5" s="76">
        <f t="shared" ref="BA5:BA37" si="6">AX5+BC5</f>
        <v>4</v>
      </c>
      <c r="BB5" s="76">
        <f t="shared" ref="BB5:BB14" si="7">(BA5-5)</f>
        <v>-1</v>
      </c>
      <c r="BC5" s="77">
        <f t="shared" ref="BC5:BC37" si="8">BE5+BG5+BI5+BK5+BM5</f>
        <v>1</v>
      </c>
      <c r="BD5" s="77">
        <f t="shared" ref="BD5:BD37" si="9">COUNTIF(A5:AH5,"*$BTP*")</f>
        <v>0</v>
      </c>
      <c r="BE5" s="77">
        <f t="shared" ref="BE5:BE37" si="10">BD5*1.5</f>
        <v>0</v>
      </c>
      <c r="BF5" s="77">
        <f t="shared" ref="BF5:BF37" si="11">COUNTIF(A5:AH5,"*$M*")</f>
        <v>1</v>
      </c>
      <c r="BG5" s="77">
        <f t="shared" ref="BG5:BG37" si="12">BF5*1</f>
        <v>1</v>
      </c>
      <c r="BH5" s="77">
        <f t="shared" ref="BH5:BH37" si="13">COUNTIF(A5:AH5,"*$PM*")</f>
        <v>0</v>
      </c>
      <c r="BI5" s="77">
        <f t="shared" ref="BI5:BI37" si="14">BH5*0.5</f>
        <v>0</v>
      </c>
      <c r="BJ5" s="77">
        <f t="shared" ref="BJ5:BJ37" si="15">COUNTIF(A5:AH5,"*$AM*")</f>
        <v>0</v>
      </c>
      <c r="BK5" s="77">
        <f t="shared" ref="BK5:BK37" si="16">BJ5*0.5</f>
        <v>0</v>
      </c>
      <c r="BL5" s="77">
        <f t="shared" ref="BL5:BL37" si="17">COUNTIF(A5:AH5,"*$FC*")</f>
        <v>0</v>
      </c>
      <c r="BM5" s="77">
        <f t="shared" ref="BM5:BM37" si="18">BL5*1</f>
        <v>0</v>
      </c>
      <c r="BN5" s="77">
        <f>COUNTIF($D5:$Z5,BN$4)</f>
        <v>0</v>
      </c>
      <c r="BO5" s="77">
        <f>COUNTIF($D5:$Z5,BO$4)</f>
        <v>1</v>
      </c>
      <c r="BP5" s="77">
        <f>COUNTIF($D5:$Z5,BP$4)</f>
        <v>1</v>
      </c>
      <c r="BQ5" s="77"/>
    </row>
    <row r="6" ht="73.5" customHeight="1" spans="1:69">
      <c r="A6" s="67"/>
      <c r="B6" s="77" t="s">
        <v>567</v>
      </c>
      <c r="C6" s="110"/>
      <c r="D6" s="110" t="s">
        <v>57</v>
      </c>
      <c r="E6" s="136"/>
      <c r="F6" s="60" t="s">
        <v>150</v>
      </c>
      <c r="G6" s="60" t="s">
        <v>150</v>
      </c>
      <c r="H6" s="60" t="s">
        <v>671</v>
      </c>
      <c r="I6" s="60"/>
      <c r="J6" s="60"/>
      <c r="K6" s="60"/>
      <c r="L6" s="60"/>
      <c r="M6" s="136"/>
      <c r="N6" s="60"/>
      <c r="O6" s="60" t="s">
        <v>56</v>
      </c>
      <c r="P6" s="60"/>
      <c r="Q6" s="53" t="s">
        <v>672</v>
      </c>
      <c r="R6" s="53" t="s">
        <v>672</v>
      </c>
      <c r="S6" s="53" t="s">
        <v>672</v>
      </c>
      <c r="T6" s="53" t="s">
        <v>672</v>
      </c>
      <c r="U6" s="53" t="s">
        <v>672</v>
      </c>
      <c r="V6" s="53" t="s">
        <v>672</v>
      </c>
      <c r="W6" s="53" t="s">
        <v>672</v>
      </c>
      <c r="X6" s="60" t="s">
        <v>57</v>
      </c>
      <c r="Y6" s="136" t="s">
        <v>69</v>
      </c>
      <c r="Z6" s="60" t="s">
        <v>57</v>
      </c>
      <c r="AA6" s="136"/>
      <c r="AB6" s="60" t="s">
        <v>93</v>
      </c>
      <c r="AC6" s="136"/>
      <c r="AD6" s="60"/>
      <c r="AE6" s="136"/>
      <c r="AF6" s="136" t="s">
        <v>56</v>
      </c>
      <c r="AG6" s="60"/>
      <c r="AH6" s="67">
        <f t="shared" ref="AH6:AP6" si="19">COUNTIF($C6:$AF6,AH$4)</f>
        <v>3</v>
      </c>
      <c r="AI6" s="67">
        <f t="shared" si="19"/>
        <v>2</v>
      </c>
      <c r="AJ6" s="67">
        <f t="shared" si="19"/>
        <v>0</v>
      </c>
      <c r="AK6" s="67">
        <f t="shared" si="19"/>
        <v>0</v>
      </c>
      <c r="AL6" s="67">
        <f t="shared" si="19"/>
        <v>0</v>
      </c>
      <c r="AM6" s="67">
        <f t="shared" si="19"/>
        <v>1</v>
      </c>
      <c r="AN6" s="67">
        <f t="shared" si="19"/>
        <v>0</v>
      </c>
      <c r="AO6" s="67">
        <f t="shared" si="19"/>
        <v>0</v>
      </c>
      <c r="AP6" s="67">
        <f t="shared" si="19"/>
        <v>0</v>
      </c>
      <c r="AQ6" s="76"/>
      <c r="AR6" s="76">
        <v>5</v>
      </c>
      <c r="AS6" s="77">
        <f>SUMPRODUCT(--(WEEKDAY(C$3:AG$3,2)&lt;5),--ISNUMBER(MATCH(C6:AG6,{"DM","CS1","CS2","SB1","AE","CS/B"},0)))</f>
        <v>4</v>
      </c>
      <c r="AT6" s="77"/>
      <c r="AU6" s="77">
        <f>SUMPRODUCT(--(WEEKDAY(C$3:AG$3,2)=5),--ISNUMBER(MATCH(C6:AG6,{"DM","CS1","CS2","SB1","AE","CS/B","WEEKEND OUTFIELD RESERVE"},0)))</f>
        <v>0</v>
      </c>
      <c r="AV6" s="77">
        <f>SUMPRODUCT(--(WEEKDAY(C$3:AG$3,2)&gt;5),--ISNUMBER(MATCH(C6:AG6,{"DM","CS1","CS2","SB1","AE","CS/B","WEEKEND OUTFIELD RESERVE"},0)))</f>
        <v>1</v>
      </c>
      <c r="AW6" s="77"/>
      <c r="AX6" s="77">
        <f t="shared" si="3"/>
        <v>1.5</v>
      </c>
      <c r="AY6" s="77">
        <f t="shared" si="4"/>
        <v>5</v>
      </c>
      <c r="AZ6" s="77">
        <f t="shared" si="5"/>
        <v>1</v>
      </c>
      <c r="BA6" s="76">
        <f t="shared" si="6"/>
        <v>2.5</v>
      </c>
      <c r="BB6" s="76">
        <f t="shared" si="7"/>
        <v>-2.5</v>
      </c>
      <c r="BC6" s="77">
        <f t="shared" si="8"/>
        <v>1</v>
      </c>
      <c r="BD6" s="77">
        <f t="shared" si="9"/>
        <v>0</v>
      </c>
      <c r="BE6" s="77">
        <f t="shared" si="10"/>
        <v>0</v>
      </c>
      <c r="BF6" s="77">
        <f t="shared" si="11"/>
        <v>1</v>
      </c>
      <c r="BG6" s="77">
        <f t="shared" si="12"/>
        <v>1</v>
      </c>
      <c r="BH6" s="77">
        <f t="shared" si="13"/>
        <v>0</v>
      </c>
      <c r="BI6" s="77">
        <f t="shared" si="14"/>
        <v>0</v>
      </c>
      <c r="BJ6" s="77">
        <f t="shared" si="15"/>
        <v>0</v>
      </c>
      <c r="BK6" s="77">
        <f t="shared" si="16"/>
        <v>0</v>
      </c>
      <c r="BL6" s="77">
        <f t="shared" si="17"/>
        <v>0</v>
      </c>
      <c r="BM6" s="77">
        <f t="shared" si="18"/>
        <v>0</v>
      </c>
      <c r="BN6" s="77">
        <f>COUNTIF($D6:$AA6,BN$4)</f>
        <v>0</v>
      </c>
      <c r="BO6" s="77">
        <f>COUNTIF($D6:$AA6,BO$4)</f>
        <v>0</v>
      </c>
      <c r="BP6" s="77">
        <f>COUNTIF($D6:$AA6,BP$4)</f>
        <v>0</v>
      </c>
      <c r="BQ6" s="77"/>
    </row>
    <row r="7" ht="80.25" customHeight="1" spans="1:69">
      <c r="A7" s="67"/>
      <c r="B7" s="74" t="s">
        <v>766</v>
      </c>
      <c r="C7" s="110"/>
      <c r="D7" s="60"/>
      <c r="E7" s="53" t="s">
        <v>57</v>
      </c>
      <c r="F7" s="60"/>
      <c r="G7" s="60" t="s">
        <v>870</v>
      </c>
      <c r="H7" s="53"/>
      <c r="I7" s="60"/>
      <c r="J7" s="60" t="s">
        <v>870</v>
      </c>
      <c r="K7" s="60"/>
      <c r="L7" s="60" t="s">
        <v>57</v>
      </c>
      <c r="M7" s="60"/>
      <c r="N7" s="53"/>
      <c r="O7" s="60"/>
      <c r="P7" s="60"/>
      <c r="Q7" s="53" t="s">
        <v>55</v>
      </c>
      <c r="R7" s="60" t="s">
        <v>55</v>
      </c>
      <c r="S7" s="60" t="s">
        <v>55</v>
      </c>
      <c r="T7" s="53" t="s">
        <v>55</v>
      </c>
      <c r="U7" s="60" t="s">
        <v>55</v>
      </c>
      <c r="V7" s="60"/>
      <c r="W7" s="60"/>
      <c r="X7" s="60" t="s">
        <v>253</v>
      </c>
      <c r="Y7" s="60"/>
      <c r="Z7" s="60"/>
      <c r="AA7" s="110" t="s">
        <v>350</v>
      </c>
      <c r="AB7" s="60"/>
      <c r="AC7" s="60" t="s">
        <v>57</v>
      </c>
      <c r="AD7" s="60"/>
      <c r="AE7" s="136"/>
      <c r="AF7" s="60"/>
      <c r="AG7" s="60"/>
      <c r="AH7" s="67">
        <f t="shared" ref="AH7:AP7" si="20">COUNTIF($C7:$AF7,AH$4)</f>
        <v>3</v>
      </c>
      <c r="AI7" s="67">
        <f t="shared" si="20"/>
        <v>0</v>
      </c>
      <c r="AJ7" s="67">
        <f t="shared" si="20"/>
        <v>0</v>
      </c>
      <c r="AK7" s="67">
        <f t="shared" si="20"/>
        <v>0</v>
      </c>
      <c r="AL7" s="67">
        <f t="shared" si="20"/>
        <v>0</v>
      </c>
      <c r="AM7" s="67">
        <f t="shared" si="20"/>
        <v>0</v>
      </c>
      <c r="AN7" s="67">
        <f t="shared" si="20"/>
        <v>0</v>
      </c>
      <c r="AO7" s="67">
        <f t="shared" si="20"/>
        <v>0</v>
      </c>
      <c r="AP7" s="67">
        <f t="shared" si="20"/>
        <v>0</v>
      </c>
      <c r="AQ7" s="76">
        <v>1</v>
      </c>
      <c r="AR7" s="76"/>
      <c r="AS7" s="77">
        <f>SUMPRODUCT(--(WEEKDAY(C$3:AG$3,2)&lt;5),--ISNUMBER(MATCH(C7:AG7,{"DM","CS1","CS2","SB1","AE","CS/B"},0)))</f>
        <v>2</v>
      </c>
      <c r="AT7" s="77"/>
      <c r="AU7" s="77">
        <f>SUMPRODUCT(--(WEEKDAY(C$3:AG$3,2)=5),--ISNUMBER(MATCH(C7:AG7,{"DM","CS1","CS2","SB1","AE","CS/B","WEEKEND OUTFIELD RESERVE"},0)))</f>
        <v>0</v>
      </c>
      <c r="AV7" s="77">
        <f>SUMPRODUCT(--(WEEKDAY(C$3:AG$3,2)&gt;5),--ISNUMBER(MATCH(C7:AG7,{"DM","CS1","CS2","SB1","AE","CS/B","WEEKEND OUTFIELD RESERVE"},0)))</f>
        <v>1</v>
      </c>
      <c r="AW7" s="77"/>
      <c r="AX7" s="77">
        <f t="shared" si="3"/>
        <v>5</v>
      </c>
      <c r="AY7" s="77">
        <f t="shared" si="4"/>
        <v>3</v>
      </c>
      <c r="AZ7" s="77">
        <f t="shared" si="5"/>
        <v>0</v>
      </c>
      <c r="BA7" s="76">
        <f t="shared" si="6"/>
        <v>5</v>
      </c>
      <c r="BB7" s="76">
        <f t="shared" si="7"/>
        <v>0</v>
      </c>
      <c r="BC7" s="77">
        <f t="shared" si="8"/>
        <v>0</v>
      </c>
      <c r="BD7" s="77">
        <f t="shared" si="9"/>
        <v>0</v>
      </c>
      <c r="BE7" s="77">
        <f t="shared" si="10"/>
        <v>0</v>
      </c>
      <c r="BF7" s="77">
        <f t="shared" si="11"/>
        <v>0</v>
      </c>
      <c r="BG7" s="77">
        <f t="shared" si="12"/>
        <v>0</v>
      </c>
      <c r="BH7" s="77">
        <f t="shared" si="13"/>
        <v>0</v>
      </c>
      <c r="BI7" s="77">
        <f t="shared" si="14"/>
        <v>0</v>
      </c>
      <c r="BJ7" s="77">
        <f t="shared" si="15"/>
        <v>0</v>
      </c>
      <c r="BK7" s="77">
        <f t="shared" si="16"/>
        <v>0</v>
      </c>
      <c r="BL7" s="77">
        <f t="shared" si="17"/>
        <v>0</v>
      </c>
      <c r="BM7" s="77">
        <f t="shared" si="18"/>
        <v>0</v>
      </c>
      <c r="BN7" s="77">
        <f>COUNTIF($D7:$AA7,BN$4)</f>
        <v>0</v>
      </c>
      <c r="BO7" s="77">
        <f>COUNTIF($D7:$AA7,BO$4)</f>
        <v>1</v>
      </c>
      <c r="BP7" s="77">
        <f>COUNTIF($D7:$AA7,BP$4)</f>
        <v>5</v>
      </c>
      <c r="BQ7" s="77"/>
    </row>
    <row r="8" ht="19.5" customHeight="1" spans="1:69">
      <c r="A8" s="67"/>
      <c r="B8" s="74" t="s">
        <v>574</v>
      </c>
      <c r="C8" s="53"/>
      <c r="D8" s="60" t="s">
        <v>58</v>
      </c>
      <c r="E8" s="136"/>
      <c r="F8" s="60" t="s">
        <v>150</v>
      </c>
      <c r="G8" s="60" t="s">
        <v>150</v>
      </c>
      <c r="H8" s="60" t="s">
        <v>671</v>
      </c>
      <c r="I8" s="60"/>
      <c r="J8" s="110" t="s">
        <v>350</v>
      </c>
      <c r="K8" s="60"/>
      <c r="L8" s="136"/>
      <c r="M8" s="53"/>
      <c r="N8" s="60"/>
      <c r="P8" s="60"/>
      <c r="Q8" s="136"/>
      <c r="R8" s="136" t="s">
        <v>573</v>
      </c>
      <c r="S8" s="60"/>
      <c r="T8" s="53" t="s">
        <v>57</v>
      </c>
      <c r="U8" s="136"/>
      <c r="V8" s="60" t="s">
        <v>57</v>
      </c>
      <c r="W8" s="60"/>
      <c r="X8" s="53"/>
      <c r="Y8" s="60" t="s">
        <v>57</v>
      </c>
      <c r="Z8" s="136"/>
      <c r="AA8" s="136"/>
      <c r="AC8" s="53"/>
      <c r="AD8" s="60"/>
      <c r="AE8" s="60"/>
      <c r="AF8" s="60"/>
      <c r="AG8" s="60"/>
      <c r="AH8" s="67">
        <f t="shared" ref="AH8:AP8" si="21">COUNTIF($C8:$AF8,AH$4)</f>
        <v>3</v>
      </c>
      <c r="AI8" s="67">
        <f t="shared" si="21"/>
        <v>0</v>
      </c>
      <c r="AJ8" s="67">
        <f t="shared" si="21"/>
        <v>0</v>
      </c>
      <c r="AK8" s="67">
        <f t="shared" si="21"/>
        <v>0</v>
      </c>
      <c r="AL8" s="67">
        <f t="shared" si="21"/>
        <v>1</v>
      </c>
      <c r="AM8" s="67">
        <f t="shared" si="21"/>
        <v>0</v>
      </c>
      <c r="AN8" s="67">
        <f t="shared" si="21"/>
        <v>0</v>
      </c>
      <c r="AO8" s="67">
        <f t="shared" si="21"/>
        <v>0</v>
      </c>
      <c r="AP8" s="67">
        <f t="shared" si="21"/>
        <v>0</v>
      </c>
      <c r="AQ8" s="76">
        <v>0</v>
      </c>
      <c r="AR8" s="76"/>
      <c r="AS8" s="77">
        <f>SUMPRODUCT(--(WEEKDAY(C$3:AG$3,2)&lt;5),--ISNUMBER(MATCH(C8:AG8,{"DM","CS1","CS2","SB1","AE","CS/B"},0)))</f>
        <v>3</v>
      </c>
      <c r="AT8" s="77"/>
      <c r="AU8" s="77">
        <f>SUMPRODUCT(--(WEEKDAY(C$3:AG$3,2)=5),--ISNUMBER(MATCH(C8:AG8,{"DM","CS1","CS2","SB1","AE","CS/B","WEEKEND OUTFIELD RESERVE"},0)))</f>
        <v>0</v>
      </c>
      <c r="AV8" s="77">
        <f>SUMPRODUCT(--(WEEKDAY(C$3:AG$3,2)&gt;5),--ISNUMBER(MATCH(C8:AG8,{"DM","CS1","CS2","SB1","AE","CS/B","WEEKEND OUTFIELD RESERVE"},0)))</f>
        <v>1</v>
      </c>
      <c r="AW8" s="77"/>
      <c r="AX8" s="77">
        <f t="shared" si="3"/>
        <v>5</v>
      </c>
      <c r="AY8" s="77">
        <f t="shared" si="4"/>
        <v>4</v>
      </c>
      <c r="AZ8" s="77">
        <f t="shared" si="5"/>
        <v>1</v>
      </c>
      <c r="BA8" s="76">
        <f t="shared" si="6"/>
        <v>6</v>
      </c>
      <c r="BB8" s="76">
        <f t="shared" si="7"/>
        <v>1</v>
      </c>
      <c r="BC8" s="77">
        <f t="shared" si="8"/>
        <v>1</v>
      </c>
      <c r="BD8" s="77">
        <f t="shared" si="9"/>
        <v>0</v>
      </c>
      <c r="BE8" s="77">
        <f t="shared" si="10"/>
        <v>0</v>
      </c>
      <c r="BF8" s="77">
        <f t="shared" si="11"/>
        <v>1</v>
      </c>
      <c r="BG8" s="77">
        <f t="shared" si="12"/>
        <v>1</v>
      </c>
      <c r="BH8" s="77">
        <f t="shared" si="13"/>
        <v>0</v>
      </c>
      <c r="BI8" s="77">
        <f t="shared" si="14"/>
        <v>0</v>
      </c>
      <c r="BJ8" s="77">
        <f t="shared" si="15"/>
        <v>0</v>
      </c>
      <c r="BK8" s="77">
        <f t="shared" si="16"/>
        <v>0</v>
      </c>
      <c r="BL8" s="77">
        <f t="shared" si="17"/>
        <v>0</v>
      </c>
      <c r="BM8" s="77">
        <f t="shared" si="18"/>
        <v>0</v>
      </c>
      <c r="BN8" s="77">
        <f>COUNTIF($D8:$X8,BN$4)</f>
        <v>0</v>
      </c>
      <c r="BO8" s="77">
        <f>COUNTIF($D8:$X8,BO$4)</f>
        <v>1</v>
      </c>
      <c r="BP8" s="77">
        <f>COUNTIF($D8:$X8,BP$4)</f>
        <v>0</v>
      </c>
      <c r="BQ8" s="77"/>
    </row>
    <row r="9" ht="56.25" customHeight="1" spans="1:69">
      <c r="A9" s="67"/>
      <c r="B9" s="77" t="s">
        <v>714</v>
      </c>
      <c r="C9" s="74" t="s">
        <v>350</v>
      </c>
      <c r="D9" s="60"/>
      <c r="E9" s="136" t="s">
        <v>573</v>
      </c>
      <c r="F9" s="60" t="s">
        <v>150</v>
      </c>
      <c r="G9" s="60" t="s">
        <v>150</v>
      </c>
      <c r="H9" s="53" t="s">
        <v>671</v>
      </c>
      <c r="I9" s="60"/>
      <c r="J9" s="60"/>
      <c r="K9" s="60"/>
      <c r="L9" s="60"/>
      <c r="M9" s="60"/>
      <c r="N9" s="60" t="s">
        <v>56</v>
      </c>
      <c r="O9" s="60"/>
      <c r="P9" s="60"/>
      <c r="Q9" s="136"/>
      <c r="R9" s="136"/>
      <c r="S9" s="60" t="s">
        <v>59</v>
      </c>
      <c r="T9" s="136"/>
      <c r="U9" s="110" t="s">
        <v>350</v>
      </c>
      <c r="V9" s="60"/>
      <c r="W9" s="53" t="s">
        <v>56</v>
      </c>
      <c r="X9" s="60"/>
      <c r="Y9" s="60"/>
      <c r="Z9" s="53"/>
      <c r="AA9" s="60"/>
      <c r="AB9" s="53" t="s">
        <v>770</v>
      </c>
      <c r="AC9" s="60"/>
      <c r="AD9" s="60"/>
      <c r="AE9" s="60" t="s">
        <v>57</v>
      </c>
      <c r="AF9" s="60"/>
      <c r="AG9" s="60"/>
      <c r="AH9" s="67">
        <f t="shared" ref="AH9:AP9" si="22">COUNTIF($C9:$AF9,AH$4)</f>
        <v>1</v>
      </c>
      <c r="AI9" s="67">
        <f t="shared" si="22"/>
        <v>2</v>
      </c>
      <c r="AJ9" s="67">
        <f t="shared" si="22"/>
        <v>1</v>
      </c>
      <c r="AK9" s="67">
        <f t="shared" si="22"/>
        <v>0</v>
      </c>
      <c r="AL9" s="67">
        <f t="shared" si="22"/>
        <v>0</v>
      </c>
      <c r="AM9" s="67">
        <f t="shared" si="22"/>
        <v>0</v>
      </c>
      <c r="AN9" s="67">
        <f t="shared" si="22"/>
        <v>0</v>
      </c>
      <c r="AO9" s="67">
        <f t="shared" si="22"/>
        <v>0</v>
      </c>
      <c r="AP9" s="67">
        <f t="shared" si="22"/>
        <v>0</v>
      </c>
      <c r="AQ9" s="76">
        <v>0.5</v>
      </c>
      <c r="AR9" s="76"/>
      <c r="AS9" s="77">
        <f>SUMPRODUCT(--(WEEKDAY(C$3:AG$3,2)&lt;5),--ISNUMBER(MATCH(C9:AG9,{"DM","CS1","CS2","SB1","AE","CS/B"},0)))</f>
        <v>2</v>
      </c>
      <c r="AT9" s="77"/>
      <c r="AU9" s="77">
        <f>SUMPRODUCT(--(WEEKDAY(C$3:AG$3,2)=5),--ISNUMBER(MATCH(C9:AG9,{"DM","CS1","CS2","SB1","AE","CS/B","WEEKEND OUTFIELD RESERVE"},0)))</f>
        <v>1</v>
      </c>
      <c r="AV9" s="77">
        <f>SUMPRODUCT(--(WEEKDAY(C$3:AG$3,2)&gt;5),--ISNUMBER(MATCH(C9:AG9,{"DM","CS1","CS2","SB1","AE","CS/B","WEEKEND OUTFIELD RESERVE"},0)))</f>
        <v>1</v>
      </c>
      <c r="AW9" s="77"/>
      <c r="AX9" s="77">
        <f t="shared" si="3"/>
        <v>6</v>
      </c>
      <c r="AY9" s="77">
        <f t="shared" si="4"/>
        <v>4</v>
      </c>
      <c r="AZ9" s="77">
        <f t="shared" si="5"/>
        <v>1</v>
      </c>
      <c r="BA9" s="76">
        <f t="shared" si="6"/>
        <v>7</v>
      </c>
      <c r="BB9" s="76">
        <f t="shared" si="7"/>
        <v>2</v>
      </c>
      <c r="BC9" s="77">
        <f t="shared" si="8"/>
        <v>1</v>
      </c>
      <c r="BD9" s="77">
        <f t="shared" si="9"/>
        <v>0</v>
      </c>
      <c r="BE9" s="77">
        <f t="shared" si="10"/>
        <v>0</v>
      </c>
      <c r="BF9" s="77">
        <f t="shared" si="11"/>
        <v>1</v>
      </c>
      <c r="BG9" s="77">
        <f t="shared" si="12"/>
        <v>1</v>
      </c>
      <c r="BH9" s="77">
        <f t="shared" si="13"/>
        <v>0</v>
      </c>
      <c r="BI9" s="77">
        <f t="shared" si="14"/>
        <v>0</v>
      </c>
      <c r="BJ9" s="77">
        <f t="shared" si="15"/>
        <v>0</v>
      </c>
      <c r="BK9" s="77">
        <f t="shared" si="16"/>
        <v>0</v>
      </c>
      <c r="BL9" s="77">
        <f t="shared" si="17"/>
        <v>0</v>
      </c>
      <c r="BM9" s="77">
        <f t="shared" si="18"/>
        <v>0</v>
      </c>
      <c r="BN9" s="77">
        <f t="shared" ref="BN9:BN16" si="23">COUNTIF($D9:$AA9,BN$4)</f>
        <v>0</v>
      </c>
      <c r="BO9" s="77">
        <f t="shared" ref="BO9:BO16" si="24">COUNTIF($D9:$AA9,BO$4)</f>
        <v>1</v>
      </c>
      <c r="BP9" s="77">
        <f t="shared" ref="BP9:BP16" si="25">COUNTIF($D9:$AA9,BP$4)</f>
        <v>0</v>
      </c>
      <c r="BQ9" s="77"/>
    </row>
    <row r="10" ht="19.5" customHeight="1" spans="1:69">
      <c r="A10" s="67"/>
      <c r="B10" s="77" t="s">
        <v>715</v>
      </c>
      <c r="C10" s="110"/>
      <c r="D10" s="110" t="s">
        <v>350</v>
      </c>
      <c r="E10" s="60"/>
      <c r="F10" s="60" t="s">
        <v>150</v>
      </c>
      <c r="G10" s="60" t="s">
        <v>150</v>
      </c>
      <c r="H10" s="60" t="s">
        <v>671</v>
      </c>
      <c r="I10" s="53"/>
      <c r="J10" s="60"/>
      <c r="K10" s="60"/>
      <c r="L10" s="60" t="s">
        <v>54</v>
      </c>
      <c r="M10" s="60" t="s">
        <v>54</v>
      </c>
      <c r="N10" s="60" t="s">
        <v>54</v>
      </c>
      <c r="O10" s="53" t="s">
        <v>54</v>
      </c>
      <c r="P10" s="60"/>
      <c r="Q10" s="60"/>
      <c r="R10" s="60" t="s">
        <v>56</v>
      </c>
      <c r="S10" s="60"/>
      <c r="T10" s="110" t="s">
        <v>59</v>
      </c>
      <c r="U10" s="136"/>
      <c r="V10" s="136"/>
      <c r="W10" s="60"/>
      <c r="X10" s="60" t="s">
        <v>65</v>
      </c>
      <c r="Y10" s="60" t="s">
        <v>573</v>
      </c>
      <c r="Z10" s="60"/>
      <c r="AB10" s="53" t="s">
        <v>57</v>
      </c>
      <c r="AC10" s="60"/>
      <c r="AD10" s="60"/>
      <c r="AE10" s="60"/>
      <c r="AF10" s="1" t="s">
        <v>573</v>
      </c>
      <c r="AG10" s="60"/>
      <c r="AH10" s="67">
        <f t="shared" ref="AH10:AP10" si="26">COUNTIF($C10:$AF10,AH$4)</f>
        <v>1</v>
      </c>
      <c r="AI10" s="67">
        <f t="shared" si="26"/>
        <v>1</v>
      </c>
      <c r="AJ10" s="67">
        <f t="shared" si="26"/>
        <v>1</v>
      </c>
      <c r="AK10" s="67">
        <f t="shared" si="26"/>
        <v>0</v>
      </c>
      <c r="AL10" s="67">
        <f t="shared" si="26"/>
        <v>0</v>
      </c>
      <c r="AM10" s="67">
        <f t="shared" si="26"/>
        <v>0</v>
      </c>
      <c r="AN10" s="67">
        <f t="shared" si="26"/>
        <v>1</v>
      </c>
      <c r="AO10" s="67">
        <f t="shared" si="26"/>
        <v>0</v>
      </c>
      <c r="AP10" s="67">
        <f t="shared" si="26"/>
        <v>0</v>
      </c>
      <c r="AQ10" s="76">
        <v>2</v>
      </c>
      <c r="AR10" s="76"/>
      <c r="AS10" s="77">
        <f>SUMPRODUCT(--(WEEKDAY(C$3:AG$3,2)&lt;5),--ISNUMBER(MATCH(C10:AG10,{"DM","CS1","CS2","SB1","AE","CS/B"},0)))</f>
        <v>3</v>
      </c>
      <c r="AT10" s="77">
        <v>0</v>
      </c>
      <c r="AU10" s="77">
        <f>SUMPRODUCT(--(WEEKDAY(C$3:AG$3,2)=5),--ISNUMBER(MATCH(C10:AG10,{"DM","CS1","CS2","SB1","AE","CS/B","WEEKEND OUTFIELD RESERVE"},0)))</f>
        <v>1</v>
      </c>
      <c r="AV10" s="77">
        <f>SUMPRODUCT(--(WEEKDAY(C$3:AG$3,2)&gt;5),--ISNUMBER(MATCH(C10:AG10,{"DM","CS1","CS2","SB1","AE","CS/B","WEEKEND OUTFIELD RESERVE"},0)))</f>
        <v>0</v>
      </c>
      <c r="AW10" s="77"/>
      <c r="AX10" s="77">
        <f t="shared" si="3"/>
        <v>6.5</v>
      </c>
      <c r="AY10" s="77">
        <f t="shared" si="4"/>
        <v>4</v>
      </c>
      <c r="AZ10" s="77">
        <f t="shared" si="5"/>
        <v>1</v>
      </c>
      <c r="BA10" s="76">
        <f t="shared" si="6"/>
        <v>7.5</v>
      </c>
      <c r="BB10" s="76">
        <f t="shared" si="7"/>
        <v>2.5</v>
      </c>
      <c r="BC10" s="77">
        <f t="shared" si="8"/>
        <v>1</v>
      </c>
      <c r="BD10" s="77">
        <f t="shared" si="9"/>
        <v>0</v>
      </c>
      <c r="BE10" s="77">
        <f t="shared" si="10"/>
        <v>0</v>
      </c>
      <c r="BF10" s="77">
        <f t="shared" si="11"/>
        <v>1</v>
      </c>
      <c r="BG10" s="77">
        <f t="shared" si="12"/>
        <v>1</v>
      </c>
      <c r="BH10" s="77">
        <f t="shared" si="13"/>
        <v>0</v>
      </c>
      <c r="BI10" s="77">
        <f t="shared" si="14"/>
        <v>0</v>
      </c>
      <c r="BJ10" s="77">
        <f t="shared" si="15"/>
        <v>0</v>
      </c>
      <c r="BK10" s="77">
        <f t="shared" si="16"/>
        <v>0</v>
      </c>
      <c r="BL10" s="77">
        <f t="shared" si="17"/>
        <v>0</v>
      </c>
      <c r="BM10" s="77">
        <f t="shared" si="18"/>
        <v>0</v>
      </c>
      <c r="BN10" s="77">
        <f t="shared" si="23"/>
        <v>0</v>
      </c>
      <c r="BO10" s="77">
        <f t="shared" si="24"/>
        <v>1</v>
      </c>
      <c r="BP10" s="77">
        <f t="shared" si="25"/>
        <v>0</v>
      </c>
      <c r="BQ10" s="77"/>
    </row>
    <row r="11" ht="51" customHeight="1" spans="1:69">
      <c r="A11" s="67"/>
      <c r="B11" s="74" t="s">
        <v>584</v>
      </c>
      <c r="C11" s="110"/>
      <c r="D11" s="110"/>
      <c r="E11" s="60" t="s">
        <v>56</v>
      </c>
      <c r="F11" s="60"/>
      <c r="G11" s="60"/>
      <c r="H11" s="60" t="s">
        <v>57</v>
      </c>
      <c r="J11" s="60"/>
      <c r="K11" s="110" t="s">
        <v>350</v>
      </c>
      <c r="L11" s="60"/>
      <c r="M11" s="60" t="s">
        <v>56</v>
      </c>
      <c r="N11" s="60"/>
      <c r="O11" s="53"/>
      <c r="P11" s="60"/>
      <c r="Q11" s="60"/>
      <c r="R11" s="60" t="s">
        <v>59</v>
      </c>
      <c r="S11" s="60"/>
      <c r="T11" s="110"/>
      <c r="U11" s="136" t="s">
        <v>573</v>
      </c>
      <c r="V11" s="53"/>
      <c r="W11" s="60"/>
      <c r="X11" s="60" t="s">
        <v>56</v>
      </c>
      <c r="Y11" s="60"/>
      <c r="Z11" s="136"/>
      <c r="AA11" s="60" t="s">
        <v>56</v>
      </c>
      <c r="AB11" s="60"/>
      <c r="AC11" s="60"/>
      <c r="AD11" s="60" t="s">
        <v>57</v>
      </c>
      <c r="AE11" s="136" t="s">
        <v>573</v>
      </c>
      <c r="AF11" s="60"/>
      <c r="AG11" s="60"/>
      <c r="AH11" s="67">
        <f t="shared" ref="AH11:AP11" si="27">COUNTIF($C11:$AF11,AH$4)</f>
        <v>2</v>
      </c>
      <c r="AI11" s="67">
        <f t="shared" si="27"/>
        <v>4</v>
      </c>
      <c r="AJ11" s="67">
        <f t="shared" si="27"/>
        <v>1</v>
      </c>
      <c r="AK11" s="67">
        <f t="shared" si="27"/>
        <v>0</v>
      </c>
      <c r="AL11" s="67">
        <f t="shared" si="27"/>
        <v>0</v>
      </c>
      <c r="AM11" s="67">
        <f t="shared" si="27"/>
        <v>0</v>
      </c>
      <c r="AN11" s="67">
        <f t="shared" si="27"/>
        <v>0</v>
      </c>
      <c r="AO11" s="67">
        <f t="shared" si="27"/>
        <v>0</v>
      </c>
      <c r="AP11" s="67">
        <f t="shared" si="27"/>
        <v>0</v>
      </c>
      <c r="AQ11" s="76">
        <v>0</v>
      </c>
      <c r="AR11" s="76"/>
      <c r="AS11" s="77">
        <f>SUMPRODUCT(--(WEEKDAY(C$3:AG$3,2)&lt;5),--ISNUMBER(MATCH(C11:AG11,{"DM","CS1","CS2","SB1","AE","CS/B"},0)))</f>
        <v>5</v>
      </c>
      <c r="AT11" s="77"/>
      <c r="AU11" s="77">
        <f>SUMPRODUCT(--(WEEKDAY(C$3:AG$3,2)=5),--ISNUMBER(MATCH(C11:AG11,{"DM","CS1","CS2","SB1","AE","CS/B","WEEKEND OUTFIELD RESERVE"},0)))</f>
        <v>0</v>
      </c>
      <c r="AV11" s="77">
        <f>SUMPRODUCT(--(WEEKDAY(C$3:AG$3,2)&gt;5),--ISNUMBER(MATCH(C11:AG11,{"DM","CS1","CS2","SB1","AE","CS/B","WEEKEND OUTFIELD RESERVE"},0)))</f>
        <v>2</v>
      </c>
      <c r="AW11" s="77"/>
      <c r="AX11" s="77">
        <f t="shared" si="3"/>
        <v>9</v>
      </c>
      <c r="AY11" s="77">
        <f t="shared" si="4"/>
        <v>7</v>
      </c>
      <c r="AZ11" s="77">
        <f t="shared" si="5"/>
        <v>0</v>
      </c>
      <c r="BA11" s="76">
        <f t="shared" si="6"/>
        <v>9</v>
      </c>
      <c r="BB11" s="76">
        <f t="shared" si="7"/>
        <v>4</v>
      </c>
      <c r="BC11" s="77">
        <f t="shared" si="8"/>
        <v>0</v>
      </c>
      <c r="BD11" s="77">
        <f t="shared" si="9"/>
        <v>0</v>
      </c>
      <c r="BE11" s="77">
        <f t="shared" si="10"/>
        <v>0</v>
      </c>
      <c r="BF11" s="77">
        <f t="shared" si="11"/>
        <v>0</v>
      </c>
      <c r="BG11" s="77">
        <f t="shared" si="12"/>
        <v>0</v>
      </c>
      <c r="BH11" s="77">
        <f t="shared" si="13"/>
        <v>0</v>
      </c>
      <c r="BI11" s="77">
        <f t="shared" si="14"/>
        <v>0</v>
      </c>
      <c r="BJ11" s="77">
        <f t="shared" si="15"/>
        <v>0</v>
      </c>
      <c r="BK11" s="77">
        <f t="shared" si="16"/>
        <v>0</v>
      </c>
      <c r="BL11" s="77">
        <f t="shared" si="17"/>
        <v>0</v>
      </c>
      <c r="BM11" s="77">
        <f t="shared" si="18"/>
        <v>0</v>
      </c>
      <c r="BN11" s="77">
        <f t="shared" si="23"/>
        <v>0</v>
      </c>
      <c r="BO11" s="77">
        <f t="shared" si="24"/>
        <v>1</v>
      </c>
      <c r="BP11" s="77">
        <f t="shared" si="25"/>
        <v>0</v>
      </c>
      <c r="BQ11" s="77"/>
    </row>
    <row r="12" ht="45" customHeight="1" spans="1:69">
      <c r="A12" s="67"/>
      <c r="B12" s="74" t="s">
        <v>717</v>
      </c>
      <c r="C12" s="107" t="s">
        <v>167</v>
      </c>
      <c r="D12" s="107" t="s">
        <v>167</v>
      </c>
      <c r="E12" s="107" t="s">
        <v>167</v>
      </c>
      <c r="F12" s="107" t="s">
        <v>167</v>
      </c>
      <c r="G12" s="107" t="s">
        <v>167</v>
      </c>
      <c r="H12" s="107" t="s">
        <v>167</v>
      </c>
      <c r="I12" s="107" t="s">
        <v>167</v>
      </c>
      <c r="J12" s="107" t="s">
        <v>167</v>
      </c>
      <c r="K12" s="107" t="s">
        <v>167</v>
      </c>
      <c r="L12" s="107" t="s">
        <v>167</v>
      </c>
      <c r="M12" s="107" t="s">
        <v>167</v>
      </c>
      <c r="N12" s="107" t="s">
        <v>167</v>
      </c>
      <c r="O12" s="107" t="s">
        <v>167</v>
      </c>
      <c r="P12" s="107" t="s">
        <v>167</v>
      </c>
      <c r="Q12" s="107" t="s">
        <v>167</v>
      </c>
      <c r="R12" s="136"/>
      <c r="T12" s="60"/>
      <c r="U12" s="60" t="s">
        <v>54</v>
      </c>
      <c r="V12" s="60" t="s">
        <v>59</v>
      </c>
      <c r="W12" s="60"/>
      <c r="Y12" s="60"/>
      <c r="Z12" s="60"/>
      <c r="AA12" s="60"/>
      <c r="AB12" s="53"/>
      <c r="AD12" s="53"/>
      <c r="AE12" s="60"/>
      <c r="AF12" s="60"/>
      <c r="AG12" s="53"/>
      <c r="AH12" s="67">
        <f t="shared" ref="AH12:AP12" si="28">COUNTIF($C12:$AF12,AH$4)</f>
        <v>0</v>
      </c>
      <c r="AI12" s="67">
        <f t="shared" si="28"/>
        <v>0</v>
      </c>
      <c r="AJ12" s="67">
        <f t="shared" si="28"/>
        <v>1</v>
      </c>
      <c r="AK12" s="67">
        <f t="shared" si="28"/>
        <v>0</v>
      </c>
      <c r="AL12" s="67">
        <f t="shared" si="28"/>
        <v>0</v>
      </c>
      <c r="AM12" s="67">
        <f t="shared" si="28"/>
        <v>0</v>
      </c>
      <c r="AN12" s="67">
        <f t="shared" si="28"/>
        <v>0</v>
      </c>
      <c r="AO12" s="67">
        <f t="shared" si="28"/>
        <v>0</v>
      </c>
      <c r="AP12" s="67">
        <f t="shared" si="28"/>
        <v>0</v>
      </c>
      <c r="AQ12" s="76">
        <v>0</v>
      </c>
      <c r="AR12" s="76"/>
      <c r="AS12" s="77">
        <f>SUMPRODUCT(--(WEEKDAY(C$3:AG$3,2)&lt;5),--ISNUMBER(MATCH(C12:AG12,{"DM","CS1","CS2","SB1","AE","CS/B"},0)))</f>
        <v>0</v>
      </c>
      <c r="AT12" s="77"/>
      <c r="AU12" s="77">
        <f>SUMPRODUCT(--(WEEKDAY(C$3:AG$3,2)=5),--ISNUMBER(MATCH(C12:AG12,{"DM","CS1","CS2","SB1","AE","CS/B","WEEKEND OUTFIELD RESERVE"},0)))</f>
        <v>0</v>
      </c>
      <c r="AV12" s="77">
        <f>SUMPRODUCT(--(WEEKDAY(C$3:AG$3,2)&gt;5),--ISNUMBER(MATCH(C12:AG12,{"DM","CS1","CS2","SB1","AE","CS/B","WEEKEND OUTFIELD RESERVE"},0)))</f>
        <v>1</v>
      </c>
      <c r="AW12" s="77"/>
      <c r="AX12" s="77">
        <f t="shared" si="3"/>
        <v>2</v>
      </c>
      <c r="AY12" s="77">
        <f t="shared" si="4"/>
        <v>1</v>
      </c>
      <c r="AZ12" s="77">
        <f t="shared" si="5"/>
        <v>0</v>
      </c>
      <c r="BA12" s="76">
        <f t="shared" si="6"/>
        <v>2</v>
      </c>
      <c r="BB12" s="76">
        <f t="shared" si="7"/>
        <v>-3</v>
      </c>
      <c r="BC12" s="77">
        <f t="shared" si="8"/>
        <v>0</v>
      </c>
      <c r="BD12" s="77">
        <f t="shared" si="9"/>
        <v>0</v>
      </c>
      <c r="BE12" s="77">
        <f t="shared" si="10"/>
        <v>0</v>
      </c>
      <c r="BF12" s="77">
        <f t="shared" si="11"/>
        <v>0</v>
      </c>
      <c r="BG12" s="77">
        <f t="shared" si="12"/>
        <v>0</v>
      </c>
      <c r="BH12" s="77">
        <f t="shared" si="13"/>
        <v>0</v>
      </c>
      <c r="BI12" s="77">
        <f t="shared" si="14"/>
        <v>0</v>
      </c>
      <c r="BJ12" s="77">
        <f t="shared" si="15"/>
        <v>0</v>
      </c>
      <c r="BK12" s="77">
        <f t="shared" si="16"/>
        <v>0</v>
      </c>
      <c r="BL12" s="77">
        <f t="shared" si="17"/>
        <v>0</v>
      </c>
      <c r="BM12" s="77">
        <f t="shared" si="18"/>
        <v>0</v>
      </c>
      <c r="BN12" s="77">
        <f t="shared" si="23"/>
        <v>0</v>
      </c>
      <c r="BO12" s="77">
        <f t="shared" si="24"/>
        <v>0</v>
      </c>
      <c r="BP12" s="77">
        <f t="shared" si="25"/>
        <v>0</v>
      </c>
      <c r="BQ12" s="77"/>
    </row>
    <row r="13" ht="39.75" customHeight="1" spans="1:69">
      <c r="A13" s="67"/>
      <c r="B13" s="77" t="s">
        <v>591</v>
      </c>
      <c r="C13" s="110"/>
      <c r="D13" s="110"/>
      <c r="E13" s="60" t="s">
        <v>871</v>
      </c>
      <c r="F13" s="60" t="s">
        <v>65</v>
      </c>
      <c r="H13" s="60"/>
      <c r="I13" s="60"/>
      <c r="J13" s="60"/>
      <c r="K13" s="60"/>
      <c r="L13" s="60" t="s">
        <v>65</v>
      </c>
      <c r="M13" s="53"/>
      <c r="N13" s="60"/>
      <c r="O13" s="60"/>
      <c r="P13" s="60"/>
      <c r="Q13" s="110" t="s">
        <v>350</v>
      </c>
      <c r="R13" s="60"/>
      <c r="S13" s="60"/>
      <c r="T13" s="60" t="s">
        <v>54</v>
      </c>
      <c r="U13" s="53" t="s">
        <v>54</v>
      </c>
      <c r="V13" s="60" t="s">
        <v>54</v>
      </c>
      <c r="W13" s="53"/>
      <c r="Z13" s="60"/>
      <c r="AA13" s="60"/>
      <c r="AB13" s="60"/>
      <c r="AC13" s="60" t="s">
        <v>65</v>
      </c>
      <c r="AD13" s="60"/>
      <c r="AE13" s="60"/>
      <c r="AF13" s="53" t="s">
        <v>65</v>
      </c>
      <c r="AG13" s="60"/>
      <c r="AH13" s="67">
        <f t="shared" ref="AH13:AP13" si="29">COUNTIF($C13:$AF13,AH$4)</f>
        <v>0</v>
      </c>
      <c r="AI13" s="67">
        <f t="shared" si="29"/>
        <v>0</v>
      </c>
      <c r="AJ13" s="67">
        <f t="shared" si="29"/>
        <v>0</v>
      </c>
      <c r="AK13" s="67">
        <f t="shared" si="29"/>
        <v>0</v>
      </c>
      <c r="AL13" s="67">
        <f t="shared" si="29"/>
        <v>0</v>
      </c>
      <c r="AM13" s="67">
        <f t="shared" si="29"/>
        <v>0</v>
      </c>
      <c r="AN13" s="67">
        <f t="shared" si="29"/>
        <v>4</v>
      </c>
      <c r="AO13" s="67">
        <f t="shared" si="29"/>
        <v>0</v>
      </c>
      <c r="AP13" s="67">
        <f t="shared" si="29"/>
        <v>0</v>
      </c>
      <c r="AQ13" s="76"/>
      <c r="AR13" s="76">
        <v>1.5</v>
      </c>
      <c r="AS13" s="77">
        <f>SUMPRODUCT(--(WEEKDAY(C$3:AG$3,2)&lt;5),--ISNUMBER(MATCH(C13:AG13,{"DM","CS1","CS2","SB1","AE","CS/B"},0)))</f>
        <v>3</v>
      </c>
      <c r="AT13" s="77"/>
      <c r="AU13" s="77">
        <f>SUMPRODUCT(--(WEEKDAY(C$3:AG$3,2)=5),--ISNUMBER(MATCH(C13:AG13,{"DM","CS1","CS2","SB1","AE","CS/B","WEEKEND OUTFIELD RESERVE"},0)))</f>
        <v>0</v>
      </c>
      <c r="AV13" s="77">
        <f>SUMPRODUCT(--(WEEKDAY(C$3:AG$3,2)&gt;5),--ISNUMBER(MATCH(C13:AG13,{"DM","CS1","CS2","SB1","AE","CS/B","WEEKEND OUTFIELD RESERVE"},0)))</f>
        <v>1</v>
      </c>
      <c r="AW13" s="77"/>
      <c r="AX13" s="77">
        <f t="shared" si="3"/>
        <v>3.5</v>
      </c>
      <c r="AY13" s="77">
        <f t="shared" si="4"/>
        <v>4</v>
      </c>
      <c r="AZ13" s="77">
        <f t="shared" si="5"/>
        <v>1</v>
      </c>
      <c r="BA13" s="76">
        <f t="shared" si="6"/>
        <v>4</v>
      </c>
      <c r="BB13" s="76">
        <f t="shared" si="7"/>
        <v>-1</v>
      </c>
      <c r="BC13" s="77">
        <f t="shared" si="8"/>
        <v>0.5</v>
      </c>
      <c r="BD13" s="77">
        <f t="shared" si="9"/>
        <v>0</v>
      </c>
      <c r="BE13" s="77">
        <f t="shared" si="10"/>
        <v>0</v>
      </c>
      <c r="BF13" s="77">
        <f t="shared" si="11"/>
        <v>0</v>
      </c>
      <c r="BG13" s="77">
        <f t="shared" si="12"/>
        <v>0</v>
      </c>
      <c r="BH13" s="77">
        <f t="shared" si="13"/>
        <v>0</v>
      </c>
      <c r="BI13" s="77">
        <f t="shared" si="14"/>
        <v>0</v>
      </c>
      <c r="BJ13" s="77">
        <f t="shared" si="15"/>
        <v>1</v>
      </c>
      <c r="BK13" s="77">
        <f t="shared" si="16"/>
        <v>0.5</v>
      </c>
      <c r="BL13" s="77">
        <f t="shared" si="17"/>
        <v>0</v>
      </c>
      <c r="BM13" s="77">
        <f t="shared" si="18"/>
        <v>0</v>
      </c>
      <c r="BN13" s="77">
        <f t="shared" si="23"/>
        <v>0</v>
      </c>
      <c r="BO13" s="77">
        <f t="shared" si="24"/>
        <v>1</v>
      </c>
      <c r="BP13" s="77">
        <f t="shared" si="25"/>
        <v>0</v>
      </c>
      <c r="BQ13" s="77"/>
    </row>
    <row r="14" ht="47.25" customHeight="1" spans="1:69">
      <c r="A14" s="67"/>
      <c r="B14" s="76" t="s">
        <v>718</v>
      </c>
      <c r="C14" s="107"/>
      <c r="E14" s="60"/>
      <c r="G14" s="53" t="s">
        <v>65</v>
      </c>
      <c r="H14" s="60"/>
      <c r="I14" s="60"/>
      <c r="J14" s="60"/>
      <c r="K14" s="60"/>
      <c r="L14" s="136"/>
      <c r="M14" s="110" t="s">
        <v>350</v>
      </c>
      <c r="N14" s="60"/>
      <c r="O14" s="60" t="s">
        <v>65</v>
      </c>
      <c r="P14" s="60"/>
      <c r="Q14" s="60"/>
      <c r="R14" s="60"/>
      <c r="S14" s="60" t="s">
        <v>65</v>
      </c>
      <c r="T14" s="53" t="s">
        <v>350</v>
      </c>
      <c r="U14" s="60"/>
      <c r="V14" s="60"/>
      <c r="W14" s="60"/>
      <c r="X14" s="60"/>
      <c r="Y14" s="60" t="s">
        <v>65</v>
      </c>
      <c r="Z14" s="60"/>
      <c r="AA14" s="60"/>
      <c r="AC14" s="53"/>
      <c r="AD14" s="60"/>
      <c r="AE14" s="60"/>
      <c r="AF14" s="60"/>
      <c r="AG14" s="60"/>
      <c r="AH14" s="67">
        <f t="shared" ref="AH14:AP14" si="30">COUNTIF($C14:$AF14,AH$4)</f>
        <v>0</v>
      </c>
      <c r="AI14" s="67">
        <f t="shared" si="30"/>
        <v>0</v>
      </c>
      <c r="AJ14" s="67">
        <f t="shared" si="30"/>
        <v>0</v>
      </c>
      <c r="AK14" s="67">
        <f t="shared" si="30"/>
        <v>0</v>
      </c>
      <c r="AL14" s="67">
        <f t="shared" si="30"/>
        <v>0</v>
      </c>
      <c r="AM14" s="67">
        <f t="shared" si="30"/>
        <v>0</v>
      </c>
      <c r="AN14" s="67">
        <f t="shared" si="30"/>
        <v>4</v>
      </c>
      <c r="AO14" s="67">
        <f t="shared" si="30"/>
        <v>0</v>
      </c>
      <c r="AP14" s="67">
        <f t="shared" si="30"/>
        <v>0</v>
      </c>
      <c r="AQ14" s="76">
        <v>0.5</v>
      </c>
      <c r="AR14" s="76"/>
      <c r="AS14" s="77">
        <f>SUMPRODUCT(--(WEEKDAY(C$3:AG$3,2)&lt;5),--ISNUMBER(MATCH(C14:AG14,{"DM","CS1","CS2","SB1","AE","CS/B"},0)))</f>
        <v>2</v>
      </c>
      <c r="AT14" s="77"/>
      <c r="AU14" s="77">
        <f>SUMPRODUCT(--(WEEKDAY(C$3:AG$3,2)=5),--ISNUMBER(MATCH(C14:AG14,{"DM","CS1","CS2","SB1","AE","CS/B","WEEKEND OUTFIELD RESERVE"},0)))</f>
        <v>1</v>
      </c>
      <c r="AV14" s="77">
        <f>SUMPRODUCT(--(WEEKDAY(C$3:AG$3,2)&gt;5),--ISNUMBER(MATCH(C14:AG14,{"DM","CS1","CS2","SB1","AE","CS/B","WEEKEND OUTFIELD RESERVE"},0)))</f>
        <v>1</v>
      </c>
      <c r="AW14" s="77"/>
      <c r="AX14" s="77">
        <f t="shared" si="3"/>
        <v>6</v>
      </c>
      <c r="AY14" s="77">
        <f t="shared" si="4"/>
        <v>4</v>
      </c>
      <c r="AZ14" s="77">
        <f t="shared" si="5"/>
        <v>0</v>
      </c>
      <c r="BA14" s="76">
        <f t="shared" si="6"/>
        <v>6</v>
      </c>
      <c r="BB14" s="76">
        <f t="shared" si="7"/>
        <v>1</v>
      </c>
      <c r="BC14" s="77">
        <f t="shared" si="8"/>
        <v>0</v>
      </c>
      <c r="BD14" s="77">
        <f t="shared" si="9"/>
        <v>0</v>
      </c>
      <c r="BE14" s="77">
        <f t="shared" si="10"/>
        <v>0</v>
      </c>
      <c r="BF14" s="77">
        <f t="shared" si="11"/>
        <v>0</v>
      </c>
      <c r="BG14" s="77">
        <f t="shared" si="12"/>
        <v>0</v>
      </c>
      <c r="BH14" s="77">
        <f t="shared" si="13"/>
        <v>0</v>
      </c>
      <c r="BI14" s="77">
        <f t="shared" si="14"/>
        <v>0</v>
      </c>
      <c r="BJ14" s="77">
        <f t="shared" si="15"/>
        <v>0</v>
      </c>
      <c r="BK14" s="77">
        <f t="shared" si="16"/>
        <v>0</v>
      </c>
      <c r="BL14" s="77">
        <f t="shared" si="17"/>
        <v>0</v>
      </c>
      <c r="BM14" s="77">
        <f t="shared" si="18"/>
        <v>0</v>
      </c>
      <c r="BN14" s="77">
        <f t="shared" si="23"/>
        <v>0</v>
      </c>
      <c r="BO14" s="77">
        <f t="shared" si="24"/>
        <v>2</v>
      </c>
      <c r="BP14" s="77">
        <f t="shared" si="25"/>
        <v>0</v>
      </c>
      <c r="BQ14" s="77"/>
    </row>
    <row r="15" ht="45" customHeight="1" spans="1:69">
      <c r="A15" s="67"/>
      <c r="B15" s="76" t="s">
        <v>592</v>
      </c>
      <c r="C15" s="110"/>
      <c r="D15" s="110"/>
      <c r="E15" s="60" t="s">
        <v>59</v>
      </c>
      <c r="F15" s="60"/>
      <c r="G15" s="53"/>
      <c r="H15" s="53" t="s">
        <v>59</v>
      </c>
      <c r="J15" s="60"/>
      <c r="K15" s="53"/>
      <c r="L15" s="60"/>
      <c r="M15" s="60" t="s">
        <v>57</v>
      </c>
      <c r="N15" s="60"/>
      <c r="O15" s="60"/>
      <c r="P15" s="60"/>
      <c r="Q15" s="60"/>
      <c r="R15" s="136" t="s">
        <v>57</v>
      </c>
      <c r="S15" s="60"/>
      <c r="V15" s="60"/>
      <c r="W15" s="60"/>
      <c r="X15" s="60" t="s">
        <v>868</v>
      </c>
      <c r="Y15" s="60"/>
      <c r="Z15" s="60"/>
      <c r="AA15" s="60"/>
      <c r="AB15" s="60"/>
      <c r="AC15" s="60"/>
      <c r="AD15" s="60"/>
      <c r="AE15" s="60"/>
      <c r="AF15" s="60"/>
      <c r="AG15" s="60"/>
      <c r="AH15" s="67">
        <f t="shared" ref="AH15:AP15" si="31">COUNTIF($C15:$AF15,AH$4)</f>
        <v>2</v>
      </c>
      <c r="AI15" s="67">
        <f t="shared" si="31"/>
        <v>0</v>
      </c>
      <c r="AJ15" s="67">
        <f t="shared" si="31"/>
        <v>2</v>
      </c>
      <c r="AK15" s="67">
        <f t="shared" si="31"/>
        <v>0</v>
      </c>
      <c r="AL15" s="67">
        <f t="shared" si="31"/>
        <v>0</v>
      </c>
      <c r="AM15" s="67">
        <f t="shared" si="31"/>
        <v>0</v>
      </c>
      <c r="AN15" s="67">
        <f t="shared" si="31"/>
        <v>0</v>
      </c>
      <c r="AO15" s="67">
        <f t="shared" si="31"/>
        <v>0</v>
      </c>
      <c r="AP15" s="67">
        <f t="shared" si="31"/>
        <v>0</v>
      </c>
      <c r="AQ15" s="76">
        <v>3</v>
      </c>
      <c r="AR15" s="76"/>
      <c r="AS15" s="77">
        <f>SUMPRODUCT(--(WEEKDAY(C$3:AG$3,2)&lt;5),--ISNUMBER(MATCH(C15:AG15,{"DM","CS1","CS2","SB1","AE","CS/B"},0)))</f>
        <v>3</v>
      </c>
      <c r="AT15" s="77"/>
      <c r="AU15" s="77">
        <f>SUMPRODUCT(--(WEEKDAY(C$3:AG$3,2)=5),--ISNUMBER(MATCH(C15:AG15,{"DM","CS1","CS2","SB1","AE","CS/B","WEEKEND OUTFIELD RESERVE"},0)))</f>
        <v>0</v>
      </c>
      <c r="AV15" s="77">
        <f>SUMPRODUCT(--(WEEKDAY(C$3:AG$3,2)&gt;5),--ISNUMBER(MATCH(C15:AG15,{"DM","CS1","CS2","SB1","AE","CS/B","WEEKEND OUTFIELD RESERVE"},0)))</f>
        <v>1</v>
      </c>
      <c r="AW15" s="77"/>
      <c r="AX15" s="77">
        <f t="shared" si="3"/>
        <v>8</v>
      </c>
      <c r="AY15" s="77">
        <f t="shared" si="4"/>
        <v>4</v>
      </c>
      <c r="AZ15" s="77">
        <f t="shared" si="5"/>
        <v>0</v>
      </c>
      <c r="BA15" s="76">
        <f t="shared" si="6"/>
        <v>8</v>
      </c>
      <c r="BB15" s="76">
        <f t="shared" ref="BB15:BB37" si="32">(BA15-7)</f>
        <v>1</v>
      </c>
      <c r="BC15" s="77">
        <f t="shared" si="8"/>
        <v>0</v>
      </c>
      <c r="BD15" s="77">
        <f t="shared" si="9"/>
        <v>0</v>
      </c>
      <c r="BE15" s="77">
        <f t="shared" si="10"/>
        <v>0</v>
      </c>
      <c r="BF15" s="77">
        <f t="shared" si="11"/>
        <v>0</v>
      </c>
      <c r="BG15" s="77">
        <f t="shared" si="12"/>
        <v>0</v>
      </c>
      <c r="BH15" s="77">
        <f t="shared" si="13"/>
        <v>0</v>
      </c>
      <c r="BI15" s="77">
        <f t="shared" si="14"/>
        <v>0</v>
      </c>
      <c r="BJ15" s="77">
        <f t="shared" si="15"/>
        <v>0</v>
      </c>
      <c r="BK15" s="77">
        <f t="shared" si="16"/>
        <v>0</v>
      </c>
      <c r="BL15" s="77">
        <f t="shared" si="17"/>
        <v>0</v>
      </c>
      <c r="BM15" s="77">
        <f t="shared" si="18"/>
        <v>0</v>
      </c>
      <c r="BN15" s="77">
        <f t="shared" si="23"/>
        <v>0</v>
      </c>
      <c r="BO15" s="77">
        <f t="shared" si="24"/>
        <v>0</v>
      </c>
      <c r="BP15" s="77">
        <f t="shared" si="25"/>
        <v>0</v>
      </c>
      <c r="BQ15" s="77"/>
    </row>
    <row r="16" ht="51" customHeight="1" spans="1:69">
      <c r="A16" s="67"/>
      <c r="B16" s="76" t="s">
        <v>598</v>
      </c>
      <c r="C16" s="107" t="s">
        <v>678</v>
      </c>
      <c r="D16" s="107" t="s">
        <v>678</v>
      </c>
      <c r="E16" s="107" t="s">
        <v>678</v>
      </c>
      <c r="F16" s="107" t="s">
        <v>678</v>
      </c>
      <c r="G16" s="60"/>
      <c r="H16" s="60"/>
      <c r="I16" s="60"/>
      <c r="J16" s="60" t="s">
        <v>872</v>
      </c>
      <c r="K16" s="60"/>
      <c r="L16" s="60"/>
      <c r="M16" s="60" t="s">
        <v>59</v>
      </c>
      <c r="N16" s="60"/>
      <c r="O16" s="60"/>
      <c r="P16" s="60" t="s">
        <v>59</v>
      </c>
      <c r="Q16" s="60"/>
      <c r="R16" s="60"/>
      <c r="S16" s="60" t="s">
        <v>54</v>
      </c>
      <c r="T16" s="60" t="s">
        <v>54</v>
      </c>
      <c r="U16" s="60" t="s">
        <v>57</v>
      </c>
      <c r="V16" s="60"/>
      <c r="W16" s="60"/>
      <c r="X16" s="60"/>
      <c r="Y16" s="60" t="s">
        <v>873</v>
      </c>
      <c r="Z16" s="60" t="s">
        <v>56</v>
      </c>
      <c r="AA16" s="60"/>
      <c r="AB16" s="60" t="s">
        <v>56</v>
      </c>
      <c r="AC16" s="53"/>
      <c r="AD16" s="60"/>
      <c r="AE16" s="60"/>
      <c r="AF16" s="60" t="s">
        <v>57</v>
      </c>
      <c r="AG16" s="60"/>
      <c r="AH16" s="67">
        <f t="shared" ref="AH16:AP16" si="33">COUNTIF($C16:$AF16,AH$4)</f>
        <v>2</v>
      </c>
      <c r="AI16" s="67">
        <f t="shared" si="33"/>
        <v>2</v>
      </c>
      <c r="AJ16" s="67">
        <f t="shared" si="33"/>
        <v>2</v>
      </c>
      <c r="AK16" s="67">
        <f t="shared" si="33"/>
        <v>0</v>
      </c>
      <c r="AL16" s="67">
        <f t="shared" si="33"/>
        <v>0</v>
      </c>
      <c r="AM16" s="67">
        <f t="shared" si="33"/>
        <v>0</v>
      </c>
      <c r="AN16" s="67">
        <f t="shared" si="33"/>
        <v>0</v>
      </c>
      <c r="AO16" s="67">
        <f t="shared" si="33"/>
        <v>0</v>
      </c>
      <c r="AP16" s="67">
        <f t="shared" si="33"/>
        <v>0</v>
      </c>
      <c r="AQ16" s="76"/>
      <c r="AR16" s="76">
        <v>1.5</v>
      </c>
      <c r="AS16" s="77">
        <f>SUMPRODUCT(--(WEEKDAY(C$3:AG$3,2)&lt;5),--ISNUMBER(MATCH(C16:AG16,{"DM","CS1","CS2","SB1","AE","CS/B"},0)))</f>
        <v>3</v>
      </c>
      <c r="AT16" s="77"/>
      <c r="AU16" s="77">
        <f>SUMPRODUCT(--(WEEKDAY(C$3:AG$3,2)=5),--ISNUMBER(MATCH(C16:AG16,{"DM","CS1","CS2","SB1","AE","CS/B","WEEKEND OUTFIELD RESERVE"},0)))</f>
        <v>2</v>
      </c>
      <c r="AV16" s="77">
        <f>SUMPRODUCT(--(WEEKDAY(C$3:AG$3,2)&gt;5),--ISNUMBER(MATCH(C16:AG16,{"DM","CS1","CS2","SB1","AE","CS/B","WEEKEND OUTFIELD RESERVE"},0)))</f>
        <v>1</v>
      </c>
      <c r="AW16" s="77"/>
      <c r="AX16" s="77">
        <f t="shared" si="3"/>
        <v>6.5</v>
      </c>
      <c r="AY16" s="77">
        <f t="shared" si="4"/>
        <v>6</v>
      </c>
      <c r="AZ16" s="77">
        <f t="shared" si="5"/>
        <v>1</v>
      </c>
      <c r="BA16" s="76">
        <f t="shared" si="6"/>
        <v>7</v>
      </c>
      <c r="BB16" s="76">
        <f t="shared" si="32"/>
        <v>0</v>
      </c>
      <c r="BC16" s="77">
        <f t="shared" si="8"/>
        <v>0.5</v>
      </c>
      <c r="BD16" s="77">
        <f t="shared" si="9"/>
        <v>0</v>
      </c>
      <c r="BE16" s="77">
        <f t="shared" si="10"/>
        <v>0</v>
      </c>
      <c r="BF16" s="77">
        <f t="shared" si="11"/>
        <v>0</v>
      </c>
      <c r="BG16" s="77">
        <f t="shared" si="12"/>
        <v>0</v>
      </c>
      <c r="BH16" s="77">
        <f t="shared" si="13"/>
        <v>0</v>
      </c>
      <c r="BI16" s="77">
        <f t="shared" si="14"/>
        <v>0</v>
      </c>
      <c r="BJ16" s="77">
        <f t="shared" si="15"/>
        <v>1</v>
      </c>
      <c r="BK16" s="77">
        <f t="shared" si="16"/>
        <v>0.5</v>
      </c>
      <c r="BL16" s="77">
        <f t="shared" si="17"/>
        <v>0</v>
      </c>
      <c r="BM16" s="77">
        <f t="shared" si="18"/>
        <v>0</v>
      </c>
      <c r="BN16" s="77">
        <f t="shared" si="23"/>
        <v>0</v>
      </c>
      <c r="BO16" s="77">
        <f t="shared" si="24"/>
        <v>0</v>
      </c>
      <c r="BP16" s="77">
        <f t="shared" si="25"/>
        <v>0</v>
      </c>
      <c r="BQ16" s="77"/>
    </row>
    <row r="17" ht="19.5" customHeight="1" spans="1:69">
      <c r="A17" s="67"/>
      <c r="B17" s="76" t="s">
        <v>442</v>
      </c>
      <c r="C17" s="107"/>
      <c r="D17" s="107" t="s">
        <v>57</v>
      </c>
      <c r="E17" s="60" t="s">
        <v>93</v>
      </c>
      <c r="F17" s="60" t="s">
        <v>672</v>
      </c>
      <c r="G17" s="60" t="s">
        <v>71</v>
      </c>
      <c r="H17" s="60" t="s">
        <v>71</v>
      </c>
      <c r="I17" s="60" t="s">
        <v>71</v>
      </c>
      <c r="J17" s="60" t="s">
        <v>71</v>
      </c>
      <c r="K17" s="60" t="s">
        <v>71</v>
      </c>
      <c r="L17" s="60" t="s">
        <v>71</v>
      </c>
      <c r="M17" s="60" t="s">
        <v>71</v>
      </c>
      <c r="N17" s="60" t="s">
        <v>71</v>
      </c>
      <c r="O17" s="60" t="s">
        <v>57</v>
      </c>
      <c r="P17" s="60"/>
      <c r="Q17" s="136"/>
      <c r="R17" s="136"/>
      <c r="S17" s="60" t="s">
        <v>57</v>
      </c>
      <c r="U17" s="136"/>
      <c r="W17" s="136"/>
      <c r="X17" s="1" t="s">
        <v>55</v>
      </c>
      <c r="Y17" s="53" t="s">
        <v>55</v>
      </c>
      <c r="Z17" s="1" t="s">
        <v>55</v>
      </c>
      <c r="AA17" s="60" t="s">
        <v>672</v>
      </c>
      <c r="AB17" s="60" t="s">
        <v>71</v>
      </c>
      <c r="AC17" s="60" t="s">
        <v>71</v>
      </c>
      <c r="AD17" s="60" t="s">
        <v>71</v>
      </c>
      <c r="AE17" s="60" t="s">
        <v>71</v>
      </c>
      <c r="AF17" s="60" t="s">
        <v>71</v>
      </c>
      <c r="AG17" s="60" t="s">
        <v>71</v>
      </c>
      <c r="AH17" s="67">
        <f t="shared" ref="AH17:AP17" si="34">COUNTIF($C17:$Z17,AH$4)</f>
        <v>3</v>
      </c>
      <c r="AI17" s="67">
        <f t="shared" si="34"/>
        <v>0</v>
      </c>
      <c r="AJ17" s="67">
        <f t="shared" si="34"/>
        <v>0</v>
      </c>
      <c r="AK17" s="67">
        <f t="shared" si="34"/>
        <v>0</v>
      </c>
      <c r="AL17" s="67">
        <f t="shared" si="34"/>
        <v>0</v>
      </c>
      <c r="AM17" s="67">
        <f t="shared" si="34"/>
        <v>1</v>
      </c>
      <c r="AN17" s="67">
        <f t="shared" si="34"/>
        <v>0</v>
      </c>
      <c r="AO17" s="67">
        <f t="shared" si="34"/>
        <v>0</v>
      </c>
      <c r="AP17" s="67">
        <f t="shared" si="34"/>
        <v>0</v>
      </c>
      <c r="AQ17" s="76"/>
      <c r="AR17" s="76">
        <v>2</v>
      </c>
      <c r="AS17" s="77">
        <f>SUMPRODUCT(--(WEEKDAY(C$3:AG$3,2)&lt;5),--ISNUMBER(MATCH(C17:AG17,{"DM","CS1","CS2","SB1","AE","CS/B"},0)))</f>
        <v>2</v>
      </c>
      <c r="AT17" s="67"/>
      <c r="AU17" s="77">
        <f>SUMPRODUCT(--(WEEKDAY(C$3:AG$3,2)=5),--ISNUMBER(MATCH(C17:AG17,{"DM","CS1","CS2","SB1","AE","CS/B","WEEKEND OUTFIELD RESERVE"},0)))</f>
        <v>0</v>
      </c>
      <c r="AV17" s="77">
        <f>SUMPRODUCT(--(WEEKDAY(C$3:AG$3,2)&gt;5),--ISNUMBER(MATCH(C17:AG17,{"DM","CS1","CS2","SB1","AE","CS/B","WEEKEND OUTFIELD RESERVE"},0)))</f>
        <v>1</v>
      </c>
      <c r="AW17" s="67"/>
      <c r="AX17" s="77">
        <f t="shared" si="3"/>
        <v>2.5</v>
      </c>
      <c r="AY17" s="77">
        <f t="shared" si="4"/>
        <v>3</v>
      </c>
      <c r="AZ17" s="77">
        <f t="shared" si="5"/>
        <v>0</v>
      </c>
      <c r="BA17" s="76">
        <f t="shared" si="6"/>
        <v>2.5</v>
      </c>
      <c r="BB17" s="76">
        <f t="shared" si="32"/>
        <v>-4.5</v>
      </c>
      <c r="BC17" s="77">
        <f t="shared" si="8"/>
        <v>0</v>
      </c>
      <c r="BD17" s="77">
        <f t="shared" si="9"/>
        <v>0</v>
      </c>
      <c r="BE17" s="77">
        <f t="shared" si="10"/>
        <v>0</v>
      </c>
      <c r="BF17" s="77">
        <f t="shared" si="11"/>
        <v>0</v>
      </c>
      <c r="BG17" s="77">
        <f t="shared" si="12"/>
        <v>0</v>
      </c>
      <c r="BH17" s="77">
        <f t="shared" si="13"/>
        <v>0</v>
      </c>
      <c r="BI17" s="77">
        <f t="shared" si="14"/>
        <v>0</v>
      </c>
      <c r="BJ17" s="77">
        <f t="shared" si="15"/>
        <v>0</v>
      </c>
      <c r="BK17" s="77">
        <f t="shared" si="16"/>
        <v>0</v>
      </c>
      <c r="BL17" s="77">
        <f t="shared" si="17"/>
        <v>0</v>
      </c>
      <c r="BM17" s="77">
        <f t="shared" si="18"/>
        <v>0</v>
      </c>
      <c r="BN17" s="77">
        <f>COUNTIF($D17:$Z17,BN$4)</f>
        <v>0</v>
      </c>
      <c r="BO17" s="77">
        <f>COUNTIF($D17:$Z17,BO$4)</f>
        <v>0</v>
      </c>
      <c r="BP17" s="77">
        <f>COUNTIF($D17:$Z17,BP$4)</f>
        <v>3</v>
      </c>
      <c r="BQ17" s="67"/>
    </row>
    <row r="18" ht="103.5" customHeight="1" spans="1:69">
      <c r="A18" s="67"/>
      <c r="B18" s="76" t="s">
        <v>594</v>
      </c>
      <c r="C18" s="107" t="s">
        <v>57</v>
      </c>
      <c r="D18" s="107" t="s">
        <v>93</v>
      </c>
      <c r="E18" s="110" t="s">
        <v>350</v>
      </c>
      <c r="F18" s="60"/>
      <c r="G18" s="60" t="s">
        <v>150</v>
      </c>
      <c r="H18" s="60" t="s">
        <v>671</v>
      </c>
      <c r="I18" s="53"/>
      <c r="J18" s="60" t="s">
        <v>57</v>
      </c>
      <c r="K18" s="60"/>
      <c r="L18" s="60" t="s">
        <v>59</v>
      </c>
      <c r="M18" s="53"/>
      <c r="N18" s="53"/>
      <c r="O18" s="60" t="s">
        <v>54</v>
      </c>
      <c r="P18" s="60" t="s">
        <v>54</v>
      </c>
      <c r="Q18" s="60" t="s">
        <v>54</v>
      </c>
      <c r="R18" s="60" t="s">
        <v>54</v>
      </c>
      <c r="S18" s="60" t="s">
        <v>54</v>
      </c>
      <c r="T18" s="60" t="s">
        <v>54</v>
      </c>
      <c r="U18" s="60" t="s">
        <v>54</v>
      </c>
      <c r="V18" s="60" t="s">
        <v>54</v>
      </c>
      <c r="W18" s="60" t="s">
        <v>54</v>
      </c>
      <c r="X18" s="60" t="s">
        <v>54</v>
      </c>
      <c r="Y18" s="60" t="s">
        <v>54</v>
      </c>
      <c r="Z18" s="60" t="s">
        <v>54</v>
      </c>
      <c r="AA18" s="60" t="s">
        <v>54</v>
      </c>
      <c r="AB18" s="60" t="s">
        <v>54</v>
      </c>
      <c r="AC18" s="60" t="s">
        <v>54</v>
      </c>
      <c r="AD18" s="60" t="s">
        <v>54</v>
      </c>
      <c r="AE18" s="60"/>
      <c r="AF18" s="136" t="s">
        <v>874</v>
      </c>
      <c r="AG18" s="60"/>
      <c r="AH18" s="67">
        <f t="shared" ref="AH18:AP18" si="35">COUNTIF($C18:$AF18,AH$4)</f>
        <v>2</v>
      </c>
      <c r="AI18" s="67">
        <f t="shared" si="35"/>
        <v>0</v>
      </c>
      <c r="AJ18" s="67">
        <f t="shared" si="35"/>
        <v>1</v>
      </c>
      <c r="AK18" s="67">
        <f t="shared" si="35"/>
        <v>0</v>
      </c>
      <c r="AL18" s="67">
        <f t="shared" si="35"/>
        <v>0</v>
      </c>
      <c r="AM18" s="67">
        <f t="shared" si="35"/>
        <v>1</v>
      </c>
      <c r="AN18" s="67">
        <f t="shared" si="35"/>
        <v>0</v>
      </c>
      <c r="AO18" s="67">
        <f t="shared" si="35"/>
        <v>0</v>
      </c>
      <c r="AP18" s="67">
        <f t="shared" si="35"/>
        <v>0</v>
      </c>
      <c r="AQ18" s="76"/>
      <c r="AR18" s="76">
        <v>0.5</v>
      </c>
      <c r="AS18" s="77">
        <f>SUMPRODUCT(--(WEEKDAY(C$3:AG$3,2)&lt;5),--ISNUMBER(MATCH(C18:AG18,{"DM","CS1","CS2","SB1","AE","CS/B"},0)))</f>
        <v>3</v>
      </c>
      <c r="AT18" s="77"/>
      <c r="AU18" s="77">
        <f>SUMPRODUCT(--(WEEKDAY(C$3:AG$3,2)=5),--ISNUMBER(MATCH(C18:AG18,{"DM","CS1","CS2","SB1","AE","CS/B","WEEKEND OUTFIELD RESERVE"},0)))</f>
        <v>0</v>
      </c>
      <c r="AV18" s="77">
        <f>SUMPRODUCT(--(WEEKDAY(C$3:AG$3,2)&gt;5),--ISNUMBER(MATCH(C18:AG18,{"DM","CS1","CS2","SB1","AE","CS/B","WEEKEND OUTFIELD RESERVE"},0)))</f>
        <v>0</v>
      </c>
      <c r="AW18" s="77"/>
      <c r="AX18" s="77">
        <f t="shared" si="3"/>
        <v>3</v>
      </c>
      <c r="AY18" s="77">
        <f t="shared" si="4"/>
        <v>3</v>
      </c>
      <c r="AZ18" s="77">
        <f t="shared" si="5"/>
        <v>2</v>
      </c>
      <c r="BA18" s="76">
        <f t="shared" si="6"/>
        <v>4.5</v>
      </c>
      <c r="BB18" s="76">
        <f t="shared" si="32"/>
        <v>-2.5</v>
      </c>
      <c r="BC18" s="77">
        <f t="shared" si="8"/>
        <v>1.5</v>
      </c>
      <c r="BD18" s="77">
        <f t="shared" si="9"/>
        <v>0</v>
      </c>
      <c r="BE18" s="77">
        <f t="shared" si="10"/>
        <v>0</v>
      </c>
      <c r="BF18" s="77">
        <f t="shared" si="11"/>
        <v>1</v>
      </c>
      <c r="BG18" s="77">
        <f t="shared" si="12"/>
        <v>1</v>
      </c>
      <c r="BH18" s="77">
        <f t="shared" si="13"/>
        <v>0</v>
      </c>
      <c r="BI18" s="77">
        <f t="shared" si="14"/>
        <v>0</v>
      </c>
      <c r="BJ18" s="77">
        <f t="shared" si="15"/>
        <v>1</v>
      </c>
      <c r="BK18" s="77">
        <f t="shared" si="16"/>
        <v>0.5</v>
      </c>
      <c r="BL18" s="77">
        <f t="shared" si="17"/>
        <v>0</v>
      </c>
      <c r="BM18" s="77">
        <f t="shared" si="18"/>
        <v>0</v>
      </c>
      <c r="BN18" s="77">
        <f t="shared" ref="BN18:BN23" si="36">COUNTIF($D18:$AA18,BN$4)</f>
        <v>0</v>
      </c>
      <c r="BO18" s="77">
        <f t="shared" ref="BO18:BO23" si="37">COUNTIF($D18:$AA18,BO$4)</f>
        <v>1</v>
      </c>
      <c r="BP18" s="77">
        <f t="shared" ref="BP18:BP23" si="38">COUNTIF($D18:$AA18,BP$4)</f>
        <v>0</v>
      </c>
      <c r="BQ18" s="77"/>
    </row>
    <row r="19" ht="68.25" customHeight="1" spans="1:69">
      <c r="A19" s="67"/>
      <c r="B19" s="76" t="s">
        <v>725</v>
      </c>
      <c r="C19" s="110" t="s">
        <v>678</v>
      </c>
      <c r="D19" s="110" t="s">
        <v>678</v>
      </c>
      <c r="E19" s="110" t="s">
        <v>680</v>
      </c>
      <c r="F19" s="110" t="s">
        <v>678</v>
      </c>
      <c r="G19" s="60"/>
      <c r="H19" s="60"/>
      <c r="I19" s="53"/>
      <c r="J19" s="60" t="s">
        <v>872</v>
      </c>
      <c r="K19" s="136"/>
      <c r="L19" s="60"/>
      <c r="M19" s="60"/>
      <c r="N19" s="53"/>
      <c r="O19" s="60"/>
      <c r="P19" s="60"/>
      <c r="Q19" s="60" t="s">
        <v>57</v>
      </c>
      <c r="R19" s="60"/>
      <c r="S19" s="110" t="s">
        <v>54</v>
      </c>
      <c r="U19" s="60" t="s">
        <v>59</v>
      </c>
      <c r="V19" s="60"/>
      <c r="W19" s="60" t="s">
        <v>57</v>
      </c>
      <c r="X19" s="60"/>
      <c r="Y19" s="60" t="s">
        <v>875</v>
      </c>
      <c r="Z19" s="60" t="s">
        <v>71</v>
      </c>
      <c r="AA19" s="60" t="s">
        <v>71</v>
      </c>
      <c r="AB19" s="60" t="s">
        <v>71</v>
      </c>
      <c r="AC19" s="60"/>
      <c r="AD19" s="60"/>
      <c r="AE19" s="60" t="s">
        <v>56</v>
      </c>
      <c r="AF19" s="53"/>
      <c r="AG19" s="60"/>
      <c r="AH19" s="67">
        <f t="shared" ref="AH19:AP19" si="39">COUNTIF($C19:$AF19,AH$4)</f>
        <v>2</v>
      </c>
      <c r="AI19" s="67">
        <f t="shared" si="39"/>
        <v>1</v>
      </c>
      <c r="AJ19" s="67">
        <f t="shared" si="39"/>
        <v>1</v>
      </c>
      <c r="AK19" s="67">
        <f t="shared" si="39"/>
        <v>0</v>
      </c>
      <c r="AL19" s="67">
        <f t="shared" si="39"/>
        <v>0</v>
      </c>
      <c r="AM19" s="67">
        <f t="shared" si="39"/>
        <v>0</v>
      </c>
      <c r="AN19" s="67">
        <f t="shared" si="39"/>
        <v>0</v>
      </c>
      <c r="AO19" s="67">
        <f t="shared" si="39"/>
        <v>0</v>
      </c>
      <c r="AP19" s="67">
        <f t="shared" si="39"/>
        <v>0</v>
      </c>
      <c r="AQ19" s="76">
        <v>0.5</v>
      </c>
      <c r="AR19" s="76"/>
      <c r="AS19" s="77">
        <f>SUMPRODUCT(--(WEEKDAY(C$3:AG$3,2)&lt;5),--ISNUMBER(MATCH(C19:AG19,{"DM","CS1","CS2","SB1","AE","CS/B"},0)))</f>
        <v>2</v>
      </c>
      <c r="AT19" s="77"/>
      <c r="AU19" s="77">
        <f>SUMPRODUCT(--(WEEKDAY(C$3:AG$3,2)=5),--ISNUMBER(MATCH(C19:AG19,{"DM","CS1","CS2","SB1","AE","CS/B","WEEKEND OUTFIELD RESERVE"},0)))</f>
        <v>1</v>
      </c>
      <c r="AV19" s="77">
        <f>SUMPRODUCT(--(WEEKDAY(C$3:AG$3,2)&gt;5),--ISNUMBER(MATCH(C19:AG19,{"DM","CS1","CS2","SB1","AE","CS/B","WEEKEND OUTFIELD RESERVE"},0)))</f>
        <v>1</v>
      </c>
      <c r="AW19" s="77"/>
      <c r="AX19" s="77">
        <f t="shared" si="3"/>
        <v>6</v>
      </c>
      <c r="AY19" s="77">
        <f t="shared" si="4"/>
        <v>4</v>
      </c>
      <c r="AZ19" s="77">
        <f t="shared" si="5"/>
        <v>1</v>
      </c>
      <c r="BA19" s="76">
        <f t="shared" si="6"/>
        <v>7</v>
      </c>
      <c r="BB19" s="76">
        <f t="shared" si="32"/>
        <v>0</v>
      </c>
      <c r="BC19" s="77">
        <f t="shared" si="8"/>
        <v>1</v>
      </c>
      <c r="BD19" s="77">
        <f t="shared" si="9"/>
        <v>0</v>
      </c>
      <c r="BE19" s="77">
        <f t="shared" si="10"/>
        <v>0</v>
      </c>
      <c r="BF19" s="77">
        <f t="shared" si="11"/>
        <v>1</v>
      </c>
      <c r="BG19" s="77">
        <f t="shared" si="12"/>
        <v>1</v>
      </c>
      <c r="BH19" s="77">
        <f t="shared" si="13"/>
        <v>0</v>
      </c>
      <c r="BI19" s="77">
        <f t="shared" si="14"/>
        <v>0</v>
      </c>
      <c r="BJ19" s="77">
        <f t="shared" si="15"/>
        <v>0</v>
      </c>
      <c r="BK19" s="77">
        <f t="shared" si="16"/>
        <v>0</v>
      </c>
      <c r="BL19" s="77">
        <f t="shared" si="17"/>
        <v>0</v>
      </c>
      <c r="BM19" s="77">
        <f t="shared" si="18"/>
        <v>0</v>
      </c>
      <c r="BN19" s="77">
        <f t="shared" si="36"/>
        <v>0</v>
      </c>
      <c r="BO19" s="77">
        <f t="shared" si="37"/>
        <v>0</v>
      </c>
      <c r="BP19" s="77">
        <f t="shared" si="38"/>
        <v>0</v>
      </c>
      <c r="BQ19" s="77"/>
    </row>
    <row r="20" ht="19.5" customHeight="1" spans="1:69">
      <c r="A20" s="67"/>
      <c r="B20" s="76" t="s">
        <v>623</v>
      </c>
      <c r="C20" s="110"/>
      <c r="D20" s="110"/>
      <c r="E20" s="136"/>
      <c r="F20" s="136"/>
      <c r="G20" s="60" t="s">
        <v>57</v>
      </c>
      <c r="H20" s="60"/>
      <c r="I20" s="60"/>
      <c r="K20" s="60"/>
      <c r="L20" s="60"/>
      <c r="M20" s="60"/>
      <c r="N20" s="60"/>
      <c r="O20" s="60"/>
      <c r="P20" s="110" t="s">
        <v>350</v>
      </c>
      <c r="Q20" s="60" t="s">
        <v>93</v>
      </c>
      <c r="R20" s="60"/>
      <c r="S20" s="60"/>
      <c r="T20" s="60" t="s">
        <v>56</v>
      </c>
      <c r="U20" s="60"/>
      <c r="V20" s="60" t="s">
        <v>56</v>
      </c>
      <c r="W20" s="60"/>
      <c r="X20" s="60" t="s">
        <v>59</v>
      </c>
      <c r="Y20" s="53"/>
      <c r="Z20" s="60" t="s">
        <v>59</v>
      </c>
      <c r="AA20" s="60"/>
      <c r="AB20" s="53"/>
      <c r="AC20" s="110"/>
      <c r="AD20" s="53" t="s">
        <v>56</v>
      </c>
      <c r="AE20" s="60"/>
      <c r="AF20" s="50" t="s">
        <v>876</v>
      </c>
      <c r="AG20" s="60"/>
      <c r="AH20" s="67">
        <f t="shared" ref="AH20:AP20" si="40">COUNTIF($C20:$AF20,AH$4)</f>
        <v>1</v>
      </c>
      <c r="AI20" s="67">
        <f t="shared" si="40"/>
        <v>3</v>
      </c>
      <c r="AJ20" s="67">
        <f t="shared" si="40"/>
        <v>2</v>
      </c>
      <c r="AK20" s="67">
        <f t="shared" si="40"/>
        <v>0</v>
      </c>
      <c r="AL20" s="67">
        <f t="shared" si="40"/>
        <v>0</v>
      </c>
      <c r="AM20" s="67">
        <f t="shared" si="40"/>
        <v>1</v>
      </c>
      <c r="AN20" s="67">
        <f t="shared" si="40"/>
        <v>0</v>
      </c>
      <c r="AO20" s="67">
        <f t="shared" si="40"/>
        <v>0</v>
      </c>
      <c r="AP20" s="67">
        <f t="shared" si="40"/>
        <v>0</v>
      </c>
      <c r="AQ20" s="76">
        <v>0.5</v>
      </c>
      <c r="AR20" s="76"/>
      <c r="AS20" s="77">
        <f>SUMPRODUCT(--(WEEKDAY(C$3:AG$3,2)&lt;5),--ISNUMBER(MATCH(C20:AG20,{"DM","CS1","CS2","SB1","AE","CS/B"},0)))</f>
        <v>3</v>
      </c>
      <c r="AT20" s="67"/>
      <c r="AU20" s="77">
        <f>SUMPRODUCT(--(WEEKDAY(C$3:AG$3,2)=5),--ISNUMBER(MATCH(C20:AG20,{"DM","CS1","CS2","SB1","AE","CS/B","WEEKEND OUTFIELD RESERVE"},0)))</f>
        <v>1</v>
      </c>
      <c r="AV20" s="77">
        <f>SUMPRODUCT(--(WEEKDAY(C$3:AG$3,2)&gt;5),--ISNUMBER(MATCH(C20:AG20,{"DM","CS1","CS2","SB1","AE","CS/B","WEEKEND OUTFIELD RESERVE"},0)))</f>
        <v>2</v>
      </c>
      <c r="AW20" s="67"/>
      <c r="AX20" s="77">
        <f t="shared" si="3"/>
        <v>9.5</v>
      </c>
      <c r="AY20" s="77">
        <f t="shared" si="4"/>
        <v>6</v>
      </c>
      <c r="AZ20" s="77">
        <f t="shared" si="5"/>
        <v>1</v>
      </c>
      <c r="BA20" s="76">
        <f t="shared" si="6"/>
        <v>10</v>
      </c>
      <c r="BB20" s="76">
        <f t="shared" si="32"/>
        <v>3</v>
      </c>
      <c r="BC20" s="77">
        <f t="shared" si="8"/>
        <v>0.5</v>
      </c>
      <c r="BD20" s="77">
        <f t="shared" si="9"/>
        <v>0</v>
      </c>
      <c r="BE20" s="77">
        <f t="shared" si="10"/>
        <v>0</v>
      </c>
      <c r="BF20" s="77">
        <f t="shared" si="11"/>
        <v>0</v>
      </c>
      <c r="BG20" s="77">
        <f t="shared" si="12"/>
        <v>0</v>
      </c>
      <c r="BH20" s="77">
        <f t="shared" si="13"/>
        <v>1</v>
      </c>
      <c r="BI20" s="77">
        <f t="shared" si="14"/>
        <v>0.5</v>
      </c>
      <c r="BJ20" s="77">
        <f t="shared" si="15"/>
        <v>0</v>
      </c>
      <c r="BK20" s="77">
        <f t="shared" si="16"/>
        <v>0</v>
      </c>
      <c r="BL20" s="77">
        <f t="shared" si="17"/>
        <v>0</v>
      </c>
      <c r="BM20" s="77">
        <f t="shared" si="18"/>
        <v>0</v>
      </c>
      <c r="BN20" s="77">
        <f t="shared" si="36"/>
        <v>0</v>
      </c>
      <c r="BO20" s="77">
        <f t="shared" si="37"/>
        <v>1</v>
      </c>
      <c r="BP20" s="77">
        <f t="shared" si="38"/>
        <v>0</v>
      </c>
      <c r="BQ20" s="67"/>
    </row>
    <row r="21" ht="48" customHeight="1" spans="1:69">
      <c r="A21" s="67"/>
      <c r="B21" s="76" t="s">
        <v>609</v>
      </c>
      <c r="C21" s="110"/>
      <c r="D21" s="110"/>
      <c r="E21" s="60"/>
      <c r="F21" s="60"/>
      <c r="G21" s="60"/>
      <c r="H21" s="60"/>
      <c r="I21" s="60"/>
      <c r="J21" s="60"/>
      <c r="K21" s="60"/>
      <c r="L21" s="60"/>
      <c r="M21" s="60"/>
      <c r="N21" s="60" t="s">
        <v>55</v>
      </c>
      <c r="O21" s="60"/>
      <c r="P21" s="60"/>
      <c r="Q21" s="60" t="s">
        <v>55</v>
      </c>
      <c r="R21" s="60"/>
      <c r="S21" s="60"/>
      <c r="T21" s="60"/>
      <c r="U21" s="60" t="s">
        <v>55</v>
      </c>
      <c r="V21" s="60"/>
      <c r="W21" s="60"/>
      <c r="X21" s="60" t="s">
        <v>55</v>
      </c>
      <c r="Y21" s="60"/>
      <c r="Z21" s="60"/>
      <c r="AA21" s="60" t="s">
        <v>55</v>
      </c>
      <c r="AB21" s="60" t="s">
        <v>55</v>
      </c>
      <c r="AC21" s="60"/>
      <c r="AD21" s="60"/>
      <c r="AE21" s="60" t="s">
        <v>55</v>
      </c>
      <c r="AF21" s="60"/>
      <c r="AG21" s="60"/>
      <c r="AH21" s="67">
        <f t="shared" ref="AH21:AP21" si="41">COUNTIF($C21:$AF21,AH$4)</f>
        <v>0</v>
      </c>
      <c r="AI21" s="67">
        <f t="shared" si="41"/>
        <v>0</v>
      </c>
      <c r="AJ21" s="67">
        <f t="shared" si="41"/>
        <v>0</v>
      </c>
      <c r="AK21" s="67">
        <f t="shared" si="41"/>
        <v>0</v>
      </c>
      <c r="AL21" s="67">
        <f t="shared" si="41"/>
        <v>0</v>
      </c>
      <c r="AM21" s="67">
        <f t="shared" si="41"/>
        <v>0</v>
      </c>
      <c r="AN21" s="67">
        <f t="shared" si="41"/>
        <v>0</v>
      </c>
      <c r="AO21" s="67">
        <f t="shared" si="41"/>
        <v>0</v>
      </c>
      <c r="AP21" s="67">
        <f t="shared" si="41"/>
        <v>0</v>
      </c>
      <c r="AQ21" s="76"/>
      <c r="AR21" s="76"/>
      <c r="AS21" s="77">
        <f>SUMPRODUCT(--(WEEKDAY(C$3:AG$3,2)&lt;5),--ISNUMBER(MATCH(C21:AG21,{"DM","CS1","CS2","SB1","AE","CS/B"},0)))</f>
        <v>0</v>
      </c>
      <c r="AT21" s="77"/>
      <c r="AU21" s="77">
        <f>SUMPRODUCT(--(WEEKDAY(C$3:AG$3,2)=5),--ISNUMBER(MATCH(C21:AG21,{"DM","CS1","CS2","SB1","AE","CS/B","WEEKEND OUTFIELD RESERVE"},0)))</f>
        <v>0</v>
      </c>
      <c r="AV21" s="77">
        <f>SUMPRODUCT(--(WEEKDAY(C$3:AG$3,2)&gt;5),--ISNUMBER(MATCH(C21:AG21,{"DM","CS1","CS2","SB1","AE","CS/B","WEEKEND OUTFIELD RESERVE"},0)))</f>
        <v>0</v>
      </c>
      <c r="AW21" s="77"/>
      <c r="AX21" s="77">
        <f t="shared" si="3"/>
        <v>0</v>
      </c>
      <c r="AY21" s="77">
        <f t="shared" si="4"/>
        <v>0</v>
      </c>
      <c r="AZ21" s="77">
        <f t="shared" si="5"/>
        <v>0</v>
      </c>
      <c r="BA21" s="76">
        <f t="shared" si="6"/>
        <v>0</v>
      </c>
      <c r="BB21" s="76">
        <f t="shared" si="32"/>
        <v>-7</v>
      </c>
      <c r="BC21" s="77">
        <f t="shared" si="8"/>
        <v>0</v>
      </c>
      <c r="BD21" s="77">
        <f t="shared" si="9"/>
        <v>0</v>
      </c>
      <c r="BE21" s="77">
        <f t="shared" si="10"/>
        <v>0</v>
      </c>
      <c r="BF21" s="77">
        <f t="shared" si="11"/>
        <v>0</v>
      </c>
      <c r="BG21" s="77">
        <f t="shared" si="12"/>
        <v>0</v>
      </c>
      <c r="BH21" s="77">
        <f t="shared" si="13"/>
        <v>0</v>
      </c>
      <c r="BI21" s="77">
        <f t="shared" si="14"/>
        <v>0</v>
      </c>
      <c r="BJ21" s="77">
        <f t="shared" si="15"/>
        <v>0</v>
      </c>
      <c r="BK21" s="77">
        <f t="shared" si="16"/>
        <v>0</v>
      </c>
      <c r="BL21" s="77">
        <f t="shared" si="17"/>
        <v>0</v>
      </c>
      <c r="BM21" s="77">
        <f t="shared" si="18"/>
        <v>0</v>
      </c>
      <c r="BN21" s="77">
        <f t="shared" si="36"/>
        <v>0</v>
      </c>
      <c r="BO21" s="77">
        <f t="shared" si="37"/>
        <v>0</v>
      </c>
      <c r="BP21" s="77">
        <f t="shared" si="38"/>
        <v>5</v>
      </c>
      <c r="BQ21" s="77"/>
    </row>
    <row r="22" ht="19.5" customHeight="1" spans="1:69">
      <c r="A22" s="67"/>
      <c r="B22" s="76" t="s">
        <v>614</v>
      </c>
      <c r="C22" s="107"/>
      <c r="D22" s="107" t="s">
        <v>56</v>
      </c>
      <c r="E22" s="60"/>
      <c r="F22" s="53" t="s">
        <v>57</v>
      </c>
      <c r="G22" s="60"/>
      <c r="I22" s="60" t="s">
        <v>57</v>
      </c>
      <c r="J22" s="53"/>
      <c r="K22" s="60" t="s">
        <v>56</v>
      </c>
      <c r="M22" s="60"/>
      <c r="N22" s="53" t="s">
        <v>57</v>
      </c>
      <c r="O22" s="60"/>
      <c r="P22" s="60"/>
      <c r="Q22" s="60"/>
      <c r="R22" s="60"/>
      <c r="S22" s="60"/>
      <c r="T22" s="60"/>
      <c r="U22" s="60" t="s">
        <v>54</v>
      </c>
      <c r="V22" s="53"/>
      <c r="W22" s="60"/>
      <c r="X22" s="60"/>
      <c r="Y22" s="60"/>
      <c r="Z22" s="50" t="s">
        <v>877</v>
      </c>
      <c r="AA22" s="53" t="s">
        <v>57</v>
      </c>
      <c r="AB22" s="60"/>
      <c r="AC22" s="60" t="s">
        <v>56</v>
      </c>
      <c r="AD22" s="60"/>
      <c r="AE22" s="60" t="s">
        <v>57</v>
      </c>
      <c r="AF22" s="60"/>
      <c r="AG22" s="60"/>
      <c r="AH22" s="67">
        <f t="shared" ref="AH22:AP22" si="42">COUNTIF($C22:$AF22,AH$4)</f>
        <v>5</v>
      </c>
      <c r="AI22" s="67">
        <f t="shared" si="42"/>
        <v>3</v>
      </c>
      <c r="AJ22" s="67">
        <f t="shared" si="42"/>
        <v>0</v>
      </c>
      <c r="AK22" s="67">
        <f t="shared" si="42"/>
        <v>0</v>
      </c>
      <c r="AL22" s="67">
        <f t="shared" si="42"/>
        <v>0</v>
      </c>
      <c r="AM22" s="67">
        <f t="shared" si="42"/>
        <v>0</v>
      </c>
      <c r="AN22" s="67">
        <f t="shared" si="42"/>
        <v>0</v>
      </c>
      <c r="AO22" s="67">
        <f t="shared" si="42"/>
        <v>0</v>
      </c>
      <c r="AP22" s="67">
        <f t="shared" si="42"/>
        <v>0</v>
      </c>
      <c r="AQ22" s="76"/>
      <c r="AR22" s="76">
        <v>2</v>
      </c>
      <c r="AS22" s="77">
        <f>SUMPRODUCT(--(WEEKDAY(C$3:AG$3,2)&lt;5),--ISNUMBER(MATCH(C22:AG22,{"DM","CS1","CS2","SB1","AE","CS/B"},0)))</f>
        <v>5</v>
      </c>
      <c r="AT22" s="67"/>
      <c r="AU22" s="77">
        <f>SUMPRODUCT(--(WEEKDAY(C$3:AG$3,2)=5),--ISNUMBER(MATCH(C22:AG22,{"DM","CS1","CS2","SB1","AE","CS/B","WEEKEND OUTFIELD RESERVE"},0)))</f>
        <v>1</v>
      </c>
      <c r="AV22" s="77">
        <f>SUMPRODUCT(--(WEEKDAY(C$3:AG$3,2)&gt;5),--ISNUMBER(MATCH(C22:AG22,{"DM","CS1","CS2","SB1","AE","CS/B","WEEKEND OUTFIELD RESERVE"},0)))</f>
        <v>2</v>
      </c>
      <c r="AW22" s="67"/>
      <c r="AX22" s="77">
        <f t="shared" si="3"/>
        <v>8.5</v>
      </c>
      <c r="AY22" s="77">
        <f t="shared" si="4"/>
        <v>8</v>
      </c>
      <c r="AZ22" s="77">
        <f t="shared" si="5"/>
        <v>1</v>
      </c>
      <c r="BA22" s="76">
        <f t="shared" si="6"/>
        <v>9</v>
      </c>
      <c r="BB22" s="76">
        <f t="shared" si="32"/>
        <v>2</v>
      </c>
      <c r="BC22" s="77">
        <f t="shared" si="8"/>
        <v>0.5</v>
      </c>
      <c r="BD22" s="77">
        <f t="shared" si="9"/>
        <v>0</v>
      </c>
      <c r="BE22" s="77">
        <f t="shared" si="10"/>
        <v>0</v>
      </c>
      <c r="BF22" s="77">
        <f t="shared" si="11"/>
        <v>0</v>
      </c>
      <c r="BG22" s="77">
        <f t="shared" si="12"/>
        <v>0</v>
      </c>
      <c r="BH22" s="77">
        <f t="shared" si="13"/>
        <v>0</v>
      </c>
      <c r="BI22" s="77">
        <f t="shared" si="14"/>
        <v>0</v>
      </c>
      <c r="BJ22" s="77">
        <f t="shared" si="15"/>
        <v>1</v>
      </c>
      <c r="BK22" s="77">
        <f t="shared" si="16"/>
        <v>0.5</v>
      </c>
      <c r="BL22" s="77">
        <f t="shared" si="17"/>
        <v>0</v>
      </c>
      <c r="BM22" s="77">
        <f t="shared" si="18"/>
        <v>0</v>
      </c>
      <c r="BN22" s="77">
        <f t="shared" si="36"/>
        <v>0</v>
      </c>
      <c r="BO22" s="77">
        <f t="shared" si="37"/>
        <v>0</v>
      </c>
      <c r="BP22" s="77">
        <f t="shared" si="38"/>
        <v>0</v>
      </c>
      <c r="BQ22" s="67"/>
    </row>
    <row r="23" ht="19.5" customHeight="1" spans="1:69">
      <c r="A23" s="67"/>
      <c r="B23" s="76" t="s">
        <v>618</v>
      </c>
      <c r="C23" s="110"/>
      <c r="D23" s="60"/>
      <c r="E23" s="60" t="s">
        <v>61</v>
      </c>
      <c r="F23" s="60"/>
      <c r="G23" s="60" t="s">
        <v>55</v>
      </c>
      <c r="H23" s="60"/>
      <c r="I23" s="60" t="s">
        <v>56</v>
      </c>
      <c r="J23" s="60"/>
      <c r="L23" s="53" t="s">
        <v>56</v>
      </c>
      <c r="M23" s="60"/>
      <c r="O23" s="53"/>
      <c r="P23" s="60" t="s">
        <v>57</v>
      </c>
      <c r="Q23" s="60"/>
      <c r="R23" s="53" t="s">
        <v>93</v>
      </c>
      <c r="S23" s="60" t="s">
        <v>261</v>
      </c>
      <c r="T23" s="60" t="s">
        <v>873</v>
      </c>
      <c r="U23" s="60" t="s">
        <v>54</v>
      </c>
      <c r="V23" s="60"/>
      <c r="W23" s="60"/>
      <c r="X23" s="53"/>
      <c r="Y23" s="60" t="s">
        <v>56</v>
      </c>
      <c r="Z23" s="136"/>
      <c r="AB23" s="53"/>
      <c r="AC23" s="53"/>
      <c r="AE23" s="60"/>
      <c r="AG23" s="60"/>
      <c r="AH23" s="67">
        <f t="shared" ref="AH23:AP23" si="43">COUNTIF($C23:$AF23,AH$4)</f>
        <v>1</v>
      </c>
      <c r="AI23" s="67">
        <f t="shared" si="43"/>
        <v>3</v>
      </c>
      <c r="AJ23" s="67">
        <f t="shared" si="43"/>
        <v>0</v>
      </c>
      <c r="AK23" s="67">
        <f t="shared" si="43"/>
        <v>0</v>
      </c>
      <c r="AL23" s="67">
        <f t="shared" si="43"/>
        <v>0</v>
      </c>
      <c r="AM23" s="67">
        <f t="shared" si="43"/>
        <v>1</v>
      </c>
      <c r="AN23" s="67">
        <f t="shared" si="43"/>
        <v>0</v>
      </c>
      <c r="AO23" s="67">
        <f t="shared" si="43"/>
        <v>0</v>
      </c>
      <c r="AP23" s="67">
        <f t="shared" si="43"/>
        <v>0</v>
      </c>
      <c r="AQ23" s="76">
        <v>0.5</v>
      </c>
      <c r="AR23" s="76">
        <v>5.5</v>
      </c>
      <c r="AS23" s="77">
        <f>SUMPRODUCT(--(WEEKDAY(C$3:AG$3,2)&lt;5),--ISNUMBER(MATCH(C23:AG23,{"DM","CS1","CS2","SB1","AE","CS/B"},0)))</f>
        <v>2</v>
      </c>
      <c r="AT23" s="67"/>
      <c r="AU23" s="77">
        <f>SUMPRODUCT(--(WEEKDAY(C$3:AG$3,2)=5),--ISNUMBER(MATCH(C23:AG23,{"DM","CS1","CS2","SB1","AE","CS/B","WEEKEND OUTFIELD RESERVE"},0)))</f>
        <v>0</v>
      </c>
      <c r="AV23" s="77">
        <f>SUMPRODUCT(--(WEEKDAY(C$3:AG$3,2)&gt;5),--ISNUMBER(MATCH(C23:AG23,{"DM","CS1","CS2","SB1","AE","CS/B","WEEKEND OUTFIELD RESERVE"},0)))</f>
        <v>2</v>
      </c>
      <c r="AW23" s="67"/>
      <c r="AX23" s="77">
        <f t="shared" si="3"/>
        <v>1.5</v>
      </c>
      <c r="AY23" s="77">
        <f t="shared" si="4"/>
        <v>4</v>
      </c>
      <c r="AZ23" s="77">
        <f t="shared" si="5"/>
        <v>1</v>
      </c>
      <c r="BA23" s="76">
        <f t="shared" si="6"/>
        <v>2</v>
      </c>
      <c r="BB23" s="76">
        <f t="shared" si="32"/>
        <v>-5</v>
      </c>
      <c r="BC23" s="77">
        <f t="shared" si="8"/>
        <v>0.5</v>
      </c>
      <c r="BD23" s="77">
        <f t="shared" si="9"/>
        <v>0</v>
      </c>
      <c r="BE23" s="77">
        <f t="shared" si="10"/>
        <v>0</v>
      </c>
      <c r="BF23" s="77">
        <f t="shared" si="11"/>
        <v>0</v>
      </c>
      <c r="BG23" s="77">
        <f t="shared" si="12"/>
        <v>0</v>
      </c>
      <c r="BH23" s="77">
        <f t="shared" si="13"/>
        <v>0</v>
      </c>
      <c r="BI23" s="77">
        <f t="shared" si="14"/>
        <v>0</v>
      </c>
      <c r="BJ23" s="77">
        <f t="shared" si="15"/>
        <v>1</v>
      </c>
      <c r="BK23" s="77">
        <f t="shared" si="16"/>
        <v>0.5</v>
      </c>
      <c r="BL23" s="77">
        <f t="shared" si="17"/>
        <v>0</v>
      </c>
      <c r="BM23" s="77">
        <f t="shared" si="18"/>
        <v>0</v>
      </c>
      <c r="BN23" s="77">
        <f t="shared" si="36"/>
        <v>0</v>
      </c>
      <c r="BO23" s="77">
        <f t="shared" si="37"/>
        <v>0</v>
      </c>
      <c r="BP23" s="77">
        <f t="shared" si="38"/>
        <v>1</v>
      </c>
      <c r="BQ23" s="67"/>
    </row>
    <row r="24" ht="19.5" customHeight="1" spans="1:69">
      <c r="A24" s="67"/>
      <c r="B24" s="76" t="s">
        <v>627</v>
      </c>
      <c r="C24" s="110"/>
      <c r="D24" s="110"/>
      <c r="E24" s="60" t="s">
        <v>61</v>
      </c>
      <c r="F24" s="110" t="s">
        <v>350</v>
      </c>
      <c r="I24" s="60"/>
      <c r="J24" s="60"/>
      <c r="K24" s="136"/>
      <c r="M24" s="60"/>
      <c r="O24" s="53"/>
      <c r="P24" s="53"/>
      <c r="T24" s="60"/>
      <c r="V24" s="60"/>
      <c r="X24" s="60"/>
      <c r="Z24" s="60"/>
      <c r="AA24" s="53"/>
      <c r="AC24" s="60"/>
      <c r="AD24" s="53"/>
      <c r="AE24" s="60"/>
      <c r="AF24" s="60"/>
      <c r="AG24" s="60"/>
      <c r="AH24" s="67">
        <f t="shared" ref="AH24:AP24" si="44">COUNTIF($C24:$AF24,AH$4)</f>
        <v>0</v>
      </c>
      <c r="AI24" s="67">
        <f t="shared" si="44"/>
        <v>0</v>
      </c>
      <c r="AJ24" s="67">
        <f t="shared" si="44"/>
        <v>0</v>
      </c>
      <c r="AK24" s="67">
        <f t="shared" si="44"/>
        <v>0</v>
      </c>
      <c r="AL24" s="67">
        <f t="shared" si="44"/>
        <v>0</v>
      </c>
      <c r="AM24" s="67">
        <f t="shared" si="44"/>
        <v>0</v>
      </c>
      <c r="AN24" s="67">
        <f t="shared" si="44"/>
        <v>0</v>
      </c>
      <c r="AO24" s="67">
        <f t="shared" si="44"/>
        <v>0</v>
      </c>
      <c r="AP24" s="67">
        <f t="shared" si="44"/>
        <v>0</v>
      </c>
      <c r="AQ24" s="76"/>
      <c r="AR24" s="76">
        <v>5.5</v>
      </c>
      <c r="AS24" s="77">
        <f>SUMPRODUCT(--(WEEKDAY(C$3:AG$3,2)&lt;5),--ISNUMBER(MATCH(C24:AG24,{"DM","CS1","CS2","SB1","AE","CS/B"},0)))</f>
        <v>0</v>
      </c>
      <c r="AT24" s="67"/>
      <c r="AU24" s="77">
        <f>SUMPRODUCT(--(WEEKDAY(C$3:AG$3,2)=5),--ISNUMBER(MATCH(C24:AG24,{"DM","CS1","CS2","SB1","AE","CS/B","WEEKEND OUTFIELD RESERVE"},0)))</f>
        <v>0</v>
      </c>
      <c r="AV24" s="77">
        <f>SUMPRODUCT(--(WEEKDAY(C$3:AG$3,2)&gt;5),--ISNUMBER(MATCH(C24:AG24,{"DM","CS1","CS2","SB1","AE","CS/B","WEEKEND OUTFIELD RESERVE"},0)))</f>
        <v>0</v>
      </c>
      <c r="AW24" s="67"/>
      <c r="AX24" s="77">
        <f t="shared" si="3"/>
        <v>-5.5</v>
      </c>
      <c r="AY24" s="77">
        <f t="shared" si="4"/>
        <v>0</v>
      </c>
      <c r="AZ24" s="77">
        <f t="shared" si="5"/>
        <v>0</v>
      </c>
      <c r="BA24" s="76">
        <f t="shared" si="6"/>
        <v>-5.5</v>
      </c>
      <c r="BB24" s="76">
        <f t="shared" si="32"/>
        <v>-12.5</v>
      </c>
      <c r="BC24" s="77">
        <f t="shared" si="8"/>
        <v>0</v>
      </c>
      <c r="BD24" s="77">
        <f t="shared" si="9"/>
        <v>0</v>
      </c>
      <c r="BE24" s="77">
        <f t="shared" si="10"/>
        <v>0</v>
      </c>
      <c r="BF24" s="77">
        <f t="shared" si="11"/>
        <v>0</v>
      </c>
      <c r="BG24" s="77">
        <f t="shared" si="12"/>
        <v>0</v>
      </c>
      <c r="BH24" s="77">
        <f t="shared" si="13"/>
        <v>0</v>
      </c>
      <c r="BI24" s="77">
        <f t="shared" si="14"/>
        <v>0</v>
      </c>
      <c r="BJ24" s="77">
        <f t="shared" si="15"/>
        <v>0</v>
      </c>
      <c r="BK24" s="77">
        <f t="shared" si="16"/>
        <v>0</v>
      </c>
      <c r="BL24" s="77">
        <f t="shared" si="17"/>
        <v>0</v>
      </c>
      <c r="BM24" s="77">
        <f t="shared" si="18"/>
        <v>0</v>
      </c>
      <c r="BN24" s="77">
        <f>COUNTIF($D24:$Z24,BN$4)</f>
        <v>0</v>
      </c>
      <c r="BO24" s="77">
        <f>COUNTIF($D24:$Z24,BO$4)</f>
        <v>1</v>
      </c>
      <c r="BP24" s="77">
        <f>COUNTIF($D24:$Z24,BP$4)</f>
        <v>0</v>
      </c>
      <c r="BQ24" s="67"/>
    </row>
    <row r="25" ht="48.75" customHeight="1" spans="1:69">
      <c r="A25" s="67"/>
      <c r="B25" s="76" t="s">
        <v>610</v>
      </c>
      <c r="C25" s="107" t="s">
        <v>56</v>
      </c>
      <c r="D25" s="107"/>
      <c r="E25" s="60" t="s">
        <v>878</v>
      </c>
      <c r="F25" s="60" t="s">
        <v>566</v>
      </c>
      <c r="G25" s="60"/>
      <c r="H25" s="60"/>
      <c r="I25" s="53"/>
      <c r="J25" s="60" t="s">
        <v>59</v>
      </c>
      <c r="K25" s="60"/>
      <c r="L25" s="60"/>
      <c r="M25" s="60" t="s">
        <v>879</v>
      </c>
      <c r="N25" s="60" t="s">
        <v>164</v>
      </c>
      <c r="O25" s="60" t="s">
        <v>59</v>
      </c>
      <c r="P25" s="53"/>
      <c r="R25" s="60"/>
      <c r="S25" s="60"/>
      <c r="U25" s="136"/>
      <c r="V25" s="60"/>
      <c r="W25" s="110" t="s">
        <v>350</v>
      </c>
      <c r="X25" s="60" t="s">
        <v>93</v>
      </c>
      <c r="Z25" s="60"/>
      <c r="AA25" s="60" t="s">
        <v>57</v>
      </c>
      <c r="AB25" s="60"/>
      <c r="AC25" s="60" t="s">
        <v>59</v>
      </c>
      <c r="AD25" s="60"/>
      <c r="AE25" s="60"/>
      <c r="AF25" s="60"/>
      <c r="AG25" s="60"/>
      <c r="AH25" s="67">
        <f t="shared" ref="AH25:AP25" si="45">COUNTIF($C25:$AF25,AH$4)</f>
        <v>1</v>
      </c>
      <c r="AI25" s="67">
        <f t="shared" si="45"/>
        <v>1</v>
      </c>
      <c r="AJ25" s="67">
        <f t="shared" si="45"/>
        <v>3</v>
      </c>
      <c r="AK25" s="67">
        <f t="shared" si="45"/>
        <v>1</v>
      </c>
      <c r="AL25" s="67">
        <f t="shared" si="45"/>
        <v>0</v>
      </c>
      <c r="AM25" s="67">
        <f t="shared" si="45"/>
        <v>1</v>
      </c>
      <c r="AN25" s="67">
        <f t="shared" si="45"/>
        <v>0</v>
      </c>
      <c r="AO25" s="67">
        <f t="shared" si="45"/>
        <v>0</v>
      </c>
      <c r="AP25" s="67">
        <f t="shared" si="45"/>
        <v>0</v>
      </c>
      <c r="AQ25" s="76"/>
      <c r="AR25" s="76">
        <v>2</v>
      </c>
      <c r="AS25" s="77">
        <f>SUMPRODUCT(--(WEEKDAY(C$3:AG$3,2)&lt;5),--ISNUMBER(MATCH(C25:AG25,{"DM","CS1","CS2","SB1","AE","CS/B"},0)))</f>
        <v>4</v>
      </c>
      <c r="AT25" s="77"/>
      <c r="AU25" s="77">
        <f>SUMPRODUCT(--(WEEKDAY(C$3:AG$3,2)=5),--ISNUMBER(MATCH(C25:AG25,{"DM","CS1","CS2","SB1","AE","CS/B","WEEKEND OUTFIELD RESERVE"},0)))</f>
        <v>0</v>
      </c>
      <c r="AV25" s="77">
        <f>SUMPRODUCT(--(WEEKDAY(C$3:AG$3,2)&gt;5),--ISNUMBER(MATCH(C25:AG25,{"DM","CS1","CS2","SB1","AE","CS/B","WEEKEND OUTFIELD RESERVE"},0)))</f>
        <v>2</v>
      </c>
      <c r="AW25" s="77"/>
      <c r="AX25" s="77">
        <f t="shared" si="3"/>
        <v>6.5</v>
      </c>
      <c r="AY25" s="77">
        <f t="shared" si="4"/>
        <v>6</v>
      </c>
      <c r="AZ25" s="77">
        <f t="shared" si="5"/>
        <v>2</v>
      </c>
      <c r="BA25" s="76">
        <f t="shared" si="6"/>
        <v>8</v>
      </c>
      <c r="BB25" s="76">
        <f t="shared" si="32"/>
        <v>1</v>
      </c>
      <c r="BC25" s="77">
        <f t="shared" si="8"/>
        <v>1.5</v>
      </c>
      <c r="BD25" s="77">
        <f t="shared" si="9"/>
        <v>0</v>
      </c>
      <c r="BE25" s="77">
        <f t="shared" si="10"/>
        <v>0</v>
      </c>
      <c r="BF25" s="77">
        <f t="shared" si="11"/>
        <v>1</v>
      </c>
      <c r="BG25" s="77">
        <f t="shared" si="12"/>
        <v>1</v>
      </c>
      <c r="BH25" s="77">
        <f t="shared" si="13"/>
        <v>0</v>
      </c>
      <c r="BI25" s="77">
        <f t="shared" si="14"/>
        <v>0</v>
      </c>
      <c r="BJ25" s="77">
        <f t="shared" si="15"/>
        <v>1</v>
      </c>
      <c r="BK25" s="77">
        <f t="shared" si="16"/>
        <v>0.5</v>
      </c>
      <c r="BL25" s="77">
        <f t="shared" si="17"/>
        <v>0</v>
      </c>
      <c r="BM25" s="77">
        <f t="shared" si="18"/>
        <v>0</v>
      </c>
      <c r="BN25" s="77">
        <f>COUNTIF($D25:$AA25,BN$4)</f>
        <v>0</v>
      </c>
      <c r="BO25" s="77">
        <f>COUNTIF($D25:$AA25,BO$4)</f>
        <v>1</v>
      </c>
      <c r="BP25" s="77">
        <f>COUNTIF($D25:$AA25,BP$4)</f>
        <v>0</v>
      </c>
      <c r="BQ25" s="77"/>
    </row>
    <row r="26" ht="19.5" customHeight="1" spans="1:69">
      <c r="A26" s="67"/>
      <c r="B26" s="76" t="s">
        <v>633</v>
      </c>
      <c r="C26" s="107"/>
      <c r="D26" s="107" t="s">
        <v>59</v>
      </c>
      <c r="E26" s="136"/>
      <c r="F26" s="60" t="s">
        <v>93</v>
      </c>
      <c r="G26" s="60"/>
      <c r="H26" s="60" t="s">
        <v>56</v>
      </c>
      <c r="I26" s="60"/>
      <c r="J26" s="60"/>
      <c r="K26" s="60"/>
      <c r="L26" s="60"/>
      <c r="M26" s="60" t="s">
        <v>93</v>
      </c>
      <c r="N26" s="60"/>
      <c r="O26" s="110" t="s">
        <v>350</v>
      </c>
      <c r="P26" s="60"/>
      <c r="Q26" s="60" t="s">
        <v>246</v>
      </c>
      <c r="S26" s="60"/>
      <c r="T26" s="60" t="s">
        <v>104</v>
      </c>
      <c r="U26" s="60"/>
      <c r="V26" s="60"/>
      <c r="W26" s="53" t="s">
        <v>59</v>
      </c>
      <c r="X26" s="60"/>
      <c r="Y26" s="136" t="s">
        <v>880</v>
      </c>
      <c r="Z26" s="60" t="s">
        <v>573</v>
      </c>
      <c r="AA26" s="60"/>
      <c r="AB26" s="60" t="s">
        <v>57</v>
      </c>
      <c r="AC26" s="60"/>
      <c r="AD26" s="60"/>
      <c r="AE26" s="60" t="s">
        <v>59</v>
      </c>
      <c r="AF26" s="60"/>
      <c r="AG26" s="60"/>
      <c r="AH26" s="67">
        <f t="shared" ref="AH26:AP26" si="46">COUNTIF($C26:$AF26,AH$4)</f>
        <v>1</v>
      </c>
      <c r="AI26" s="67">
        <f t="shared" si="46"/>
        <v>1</v>
      </c>
      <c r="AJ26" s="67">
        <f t="shared" si="46"/>
        <v>3</v>
      </c>
      <c r="AK26" s="67">
        <f t="shared" si="46"/>
        <v>0</v>
      </c>
      <c r="AL26" s="67">
        <f t="shared" si="46"/>
        <v>0</v>
      </c>
      <c r="AM26" s="67">
        <f t="shared" si="46"/>
        <v>2</v>
      </c>
      <c r="AN26" s="67">
        <f t="shared" si="46"/>
        <v>0</v>
      </c>
      <c r="AO26" s="67">
        <f t="shared" si="46"/>
        <v>0</v>
      </c>
      <c r="AP26" s="67">
        <f t="shared" si="46"/>
        <v>0</v>
      </c>
      <c r="AQ26" s="76"/>
      <c r="AR26" s="76">
        <v>2</v>
      </c>
      <c r="AS26" s="77">
        <f>SUMPRODUCT(--(WEEKDAY(C$3:AG$3,2)&lt;5),--ISNUMBER(MATCH(C26:AG26,{"DM","CS1","CS2","SB1","AE","CS/B"},0)))</f>
        <v>2</v>
      </c>
      <c r="AT26" s="67"/>
      <c r="AU26" s="77">
        <f>SUMPRODUCT(--(WEEKDAY(C$3:AG$3,2)=5),--ISNUMBER(MATCH(C26:AG26,{"DM","CS1","CS2","SB1","AE","CS/B","WEEKEND OUTFIELD RESERVE"},0)))</f>
        <v>1</v>
      </c>
      <c r="AV26" s="77">
        <f>SUMPRODUCT(--(WEEKDAY(C$3:AG$3,2)&gt;5),--ISNUMBER(MATCH(C26:AG26,{"DM","CS1","CS2","SB1","AE","CS/B","WEEKEND OUTFIELD RESERVE"},0)))</f>
        <v>2</v>
      </c>
      <c r="AW26" s="67"/>
      <c r="AX26" s="77">
        <f t="shared" si="3"/>
        <v>6.5</v>
      </c>
      <c r="AY26" s="77">
        <f t="shared" si="4"/>
        <v>5</v>
      </c>
      <c r="AZ26" s="77">
        <f t="shared" si="5"/>
        <v>3</v>
      </c>
      <c r="BA26" s="76">
        <f t="shared" si="6"/>
        <v>8</v>
      </c>
      <c r="BB26" s="76">
        <f t="shared" si="32"/>
        <v>1</v>
      </c>
      <c r="BC26" s="77">
        <f t="shared" si="8"/>
        <v>1.5</v>
      </c>
      <c r="BD26" s="77">
        <f t="shared" si="9"/>
        <v>0</v>
      </c>
      <c r="BE26" s="77">
        <f t="shared" si="10"/>
        <v>0</v>
      </c>
      <c r="BF26" s="77">
        <f t="shared" si="11"/>
        <v>0</v>
      </c>
      <c r="BG26" s="77">
        <f t="shared" si="12"/>
        <v>0</v>
      </c>
      <c r="BH26" s="77">
        <f t="shared" si="13"/>
        <v>1</v>
      </c>
      <c r="BI26" s="77">
        <f t="shared" si="14"/>
        <v>0.5</v>
      </c>
      <c r="BJ26" s="77">
        <f t="shared" si="15"/>
        <v>2</v>
      </c>
      <c r="BK26" s="77">
        <f t="shared" si="16"/>
        <v>1</v>
      </c>
      <c r="BL26" s="77">
        <f t="shared" si="17"/>
        <v>0</v>
      </c>
      <c r="BM26" s="77">
        <f t="shared" si="18"/>
        <v>0</v>
      </c>
      <c r="BN26" s="77">
        <f>COUNTIF($D26:$Z26,BN$4)</f>
        <v>0</v>
      </c>
      <c r="BO26" s="77">
        <f>COUNTIF($D26:$Z26,BO$4)</f>
        <v>1</v>
      </c>
      <c r="BP26" s="77">
        <f>COUNTIF($D26:$Z26,BP$4)</f>
        <v>0</v>
      </c>
      <c r="BQ26" s="67"/>
    </row>
    <row r="27" ht="19.5" customHeight="1" spans="1:69">
      <c r="A27" s="67"/>
      <c r="B27" s="76" t="s">
        <v>637</v>
      </c>
      <c r="C27" s="110" t="s">
        <v>59</v>
      </c>
      <c r="D27" s="136"/>
      <c r="E27" s="60" t="s">
        <v>58</v>
      </c>
      <c r="F27" s="60"/>
      <c r="G27" s="60" t="s">
        <v>56</v>
      </c>
      <c r="H27" s="60"/>
      <c r="I27" s="60"/>
      <c r="J27" s="60"/>
      <c r="K27" s="136"/>
      <c r="L27" s="60"/>
      <c r="M27" s="60"/>
      <c r="N27" s="60"/>
      <c r="P27" s="60"/>
      <c r="Q27" s="60"/>
      <c r="R27" s="60"/>
      <c r="S27" s="60"/>
      <c r="T27" s="136"/>
      <c r="U27" s="60" t="s">
        <v>93</v>
      </c>
      <c r="V27" s="53"/>
      <c r="W27" s="53"/>
      <c r="X27" s="60"/>
      <c r="Y27" s="60" t="s">
        <v>57</v>
      </c>
      <c r="Z27" s="53"/>
      <c r="AA27" s="60" t="s">
        <v>881</v>
      </c>
      <c r="AB27" s="60"/>
      <c r="AC27" s="60"/>
      <c r="AD27" s="136"/>
      <c r="AE27" s="60"/>
      <c r="AF27" s="60" t="s">
        <v>873</v>
      </c>
      <c r="AG27" s="60"/>
      <c r="AH27" s="67">
        <f t="shared" ref="AH27:AP27" si="47">COUNTIF($C27:$AF27,AH$4)</f>
        <v>1</v>
      </c>
      <c r="AI27" s="67">
        <f t="shared" si="47"/>
        <v>1</v>
      </c>
      <c r="AJ27" s="67">
        <f t="shared" si="47"/>
        <v>1</v>
      </c>
      <c r="AK27" s="67">
        <f t="shared" si="47"/>
        <v>0</v>
      </c>
      <c r="AL27" s="67">
        <f t="shared" si="47"/>
        <v>1</v>
      </c>
      <c r="AM27" s="67">
        <f t="shared" si="47"/>
        <v>1</v>
      </c>
      <c r="AN27" s="67">
        <f t="shared" si="47"/>
        <v>0</v>
      </c>
      <c r="AO27" s="67">
        <f t="shared" si="47"/>
        <v>0</v>
      </c>
      <c r="AP27" s="67">
        <f t="shared" si="47"/>
        <v>0</v>
      </c>
      <c r="AQ27" s="76">
        <v>1</v>
      </c>
      <c r="AR27" s="76"/>
      <c r="AS27" s="77">
        <f>SUMPRODUCT(--(WEEKDAY(C$3:AG$3,2)&lt;5),--ISNUMBER(MATCH(C27:AG27,{"DM","CS1","CS2","SB1","AE","CS/B"},0)))</f>
        <v>3</v>
      </c>
      <c r="AT27" s="67"/>
      <c r="AU27" s="77">
        <f>SUMPRODUCT(--(WEEKDAY(C$3:AG$3,2)=5),--ISNUMBER(MATCH(C27:AG27,{"DM","CS1","CS2","SB1","AE","CS/B","WEEKEND OUTFIELD RESERVE"},0)))</f>
        <v>1</v>
      </c>
      <c r="AV27" s="77">
        <f>SUMPRODUCT(--(WEEKDAY(C$3:AG$3,2)&gt;5),--ISNUMBER(MATCH(C27:AG27,{"DM","CS1","CS2","SB1","AE","CS/B","WEEKEND OUTFIELD RESERVE"},0)))</f>
        <v>0</v>
      </c>
      <c r="AW27" s="67"/>
      <c r="AX27" s="77">
        <f t="shared" si="3"/>
        <v>6</v>
      </c>
      <c r="AY27" s="77">
        <f t="shared" si="4"/>
        <v>4</v>
      </c>
      <c r="AZ27" s="77">
        <f t="shared" si="5"/>
        <v>2</v>
      </c>
      <c r="BA27" s="76">
        <f t="shared" si="6"/>
        <v>7</v>
      </c>
      <c r="BB27" s="76">
        <f t="shared" si="32"/>
        <v>0</v>
      </c>
      <c r="BC27" s="77">
        <f t="shared" si="8"/>
        <v>1</v>
      </c>
      <c r="BD27" s="77">
        <f t="shared" si="9"/>
        <v>0</v>
      </c>
      <c r="BE27" s="77">
        <f t="shared" si="10"/>
        <v>0</v>
      </c>
      <c r="BF27" s="77">
        <f t="shared" si="11"/>
        <v>0</v>
      </c>
      <c r="BG27" s="77">
        <f t="shared" si="12"/>
        <v>0</v>
      </c>
      <c r="BH27" s="77">
        <f t="shared" si="13"/>
        <v>0</v>
      </c>
      <c r="BI27" s="77">
        <f t="shared" si="14"/>
        <v>0</v>
      </c>
      <c r="BJ27" s="77">
        <f t="shared" si="15"/>
        <v>2</v>
      </c>
      <c r="BK27" s="77">
        <f t="shared" si="16"/>
        <v>1</v>
      </c>
      <c r="BL27" s="77">
        <f t="shared" si="17"/>
        <v>0</v>
      </c>
      <c r="BM27" s="77">
        <f t="shared" si="18"/>
        <v>0</v>
      </c>
      <c r="BN27" s="77">
        <f>COUNTIF($H27:$AA27,BN$4)</f>
        <v>0</v>
      </c>
      <c r="BO27" s="77">
        <f>COUNTIF($H27:$AA27,BO$4)</f>
        <v>0</v>
      </c>
      <c r="BP27" s="77">
        <f>COUNTIF($H27:$AA27,BP$4)</f>
        <v>0</v>
      </c>
      <c r="BQ27" s="67"/>
    </row>
    <row r="28" ht="51.75" customHeight="1" spans="1:69">
      <c r="A28" s="67"/>
      <c r="B28" s="76" t="s">
        <v>639</v>
      </c>
      <c r="C28" s="107"/>
      <c r="D28" s="107"/>
      <c r="E28" s="60" t="s">
        <v>65</v>
      </c>
      <c r="F28" s="53"/>
      <c r="G28" s="110" t="s">
        <v>350</v>
      </c>
      <c r="H28" s="60"/>
      <c r="I28" s="60"/>
      <c r="J28" s="60"/>
      <c r="K28" s="60"/>
      <c r="L28" s="60" t="s">
        <v>93</v>
      </c>
      <c r="M28" s="60"/>
      <c r="N28" s="60"/>
      <c r="O28" s="60"/>
      <c r="P28" s="60"/>
      <c r="Q28" s="53"/>
      <c r="R28" s="60"/>
      <c r="S28" s="60"/>
      <c r="T28" s="60"/>
      <c r="U28" s="53" t="s">
        <v>56</v>
      </c>
      <c r="V28" s="53"/>
      <c r="W28" s="60"/>
      <c r="X28" s="53"/>
      <c r="Y28" s="60"/>
      <c r="AA28" s="60" t="s">
        <v>59</v>
      </c>
      <c r="AB28" s="60"/>
      <c r="AC28" s="53"/>
      <c r="AD28" s="136" t="s">
        <v>56</v>
      </c>
      <c r="AE28" s="53" t="s">
        <v>93</v>
      </c>
      <c r="AF28" s="60"/>
      <c r="AG28" s="53"/>
      <c r="AH28" s="67">
        <f t="shared" ref="AH28:AP28" si="48">COUNTIF($C28:$AF28,AH$4)</f>
        <v>0</v>
      </c>
      <c r="AI28" s="67">
        <f t="shared" si="48"/>
        <v>2</v>
      </c>
      <c r="AJ28" s="67">
        <f t="shared" si="48"/>
        <v>1</v>
      </c>
      <c r="AK28" s="67">
        <f t="shared" si="48"/>
        <v>0</v>
      </c>
      <c r="AL28" s="67">
        <f t="shared" si="48"/>
        <v>0</v>
      </c>
      <c r="AM28" s="67">
        <f t="shared" si="48"/>
        <v>2</v>
      </c>
      <c r="AN28" s="67">
        <f t="shared" si="48"/>
        <v>1</v>
      </c>
      <c r="AO28" s="67">
        <f t="shared" si="48"/>
        <v>0</v>
      </c>
      <c r="AP28" s="67">
        <f t="shared" si="48"/>
        <v>0</v>
      </c>
      <c r="AQ28" s="76">
        <v>2</v>
      </c>
      <c r="AR28" s="76"/>
      <c r="AS28" s="77">
        <f>SUMPRODUCT(--(WEEKDAY(C$3:AG$3,2)&lt;5),--ISNUMBER(MATCH(C28:AG28,{"DM","CS1","CS2","SB1","AE","CS/B"},0)))</f>
        <v>2</v>
      </c>
      <c r="AT28" s="67"/>
      <c r="AU28" s="77">
        <f>SUMPRODUCT(--(WEEKDAY(C$3:AG$3,2)=5),--ISNUMBER(MATCH(C28:AG28,{"DM","CS1","CS2","SB1","AE","CS/B","WEEKEND OUTFIELD RESERVE"},0)))</f>
        <v>1</v>
      </c>
      <c r="AV28" s="77">
        <f>SUMPRODUCT(--(WEEKDAY(C$3:AG$3,2)&gt;5),--ISNUMBER(MATCH(C28:AG28,{"DM","CS1","CS2","SB1","AE","CS/B","WEEKEND OUTFIELD RESERVE"},0)))</f>
        <v>1</v>
      </c>
      <c r="AW28" s="67"/>
      <c r="AX28" s="77">
        <f t="shared" si="3"/>
        <v>8.5</v>
      </c>
      <c r="AY28" s="77">
        <f t="shared" si="4"/>
        <v>4</v>
      </c>
      <c r="AZ28" s="77">
        <f t="shared" si="5"/>
        <v>0</v>
      </c>
      <c r="BA28" s="76">
        <f t="shared" si="6"/>
        <v>8.5</v>
      </c>
      <c r="BB28" s="76">
        <f t="shared" si="32"/>
        <v>1.5</v>
      </c>
      <c r="BC28" s="77">
        <f t="shared" si="8"/>
        <v>0</v>
      </c>
      <c r="BD28" s="77">
        <f t="shared" si="9"/>
        <v>0</v>
      </c>
      <c r="BE28" s="77">
        <f t="shared" si="10"/>
        <v>0</v>
      </c>
      <c r="BF28" s="77">
        <f t="shared" si="11"/>
        <v>0</v>
      </c>
      <c r="BG28" s="77">
        <f t="shared" si="12"/>
        <v>0</v>
      </c>
      <c r="BH28" s="77">
        <f t="shared" si="13"/>
        <v>0</v>
      </c>
      <c r="BI28" s="77">
        <f t="shared" si="14"/>
        <v>0</v>
      </c>
      <c r="BJ28" s="77">
        <f t="shared" si="15"/>
        <v>0</v>
      </c>
      <c r="BK28" s="77">
        <f t="shared" si="16"/>
        <v>0</v>
      </c>
      <c r="BL28" s="77">
        <f t="shared" si="17"/>
        <v>0</v>
      </c>
      <c r="BM28" s="77">
        <f t="shared" si="18"/>
        <v>0</v>
      </c>
      <c r="BN28" s="77">
        <f>COUNTIF($D28:$Z28,BN$4)</f>
        <v>0</v>
      </c>
      <c r="BO28" s="77">
        <f>COUNTIF($D28:$Z28,BO$4)</f>
        <v>1</v>
      </c>
      <c r="BP28" s="77">
        <f>COUNTIF($D28:$Z28,BP$4)</f>
        <v>0</v>
      </c>
      <c r="BQ28" s="67"/>
    </row>
    <row r="29" ht="19.5" customHeight="1" spans="1:69">
      <c r="A29" s="67"/>
      <c r="B29" s="76" t="s">
        <v>736</v>
      </c>
      <c r="C29" s="110"/>
      <c r="D29" s="110"/>
      <c r="E29" s="60" t="s">
        <v>680</v>
      </c>
      <c r="F29" s="60"/>
      <c r="G29" s="60" t="s">
        <v>93</v>
      </c>
      <c r="H29" s="60" t="s">
        <v>58</v>
      </c>
      <c r="I29" s="60"/>
      <c r="J29" s="60"/>
      <c r="K29" s="60" t="s">
        <v>59</v>
      </c>
      <c r="L29" s="60"/>
      <c r="M29" s="60"/>
      <c r="N29" s="53"/>
      <c r="O29" s="60"/>
      <c r="P29" s="60"/>
      <c r="Q29" s="60"/>
      <c r="R29" s="60" t="s">
        <v>246</v>
      </c>
      <c r="S29" s="60"/>
      <c r="T29" s="60" t="s">
        <v>54</v>
      </c>
      <c r="U29" s="60" t="s">
        <v>54</v>
      </c>
      <c r="V29" s="53" t="s">
        <v>54</v>
      </c>
      <c r="W29" s="60" t="s">
        <v>54</v>
      </c>
      <c r="X29" s="53" t="s">
        <v>54</v>
      </c>
      <c r="Y29" s="60" t="s">
        <v>54</v>
      </c>
      <c r="Z29" s="110" t="s">
        <v>350</v>
      </c>
      <c r="AA29" s="60"/>
      <c r="AB29" s="60" t="s">
        <v>59</v>
      </c>
      <c r="AC29" s="60"/>
      <c r="AD29" s="60"/>
      <c r="AE29" s="53"/>
      <c r="AF29" s="60"/>
      <c r="AG29" s="60"/>
      <c r="AH29" s="67">
        <f t="shared" ref="AH29:AP29" si="49">COUNTIF($C29:$AF29,AH$4)</f>
        <v>0</v>
      </c>
      <c r="AI29" s="67">
        <f t="shared" si="49"/>
        <v>0</v>
      </c>
      <c r="AJ29" s="67">
        <f t="shared" si="49"/>
        <v>2</v>
      </c>
      <c r="AK29" s="67">
        <f t="shared" si="49"/>
        <v>0</v>
      </c>
      <c r="AL29" s="67">
        <f t="shared" si="49"/>
        <v>1</v>
      </c>
      <c r="AM29" s="67">
        <f t="shared" si="49"/>
        <v>1</v>
      </c>
      <c r="AN29" s="67">
        <f t="shared" si="49"/>
        <v>0</v>
      </c>
      <c r="AO29" s="67">
        <f t="shared" si="49"/>
        <v>0</v>
      </c>
      <c r="AP29" s="67">
        <f t="shared" si="49"/>
        <v>0</v>
      </c>
      <c r="AQ29" s="76"/>
      <c r="AR29" s="76"/>
      <c r="AS29" s="77">
        <f>SUMPRODUCT(--(WEEKDAY(C$3:AG$3,2)&lt;5),--ISNUMBER(MATCH(C29:AG29,{"DM","CS1","CS2","SB1","AE","CS/B"},0)))</f>
        <v>1</v>
      </c>
      <c r="AT29" s="67"/>
      <c r="AU29" s="77">
        <f>SUMPRODUCT(--(WEEKDAY(C$3:AG$3,2)=5),--ISNUMBER(MATCH(C29:AG29,{"DM","CS1","CS2","SB1","AE","CS/B","WEEKEND OUTFIELD RESERVE"},0)))</f>
        <v>1</v>
      </c>
      <c r="AV29" s="77">
        <f>SUMPRODUCT(--(WEEKDAY(C$3:AG$3,2)&gt;5),--ISNUMBER(MATCH(C29:AG29,{"DM","CS1","CS2","SB1","AE","CS/B","WEEKEND OUTFIELD RESERVE"},0)))</f>
        <v>1</v>
      </c>
      <c r="AW29" s="67"/>
      <c r="AX29" s="77">
        <f t="shared" si="3"/>
        <v>5</v>
      </c>
      <c r="AY29" s="77">
        <f t="shared" si="4"/>
        <v>3</v>
      </c>
      <c r="AZ29" s="77">
        <f t="shared" si="5"/>
        <v>2</v>
      </c>
      <c r="BA29" s="76">
        <f t="shared" si="6"/>
        <v>6.5</v>
      </c>
      <c r="BB29" s="76">
        <f t="shared" si="32"/>
        <v>-0.5</v>
      </c>
      <c r="BC29" s="77">
        <f t="shared" si="8"/>
        <v>1.5</v>
      </c>
      <c r="BD29" s="77">
        <f t="shared" si="9"/>
        <v>0</v>
      </c>
      <c r="BE29" s="77">
        <f t="shared" si="10"/>
        <v>0</v>
      </c>
      <c r="BF29" s="77">
        <f t="shared" si="11"/>
        <v>1</v>
      </c>
      <c r="BG29" s="77">
        <f t="shared" si="12"/>
        <v>1</v>
      </c>
      <c r="BH29" s="77">
        <f t="shared" si="13"/>
        <v>0</v>
      </c>
      <c r="BI29" s="77">
        <f t="shared" si="14"/>
        <v>0</v>
      </c>
      <c r="BJ29" s="77">
        <f t="shared" si="15"/>
        <v>1</v>
      </c>
      <c r="BK29" s="77">
        <f t="shared" si="16"/>
        <v>0.5</v>
      </c>
      <c r="BL29" s="77">
        <f t="shared" si="17"/>
        <v>0</v>
      </c>
      <c r="BM29" s="77">
        <f t="shared" si="18"/>
        <v>0</v>
      </c>
      <c r="BN29" s="77">
        <f>COUNTIF($D29:$AA29,BN$4)</f>
        <v>0</v>
      </c>
      <c r="BO29" s="77">
        <f>COUNTIF($D29:$AA29,BO$4)</f>
        <v>1</v>
      </c>
      <c r="BP29" s="77">
        <f>COUNTIF($D29:$AA29,BP$4)</f>
        <v>0</v>
      </c>
      <c r="BQ29" s="67"/>
    </row>
    <row r="30" ht="19.5" customHeight="1" spans="1:69">
      <c r="A30" s="67"/>
      <c r="B30" s="76" t="s">
        <v>739</v>
      </c>
      <c r="C30" s="107"/>
      <c r="D30" s="107"/>
      <c r="E30" s="60" t="s">
        <v>882</v>
      </c>
      <c r="F30" s="60" t="s">
        <v>56</v>
      </c>
      <c r="G30" s="60"/>
      <c r="H30" s="60"/>
      <c r="I30" s="53"/>
      <c r="J30" s="60" t="s">
        <v>56</v>
      </c>
      <c r="K30" s="60" t="s">
        <v>93</v>
      </c>
      <c r="L30" s="60"/>
      <c r="M30" s="53"/>
      <c r="N30" s="60" t="s">
        <v>59</v>
      </c>
      <c r="O30" s="53"/>
      <c r="P30" s="53"/>
      <c r="Q30" s="60" t="s">
        <v>56</v>
      </c>
      <c r="R30" s="60"/>
      <c r="S30" s="60"/>
      <c r="T30" s="60" t="s">
        <v>54</v>
      </c>
      <c r="U30" s="53" t="s">
        <v>54</v>
      </c>
      <c r="V30" s="60" t="s">
        <v>54</v>
      </c>
      <c r="W30" s="53"/>
      <c r="X30" s="60" t="s">
        <v>763</v>
      </c>
      <c r="Y30" s="60"/>
      <c r="Z30" s="136" t="s">
        <v>93</v>
      </c>
      <c r="AA30" s="136"/>
      <c r="AB30" s="136" t="s">
        <v>883</v>
      </c>
      <c r="AC30" s="60"/>
      <c r="AD30" s="60" t="s">
        <v>65</v>
      </c>
      <c r="AE30" s="60"/>
      <c r="AF30" s="110" t="s">
        <v>350</v>
      </c>
      <c r="AG30" s="60"/>
      <c r="AH30" s="67">
        <f t="shared" ref="AH30:AP30" si="50">COUNTIF($C30:$AF30,AH$4)</f>
        <v>0</v>
      </c>
      <c r="AI30" s="67">
        <f t="shared" si="50"/>
        <v>3</v>
      </c>
      <c r="AJ30" s="67">
        <f t="shared" si="50"/>
        <v>1</v>
      </c>
      <c r="AK30" s="67">
        <f t="shared" si="50"/>
        <v>0</v>
      </c>
      <c r="AL30" s="67">
        <f t="shared" si="50"/>
        <v>0</v>
      </c>
      <c r="AM30" s="67">
        <f t="shared" si="50"/>
        <v>2</v>
      </c>
      <c r="AN30" s="67">
        <f t="shared" si="50"/>
        <v>1</v>
      </c>
      <c r="AO30" s="67">
        <f t="shared" si="50"/>
        <v>0</v>
      </c>
      <c r="AP30" s="67">
        <f t="shared" si="50"/>
        <v>0</v>
      </c>
      <c r="AQ30" s="76"/>
      <c r="AR30" s="76">
        <v>1.5</v>
      </c>
      <c r="AS30" s="77">
        <f>SUMPRODUCT(--(WEEKDAY(C$3:AG$3,2)&lt;5),--ISNUMBER(MATCH(C30:AG30,{"DM","CS1","CS2","SB1","AE","CS/B"},0)))</f>
        <v>3</v>
      </c>
      <c r="AT30" s="67"/>
      <c r="AU30" s="77">
        <f>SUMPRODUCT(--(WEEKDAY(C$3:AG$3,2)=5),--ISNUMBER(MATCH(C30:AG30,{"DM","CS1","CS2","SB1","AE","CS/B","WEEKEND OUTFIELD RESERVE"},0)))</f>
        <v>1</v>
      </c>
      <c r="AV30" s="77">
        <f>SUMPRODUCT(--(WEEKDAY(C$3:AG$3,2)&gt;5),--ISNUMBER(MATCH(C30:AG30,{"DM","CS1","CS2","SB1","AE","CS/B","WEEKEND OUTFIELD RESERVE"},0)))</f>
        <v>1</v>
      </c>
      <c r="AW30" s="67"/>
      <c r="AX30" s="77">
        <f t="shared" si="3"/>
        <v>6</v>
      </c>
      <c r="AY30" s="77">
        <f t="shared" si="4"/>
        <v>5</v>
      </c>
      <c r="AZ30" s="77">
        <f t="shared" si="5"/>
        <v>2</v>
      </c>
      <c r="BA30" s="76">
        <f t="shared" si="6"/>
        <v>7</v>
      </c>
      <c r="BB30" s="76">
        <f t="shared" si="32"/>
        <v>0</v>
      </c>
      <c r="BC30" s="77">
        <f t="shared" si="8"/>
        <v>1</v>
      </c>
      <c r="BD30" s="77">
        <f t="shared" si="9"/>
        <v>0</v>
      </c>
      <c r="BE30" s="77">
        <f t="shared" si="10"/>
        <v>0</v>
      </c>
      <c r="BF30" s="77">
        <f t="shared" si="11"/>
        <v>0</v>
      </c>
      <c r="BG30" s="77">
        <f t="shared" si="12"/>
        <v>0</v>
      </c>
      <c r="BH30" s="77">
        <f t="shared" si="13"/>
        <v>0</v>
      </c>
      <c r="BI30" s="77">
        <f t="shared" si="14"/>
        <v>0</v>
      </c>
      <c r="BJ30" s="77">
        <f t="shared" si="15"/>
        <v>2</v>
      </c>
      <c r="BK30" s="77">
        <f t="shared" si="16"/>
        <v>1</v>
      </c>
      <c r="BL30" s="77">
        <f t="shared" si="17"/>
        <v>0</v>
      </c>
      <c r="BM30" s="77">
        <f t="shared" si="18"/>
        <v>0</v>
      </c>
      <c r="BN30" s="77">
        <f>COUNTIF($D30:$Y30,BN$4)</f>
        <v>0</v>
      </c>
      <c r="BO30" s="77">
        <f>COUNTIF($D30:$Y30,BO$4)</f>
        <v>0</v>
      </c>
      <c r="BP30" s="77">
        <f>COUNTIF($D30:$Y30,BP$4)</f>
        <v>0</v>
      </c>
      <c r="BQ30" s="67"/>
    </row>
    <row r="31" ht="19.5" customHeight="1" spans="1:69">
      <c r="A31" s="67"/>
      <c r="B31" s="76" t="s">
        <v>649</v>
      </c>
      <c r="C31" s="110" t="s">
        <v>58</v>
      </c>
      <c r="D31" s="110"/>
      <c r="E31" s="60" t="s">
        <v>677</v>
      </c>
      <c r="F31" s="60" t="s">
        <v>678</v>
      </c>
      <c r="G31" s="60"/>
      <c r="J31" s="60" t="s">
        <v>54</v>
      </c>
      <c r="K31" s="60" t="s">
        <v>54</v>
      </c>
      <c r="L31" s="60" t="s">
        <v>54</v>
      </c>
      <c r="M31" s="53" t="s">
        <v>54</v>
      </c>
      <c r="N31" s="60" t="s">
        <v>93</v>
      </c>
      <c r="O31" s="53"/>
      <c r="P31" s="53"/>
      <c r="Q31" s="60" t="s">
        <v>65</v>
      </c>
      <c r="R31" s="60"/>
      <c r="S31" s="60"/>
      <c r="T31" s="60" t="s">
        <v>54</v>
      </c>
      <c r="U31" s="60" t="s">
        <v>54</v>
      </c>
      <c r="V31" s="60" t="s">
        <v>54</v>
      </c>
      <c r="W31" s="60"/>
      <c r="X31" s="60"/>
      <c r="Y31" s="60"/>
      <c r="Z31" s="60" t="s">
        <v>884</v>
      </c>
      <c r="AA31" s="136" t="s">
        <v>93</v>
      </c>
      <c r="AB31" s="60"/>
      <c r="AC31" s="136"/>
      <c r="AD31" s="53" t="s">
        <v>59</v>
      </c>
      <c r="AE31" s="60"/>
      <c r="AF31" s="60" t="s">
        <v>59</v>
      </c>
      <c r="AG31" s="60"/>
      <c r="AH31" s="67">
        <f t="shared" ref="AH31:AP31" si="51">COUNTIF($C31:$AF31,AH$4)</f>
        <v>0</v>
      </c>
      <c r="AI31" s="67">
        <f t="shared" si="51"/>
        <v>0</v>
      </c>
      <c r="AJ31" s="67">
        <f t="shared" si="51"/>
        <v>2</v>
      </c>
      <c r="AK31" s="67">
        <f t="shared" si="51"/>
        <v>0</v>
      </c>
      <c r="AL31" s="67">
        <f t="shared" si="51"/>
        <v>1</v>
      </c>
      <c r="AM31" s="67">
        <f t="shared" si="51"/>
        <v>2</v>
      </c>
      <c r="AN31" s="67">
        <f t="shared" si="51"/>
        <v>1</v>
      </c>
      <c r="AO31" s="67">
        <f t="shared" si="51"/>
        <v>0</v>
      </c>
      <c r="AP31" s="67">
        <f t="shared" si="51"/>
        <v>0</v>
      </c>
      <c r="AQ31" s="76"/>
      <c r="AR31" s="76">
        <v>0.5</v>
      </c>
      <c r="AS31" s="77">
        <f>SUMPRODUCT(--(WEEKDAY(C$3:AG$3,2)&lt;5),--ISNUMBER(MATCH(C31:AG31,{"DM","CS1","CS2","SB1","AE","CS/B"},0)))</f>
        <v>3</v>
      </c>
      <c r="AT31" s="67"/>
      <c r="AU31" s="77">
        <f>SUMPRODUCT(--(WEEKDAY(C$3:AG$3,2)=5),--ISNUMBER(MATCH(C31:AG31,{"DM","CS1","CS2","SB1","AE","CS/B","WEEKEND OUTFIELD RESERVE"},0)))</f>
        <v>0</v>
      </c>
      <c r="AV31" s="77">
        <f>SUMPRODUCT(--(WEEKDAY(C$3:AG$3,2)&gt;5),--ISNUMBER(MATCH(C31:AG31,{"DM","CS1","CS2","SB1","AE","CS/B","WEEKEND OUTFIELD RESERVE"},0)))</f>
        <v>1</v>
      </c>
      <c r="AW31" s="67"/>
      <c r="AX31" s="77">
        <f t="shared" si="3"/>
        <v>5.5</v>
      </c>
      <c r="AY31" s="77">
        <f t="shared" si="4"/>
        <v>4</v>
      </c>
      <c r="AZ31" s="77">
        <f t="shared" si="5"/>
        <v>2</v>
      </c>
      <c r="BA31" s="76">
        <f t="shared" si="6"/>
        <v>6.5</v>
      </c>
      <c r="BB31" s="76">
        <f t="shared" si="32"/>
        <v>-0.5</v>
      </c>
      <c r="BC31" s="77">
        <f t="shared" si="8"/>
        <v>1</v>
      </c>
      <c r="BD31" s="77">
        <f t="shared" si="9"/>
        <v>0</v>
      </c>
      <c r="BE31" s="77">
        <f t="shared" si="10"/>
        <v>0</v>
      </c>
      <c r="BF31" s="77">
        <f t="shared" si="11"/>
        <v>0</v>
      </c>
      <c r="BG31" s="77">
        <f t="shared" si="12"/>
        <v>0</v>
      </c>
      <c r="BH31" s="77">
        <f t="shared" si="13"/>
        <v>1</v>
      </c>
      <c r="BI31" s="77">
        <f t="shared" si="14"/>
        <v>0.5</v>
      </c>
      <c r="BJ31" s="77">
        <f t="shared" si="15"/>
        <v>1</v>
      </c>
      <c r="BK31" s="77">
        <f t="shared" si="16"/>
        <v>0.5</v>
      </c>
      <c r="BL31" s="77">
        <f t="shared" si="17"/>
        <v>0</v>
      </c>
      <c r="BM31" s="77">
        <f t="shared" si="18"/>
        <v>0</v>
      </c>
      <c r="BN31" s="77">
        <f>COUNTIF($D31:$Z31,BN$4)</f>
        <v>0</v>
      </c>
      <c r="BO31" s="77">
        <f>COUNTIF($D31:$Z31,BO$4)</f>
        <v>0</v>
      </c>
      <c r="BP31" s="77">
        <f>COUNTIF($D31:$Z31,BP$4)</f>
        <v>0</v>
      </c>
      <c r="BQ31" s="67"/>
    </row>
    <row r="32" ht="19.5" customHeight="1" spans="1:69">
      <c r="A32" s="67"/>
      <c r="B32" s="76" t="s">
        <v>657</v>
      </c>
      <c r="C32" s="60"/>
      <c r="D32" s="60"/>
      <c r="E32" s="60" t="s">
        <v>61</v>
      </c>
      <c r="F32" s="60"/>
      <c r="G32" s="60" t="s">
        <v>59</v>
      </c>
      <c r="H32" s="60"/>
      <c r="I32" s="60"/>
      <c r="J32" s="60" t="s">
        <v>93</v>
      </c>
      <c r="K32" s="60"/>
      <c r="L32" s="60"/>
      <c r="M32" s="60"/>
      <c r="N32" s="110" t="s">
        <v>350</v>
      </c>
      <c r="O32" s="60"/>
      <c r="P32" s="60"/>
      <c r="Q32" s="53" t="s">
        <v>573</v>
      </c>
      <c r="R32" s="60" t="s">
        <v>69</v>
      </c>
      <c r="S32" s="60" t="s">
        <v>56</v>
      </c>
      <c r="T32" s="136" t="s">
        <v>93</v>
      </c>
      <c r="U32" s="1" t="s">
        <v>54</v>
      </c>
      <c r="V32" s="1" t="s">
        <v>54</v>
      </c>
      <c r="W32" s="1" t="s">
        <v>54</v>
      </c>
      <c r="X32" s="1" t="s">
        <v>54</v>
      </c>
      <c r="Y32" s="1" t="s">
        <v>54</v>
      </c>
      <c r="Z32" s="1" t="s">
        <v>54</v>
      </c>
      <c r="AA32" s="1" t="s">
        <v>54</v>
      </c>
      <c r="AB32" s="1" t="s">
        <v>54</v>
      </c>
      <c r="AC32" s="1" t="s">
        <v>54</v>
      </c>
      <c r="AE32" s="60" t="s">
        <v>885</v>
      </c>
      <c r="AF32" s="60" t="s">
        <v>93</v>
      </c>
      <c r="AG32" s="60"/>
      <c r="AH32" s="67">
        <f t="shared" ref="AH32:AP32" si="52">COUNTIF($C32:$AF32,AH$4)</f>
        <v>0</v>
      </c>
      <c r="AI32" s="67">
        <f t="shared" si="52"/>
        <v>1</v>
      </c>
      <c r="AJ32" s="67">
        <f t="shared" si="52"/>
        <v>1</v>
      </c>
      <c r="AK32" s="67">
        <f t="shared" si="52"/>
        <v>0</v>
      </c>
      <c r="AL32" s="67">
        <f t="shared" si="52"/>
        <v>0</v>
      </c>
      <c r="AM32" s="67">
        <f t="shared" si="52"/>
        <v>3</v>
      </c>
      <c r="AN32" s="67">
        <f t="shared" si="52"/>
        <v>0</v>
      </c>
      <c r="AO32" s="67">
        <f t="shared" si="52"/>
        <v>0</v>
      </c>
      <c r="AP32" s="67">
        <f t="shared" si="52"/>
        <v>0</v>
      </c>
      <c r="AQ32" s="76"/>
      <c r="AR32" s="76">
        <v>4.5</v>
      </c>
      <c r="AS32" s="77">
        <f>SUMPRODUCT(--(WEEKDAY(C$3:AG$3,2)&lt;5),--ISNUMBER(MATCH(C32:AG32,{"DM","CS1","CS2","SB1","AE","CS/B"},0)))</f>
        <v>1</v>
      </c>
      <c r="AT32" s="67"/>
      <c r="AU32" s="77">
        <f>SUMPRODUCT(--(WEEKDAY(C$3:AG$3,2)=5),--ISNUMBER(MATCH(C32:AG32,{"DM","CS1","CS2","SB1","AE","CS/B","WEEKEND OUTFIELD RESERVE"},0)))</f>
        <v>1</v>
      </c>
      <c r="AV32" s="77">
        <f>SUMPRODUCT(--(WEEKDAY(C$3:AG$3,2)&gt;5),--ISNUMBER(MATCH(C32:AG32,{"DM","CS1","CS2","SB1","AE","CS/B","WEEKEND OUTFIELD RESERVE"},0)))</f>
        <v>0</v>
      </c>
      <c r="AW32" s="67"/>
      <c r="AX32" s="77">
        <f t="shared" si="3"/>
        <v>-0.5</v>
      </c>
      <c r="AY32" s="77">
        <f t="shared" si="4"/>
        <v>2</v>
      </c>
      <c r="AZ32" s="77">
        <f t="shared" si="5"/>
        <v>1</v>
      </c>
      <c r="BA32" s="76">
        <f t="shared" si="6"/>
        <v>0</v>
      </c>
      <c r="BB32" s="76">
        <f t="shared" si="32"/>
        <v>-7</v>
      </c>
      <c r="BC32" s="77">
        <f t="shared" si="8"/>
        <v>0.5</v>
      </c>
      <c r="BD32" s="77">
        <f t="shared" si="9"/>
        <v>0</v>
      </c>
      <c r="BE32" s="77">
        <f t="shared" si="10"/>
        <v>0</v>
      </c>
      <c r="BF32" s="77">
        <f t="shared" si="11"/>
        <v>0</v>
      </c>
      <c r="BG32" s="77">
        <f t="shared" si="12"/>
        <v>0</v>
      </c>
      <c r="BH32" s="77">
        <f t="shared" si="13"/>
        <v>1</v>
      </c>
      <c r="BI32" s="77">
        <f t="shared" si="14"/>
        <v>0.5</v>
      </c>
      <c r="BJ32" s="77">
        <f t="shared" si="15"/>
        <v>0</v>
      </c>
      <c r="BK32" s="77">
        <f t="shared" si="16"/>
        <v>0</v>
      </c>
      <c r="BL32" s="77">
        <f t="shared" si="17"/>
        <v>0</v>
      </c>
      <c r="BM32" s="77">
        <f t="shared" si="18"/>
        <v>0</v>
      </c>
      <c r="BN32" s="77">
        <f>COUNTIF($D32:$Z32,BN$4)</f>
        <v>0</v>
      </c>
      <c r="BO32" s="77">
        <f>COUNTIF($D32:$Z32,BO$4)</f>
        <v>1</v>
      </c>
      <c r="BP32" s="77">
        <f>COUNTIF($D32:$Z32,BP$4)</f>
        <v>0</v>
      </c>
      <c r="BQ32" s="67"/>
    </row>
    <row r="33" ht="19.5" customHeight="1" spans="1:69">
      <c r="A33" s="67"/>
      <c r="B33" s="76" t="s">
        <v>659</v>
      </c>
      <c r="C33" s="60"/>
      <c r="D33" s="110"/>
      <c r="E33" s="60" t="s">
        <v>680</v>
      </c>
      <c r="F33" s="60" t="s">
        <v>678</v>
      </c>
      <c r="G33" s="60" t="s">
        <v>58</v>
      </c>
      <c r="H33" s="60"/>
      <c r="I33" s="53" t="s">
        <v>59</v>
      </c>
      <c r="J33" s="60"/>
      <c r="K33" s="60" t="s">
        <v>54</v>
      </c>
      <c r="L33" s="60" t="s">
        <v>54</v>
      </c>
      <c r="M33" s="60" t="s">
        <v>54</v>
      </c>
      <c r="N33" s="60"/>
      <c r="O33" s="60"/>
      <c r="P33" s="60"/>
      <c r="Q33" s="60" t="s">
        <v>59</v>
      </c>
      <c r="R33" s="136"/>
      <c r="S33" s="60"/>
      <c r="T33" s="137" t="s">
        <v>54</v>
      </c>
      <c r="U33" s="53" t="s">
        <v>54</v>
      </c>
      <c r="V33" s="53" t="s">
        <v>54</v>
      </c>
      <c r="W33" s="60"/>
      <c r="X33" s="60"/>
      <c r="Y33" s="60" t="s">
        <v>59</v>
      </c>
      <c r="Z33" s="60"/>
      <c r="AA33" s="53" t="s">
        <v>573</v>
      </c>
      <c r="AB33" s="60"/>
      <c r="AC33" s="60"/>
      <c r="AD33" s="1" t="s">
        <v>350</v>
      </c>
      <c r="AE33" s="53"/>
      <c r="AF33" s="60"/>
      <c r="AG33" s="60"/>
      <c r="AH33" s="67">
        <f t="shared" ref="AH33:AP33" si="53">COUNTIF($C33:$AF33,AH$4)</f>
        <v>0</v>
      </c>
      <c r="AI33" s="67">
        <f t="shared" si="53"/>
        <v>0</v>
      </c>
      <c r="AJ33" s="67">
        <f t="shared" si="53"/>
        <v>3</v>
      </c>
      <c r="AK33" s="67">
        <f t="shared" si="53"/>
        <v>0</v>
      </c>
      <c r="AL33" s="67">
        <f t="shared" si="53"/>
        <v>1</v>
      </c>
      <c r="AM33" s="67">
        <f t="shared" si="53"/>
        <v>0</v>
      </c>
      <c r="AN33" s="67">
        <f t="shared" si="53"/>
        <v>0</v>
      </c>
      <c r="AO33" s="67">
        <f t="shared" si="53"/>
        <v>0</v>
      </c>
      <c r="AP33" s="67">
        <f t="shared" si="53"/>
        <v>0</v>
      </c>
      <c r="AQ33" s="76"/>
      <c r="AR33" s="76"/>
      <c r="AS33" s="77">
        <f>SUMPRODUCT(--(WEEKDAY(C$3:AG$3,2)&lt;5),--ISNUMBER(MATCH(C33:AG33,{"DM","CS1","CS2","SB1","AE","CS/B"},0)))</f>
        <v>2</v>
      </c>
      <c r="AT33" s="67"/>
      <c r="AU33" s="77">
        <f>SUMPRODUCT(--(WEEKDAY(C$3:AG$3,2)=5),--ISNUMBER(MATCH(C33:AG33,{"DM","CS1","CS2","SB1","AE","CS/B","WEEKEND OUTFIELD RESERVE"},0)))</f>
        <v>1</v>
      </c>
      <c r="AV33" s="77">
        <f>SUMPRODUCT(--(WEEKDAY(C$3:AG$3,2)&gt;5),--ISNUMBER(MATCH(C33:AG33,{"DM","CS1","CS2","SB1","AE","CS/B","WEEKEND OUTFIELD RESERVE"},0)))</f>
        <v>1</v>
      </c>
      <c r="AW33" s="67"/>
      <c r="AX33" s="77">
        <f t="shared" si="3"/>
        <v>5.5</v>
      </c>
      <c r="AY33" s="77">
        <f t="shared" si="4"/>
        <v>4</v>
      </c>
      <c r="AZ33" s="77">
        <f t="shared" si="5"/>
        <v>1</v>
      </c>
      <c r="BA33" s="76">
        <f t="shared" si="6"/>
        <v>6.5</v>
      </c>
      <c r="BB33" s="76">
        <f t="shared" si="32"/>
        <v>-0.5</v>
      </c>
      <c r="BC33" s="77">
        <f t="shared" si="8"/>
        <v>1</v>
      </c>
      <c r="BD33" s="77">
        <f t="shared" si="9"/>
        <v>0</v>
      </c>
      <c r="BE33" s="77">
        <f t="shared" si="10"/>
        <v>0</v>
      </c>
      <c r="BF33" s="77">
        <f t="shared" si="11"/>
        <v>1</v>
      </c>
      <c r="BG33" s="77">
        <f t="shared" si="12"/>
        <v>1</v>
      </c>
      <c r="BH33" s="77">
        <f t="shared" si="13"/>
        <v>0</v>
      </c>
      <c r="BI33" s="77">
        <f t="shared" si="14"/>
        <v>0</v>
      </c>
      <c r="BJ33" s="77">
        <f t="shared" si="15"/>
        <v>0</v>
      </c>
      <c r="BK33" s="77">
        <f t="shared" si="16"/>
        <v>0</v>
      </c>
      <c r="BL33" s="77">
        <f t="shared" si="17"/>
        <v>0</v>
      </c>
      <c r="BM33" s="77">
        <f t="shared" si="18"/>
        <v>0</v>
      </c>
      <c r="BN33" s="77">
        <f>COUNTIF($D33:$Z33,BN$4)</f>
        <v>0</v>
      </c>
      <c r="BO33" s="77">
        <f>COUNTIF($D33:$Z33,BO$4)</f>
        <v>0</v>
      </c>
      <c r="BP33" s="77">
        <f>COUNTIF($D33:$Z33,BP$4)</f>
        <v>0</v>
      </c>
      <c r="BQ33" s="67"/>
    </row>
    <row r="34" ht="19.5" customHeight="1" spans="1:69">
      <c r="A34" s="67"/>
      <c r="B34" s="76" t="s">
        <v>744</v>
      </c>
      <c r="C34" s="60" t="s">
        <v>65</v>
      </c>
      <c r="D34" s="60" t="s">
        <v>886</v>
      </c>
      <c r="E34" s="60" t="s">
        <v>677</v>
      </c>
      <c r="F34" s="60" t="s">
        <v>678</v>
      </c>
      <c r="G34" s="60"/>
      <c r="H34" s="53"/>
      <c r="J34" s="53"/>
      <c r="K34" s="60"/>
      <c r="L34" s="60"/>
      <c r="M34" s="60" t="s">
        <v>65</v>
      </c>
      <c r="N34" s="60"/>
      <c r="O34" s="53"/>
      <c r="P34" s="53" t="s">
        <v>65</v>
      </c>
      <c r="Q34" s="53"/>
      <c r="S34" s="60"/>
      <c r="T34" s="136" t="s">
        <v>65</v>
      </c>
      <c r="U34" s="60"/>
      <c r="V34" s="60"/>
      <c r="W34" s="60"/>
      <c r="X34" s="60" t="s">
        <v>887</v>
      </c>
      <c r="Z34" s="60" t="s">
        <v>65</v>
      </c>
      <c r="AA34" s="138"/>
      <c r="AB34" s="53" t="s">
        <v>65</v>
      </c>
      <c r="AC34" s="60"/>
      <c r="AD34" s="60"/>
      <c r="AE34" s="60"/>
      <c r="AG34" s="60"/>
      <c r="AH34" s="67">
        <f t="shared" ref="AH34:AP34" si="54">COUNTIF($C34:$AF34,AH$4)</f>
        <v>0</v>
      </c>
      <c r="AI34" s="67">
        <f t="shared" si="54"/>
        <v>0</v>
      </c>
      <c r="AJ34" s="67">
        <f t="shared" si="54"/>
        <v>0</v>
      </c>
      <c r="AK34" s="67">
        <f t="shared" si="54"/>
        <v>0</v>
      </c>
      <c r="AL34" s="67">
        <f t="shared" si="54"/>
        <v>0</v>
      </c>
      <c r="AM34" s="67">
        <f t="shared" si="54"/>
        <v>0</v>
      </c>
      <c r="AN34" s="67">
        <f t="shared" si="54"/>
        <v>6</v>
      </c>
      <c r="AO34" s="67">
        <f t="shared" si="54"/>
        <v>0</v>
      </c>
      <c r="AP34" s="67">
        <f t="shared" si="54"/>
        <v>0</v>
      </c>
      <c r="AQ34" s="76"/>
      <c r="AR34" s="76">
        <v>2.5</v>
      </c>
      <c r="AS34" s="77">
        <f>SUMPRODUCT(--(WEEKDAY(C$3:AG$3,2)&lt;5),--ISNUMBER(MATCH(C34:AG34,{"DM","CS1","CS2","SB1","AE","CS/B"},0)))</f>
        <v>4</v>
      </c>
      <c r="AT34" s="67"/>
      <c r="AU34" s="77">
        <f>SUMPRODUCT(--(WEEKDAY(C$3:AG$3,2)=5),--ISNUMBER(MATCH(C34:AG34,{"DM","CS1","CS2","SB1","AE","CS/B","WEEKEND OUTFIELD RESERVE"},0)))</f>
        <v>1</v>
      </c>
      <c r="AV34" s="77">
        <f>SUMPRODUCT(--(WEEKDAY(C$3:AG$3,2)&gt;5),--ISNUMBER(MATCH(C34:AG34,{"DM","CS1","CS2","SB1","AE","CS/B","WEEKEND OUTFIELD RESERVE"},0)))</f>
        <v>1</v>
      </c>
      <c r="AW34" s="67"/>
      <c r="AX34" s="77">
        <f t="shared" si="3"/>
        <v>5</v>
      </c>
      <c r="AY34" s="77">
        <f t="shared" si="4"/>
        <v>6</v>
      </c>
      <c r="AZ34" s="77">
        <f t="shared" si="5"/>
        <v>2</v>
      </c>
      <c r="BA34" s="76">
        <f t="shared" si="6"/>
        <v>6.5</v>
      </c>
      <c r="BB34" s="76">
        <f t="shared" si="32"/>
        <v>-0.5</v>
      </c>
      <c r="BC34" s="77">
        <f t="shared" si="8"/>
        <v>1.5</v>
      </c>
      <c r="BD34" s="77">
        <f t="shared" si="9"/>
        <v>0</v>
      </c>
      <c r="BE34" s="77">
        <f t="shared" si="10"/>
        <v>0</v>
      </c>
      <c r="BF34" s="77">
        <f t="shared" si="11"/>
        <v>1</v>
      </c>
      <c r="BG34" s="77">
        <f t="shared" si="12"/>
        <v>1</v>
      </c>
      <c r="BH34" s="77">
        <f t="shared" si="13"/>
        <v>1</v>
      </c>
      <c r="BI34" s="77">
        <f t="shared" si="14"/>
        <v>0.5</v>
      </c>
      <c r="BJ34" s="77">
        <f t="shared" si="15"/>
        <v>0</v>
      </c>
      <c r="BK34" s="77">
        <f t="shared" si="16"/>
        <v>0</v>
      </c>
      <c r="BL34" s="77">
        <f t="shared" si="17"/>
        <v>0</v>
      </c>
      <c r="BM34" s="77">
        <f t="shared" si="18"/>
        <v>0</v>
      </c>
      <c r="BN34" s="77">
        <f>COUNTIF($D34:$Y34,BN$4)</f>
        <v>0</v>
      </c>
      <c r="BO34" s="77">
        <f>COUNTIF($D34:$Y34,BO$4)</f>
        <v>0</v>
      </c>
      <c r="BP34" s="77">
        <f>COUNTIF($D34:$Y34,BP$4)</f>
        <v>0</v>
      </c>
      <c r="BQ34" s="67"/>
    </row>
    <row r="35" ht="19.5" customHeight="1" spans="1:69">
      <c r="A35" s="67"/>
      <c r="B35" s="76" t="s">
        <v>748</v>
      </c>
      <c r="C35" s="60" t="s">
        <v>888</v>
      </c>
      <c r="D35" s="107" t="s">
        <v>65</v>
      </c>
      <c r="E35" s="60" t="s">
        <v>680</v>
      </c>
      <c r="F35" s="60" t="s">
        <v>678</v>
      </c>
      <c r="G35" s="60"/>
      <c r="H35" s="60" t="s">
        <v>65</v>
      </c>
      <c r="I35" s="60"/>
      <c r="J35" s="60" t="s">
        <v>65</v>
      </c>
      <c r="K35" s="60"/>
      <c r="L35" s="60"/>
      <c r="M35" s="60"/>
      <c r="N35" s="53"/>
      <c r="O35" s="60"/>
      <c r="P35" s="60"/>
      <c r="Q35" s="60"/>
      <c r="R35" s="60" t="s">
        <v>889</v>
      </c>
      <c r="S35" s="136" t="s">
        <v>93</v>
      </c>
      <c r="T35" s="60"/>
      <c r="U35" s="53" t="s">
        <v>65</v>
      </c>
      <c r="V35" s="53"/>
      <c r="W35" s="53"/>
      <c r="X35" s="53"/>
      <c r="Y35" s="110" t="s">
        <v>350</v>
      </c>
      <c r="Z35" s="53"/>
      <c r="AA35" s="60" t="s">
        <v>65</v>
      </c>
      <c r="AB35" s="53"/>
      <c r="AC35" s="53"/>
      <c r="AD35" s="53"/>
      <c r="AE35" s="53" t="s">
        <v>218</v>
      </c>
      <c r="AF35" s="53" t="s">
        <v>218</v>
      </c>
      <c r="AG35" s="53"/>
      <c r="AH35" s="67">
        <f t="shared" ref="AH35:AP35" si="55">COUNTIF($C35:$AF35,AH$4)</f>
        <v>0</v>
      </c>
      <c r="AI35" s="67">
        <f t="shared" si="55"/>
        <v>0</v>
      </c>
      <c r="AJ35" s="67">
        <f t="shared" si="55"/>
        <v>0</v>
      </c>
      <c r="AK35" s="67">
        <f t="shared" si="55"/>
        <v>0</v>
      </c>
      <c r="AL35" s="67">
        <f t="shared" si="55"/>
        <v>0</v>
      </c>
      <c r="AM35" s="67">
        <f t="shared" si="55"/>
        <v>1</v>
      </c>
      <c r="AN35" s="67">
        <f t="shared" si="55"/>
        <v>5</v>
      </c>
      <c r="AO35" s="67">
        <f t="shared" si="55"/>
        <v>0</v>
      </c>
      <c r="AP35" s="67">
        <f t="shared" si="55"/>
        <v>0</v>
      </c>
      <c r="AQ35" s="76"/>
      <c r="AR35" s="76">
        <v>2.5</v>
      </c>
      <c r="AS35" s="77">
        <f>SUMPRODUCT(--(WEEKDAY(C$3:AG$3,2)&lt;5),--ISNUMBER(MATCH(C35:AG35,{"DM","CS1","CS2","SB1","AE","CS/B"},0)))</f>
        <v>3</v>
      </c>
      <c r="AT35" s="67"/>
      <c r="AU35" s="77">
        <f>SUMPRODUCT(--(WEEKDAY(C$3:AG$3,2)=5),--ISNUMBER(MATCH(C35:AG35,{"DM","CS1","CS2","SB1","AE","CS/B","WEEKEND OUTFIELD RESERVE"},0)))</f>
        <v>1</v>
      </c>
      <c r="AV35" s="77">
        <f>SUMPRODUCT(--(WEEKDAY(C$3:AG$3,2)&gt;5),--ISNUMBER(MATCH(C35:AG35,{"DM","CS1","CS2","SB1","AE","CS/B","WEEKEND OUTFIELD RESERVE"},0)))</f>
        <v>1</v>
      </c>
      <c r="AW35" s="67"/>
      <c r="AX35" s="77">
        <f t="shared" si="3"/>
        <v>4.5</v>
      </c>
      <c r="AY35" s="77">
        <f t="shared" si="4"/>
        <v>5</v>
      </c>
      <c r="AZ35" s="77">
        <f t="shared" si="5"/>
        <v>2</v>
      </c>
      <c r="BA35" s="76">
        <f t="shared" si="6"/>
        <v>6</v>
      </c>
      <c r="BB35" s="76">
        <f t="shared" si="32"/>
        <v>-1</v>
      </c>
      <c r="BC35" s="77">
        <f t="shared" si="8"/>
        <v>1.5</v>
      </c>
      <c r="BD35" s="77">
        <f t="shared" si="9"/>
        <v>0</v>
      </c>
      <c r="BE35" s="77">
        <f t="shared" si="10"/>
        <v>0</v>
      </c>
      <c r="BF35" s="77">
        <f t="shared" si="11"/>
        <v>1</v>
      </c>
      <c r="BG35" s="77">
        <f t="shared" si="12"/>
        <v>1</v>
      </c>
      <c r="BH35" s="77">
        <f t="shared" si="13"/>
        <v>0</v>
      </c>
      <c r="BI35" s="77">
        <f t="shared" si="14"/>
        <v>0</v>
      </c>
      <c r="BJ35" s="77">
        <f t="shared" si="15"/>
        <v>1</v>
      </c>
      <c r="BK35" s="77">
        <f t="shared" si="16"/>
        <v>0.5</v>
      </c>
      <c r="BL35" s="77">
        <f t="shared" si="17"/>
        <v>0</v>
      </c>
      <c r="BM35" s="77">
        <f t="shared" si="18"/>
        <v>0</v>
      </c>
      <c r="BN35" s="77">
        <f>COUNTIF($D35:$Z35,BN$4)</f>
        <v>0</v>
      </c>
      <c r="BO35" s="77">
        <f>COUNTIF($D35:$Z35,BO$4)</f>
        <v>1</v>
      </c>
      <c r="BP35" s="77">
        <f>COUNTIF($D35:$Z35,BP$4)</f>
        <v>0</v>
      </c>
      <c r="BQ35" s="67"/>
    </row>
    <row r="36" ht="19.5" customHeight="1" spans="1:69">
      <c r="A36" s="67"/>
      <c r="B36" s="76" t="s">
        <v>752</v>
      </c>
      <c r="C36" s="60"/>
      <c r="D36" s="60"/>
      <c r="E36" s="60" t="s">
        <v>680</v>
      </c>
      <c r="F36" s="60" t="s">
        <v>678</v>
      </c>
      <c r="G36" s="53"/>
      <c r="H36" s="60" t="s">
        <v>350</v>
      </c>
      <c r="I36" s="53"/>
      <c r="J36" s="60"/>
      <c r="K36" s="60" t="s">
        <v>65</v>
      </c>
      <c r="L36" s="60"/>
      <c r="M36" s="60"/>
      <c r="N36" s="53"/>
      <c r="O36" s="60"/>
      <c r="P36" s="60"/>
      <c r="Q36" s="60" t="s">
        <v>873</v>
      </c>
      <c r="R36" s="60" t="s">
        <v>65</v>
      </c>
      <c r="S36" s="60"/>
      <c r="T36" s="60" t="s">
        <v>573</v>
      </c>
      <c r="U36" s="53"/>
      <c r="V36" s="60"/>
      <c r="W36" s="60" t="s">
        <v>65</v>
      </c>
      <c r="X36" s="60"/>
      <c r="Y36" s="60" t="s">
        <v>890</v>
      </c>
      <c r="AA36" s="136"/>
      <c r="AC36" s="60"/>
      <c r="AD36" s="60"/>
      <c r="AE36" s="60" t="s">
        <v>65</v>
      </c>
      <c r="AF36" s="53"/>
      <c r="AG36" s="60"/>
      <c r="AH36" s="67">
        <f t="shared" ref="AH36:AP36" si="56">COUNTIF($C36:$AF36,AH$4)</f>
        <v>0</v>
      </c>
      <c r="AI36" s="67">
        <f t="shared" si="56"/>
        <v>0</v>
      </c>
      <c r="AJ36" s="67">
        <f t="shared" si="56"/>
        <v>0</v>
      </c>
      <c r="AK36" s="67">
        <f t="shared" si="56"/>
        <v>0</v>
      </c>
      <c r="AL36" s="67">
        <f t="shared" si="56"/>
        <v>0</v>
      </c>
      <c r="AM36" s="67">
        <f t="shared" si="56"/>
        <v>0</v>
      </c>
      <c r="AN36" s="67">
        <f t="shared" si="56"/>
        <v>4</v>
      </c>
      <c r="AO36" s="67">
        <f t="shared" si="56"/>
        <v>0</v>
      </c>
      <c r="AP36" s="67">
        <f t="shared" si="56"/>
        <v>0</v>
      </c>
      <c r="AQ36" s="76">
        <v>1.5</v>
      </c>
      <c r="AR36" s="76"/>
      <c r="AS36" s="77">
        <f>SUMPRODUCT(--(WEEKDAY(C$3:AG$3,2)&lt;5),--ISNUMBER(MATCH(C36:AG36,{"DM","CS1","CS2","SB1","AE","CS/B"},0)))</f>
        <v>3</v>
      </c>
      <c r="AT36" s="67"/>
      <c r="AU36" s="77">
        <f>SUMPRODUCT(--(WEEKDAY(C$3:AG$3,2)=5),--ISNUMBER(MATCH(C36:AG36,{"DM","CS1","CS2","SB1","AE","CS/B","WEEKEND OUTFIELD RESERVE"},0)))</f>
        <v>0</v>
      </c>
      <c r="AV36" s="77">
        <f>SUMPRODUCT(--(WEEKDAY(C$3:AG$3,2)&gt;5),--ISNUMBER(MATCH(C36:AG36,{"DM","CS1","CS2","SB1","AE","CS/B","WEEKEND OUTFIELD RESERVE"},0)))</f>
        <v>1</v>
      </c>
      <c r="AW36" s="67"/>
      <c r="AX36" s="77">
        <f t="shared" si="3"/>
        <v>6.5</v>
      </c>
      <c r="AY36" s="77">
        <f t="shared" si="4"/>
        <v>4</v>
      </c>
      <c r="AZ36" s="77">
        <f t="shared" si="5"/>
        <v>3</v>
      </c>
      <c r="BA36" s="76">
        <f t="shared" si="6"/>
        <v>9.5</v>
      </c>
      <c r="BB36" s="76">
        <f t="shared" si="32"/>
        <v>2.5</v>
      </c>
      <c r="BC36" s="77">
        <f t="shared" si="8"/>
        <v>3</v>
      </c>
      <c r="BD36" s="77">
        <f t="shared" si="9"/>
        <v>1</v>
      </c>
      <c r="BE36" s="77">
        <f t="shared" si="10"/>
        <v>1.5</v>
      </c>
      <c r="BF36" s="77">
        <f t="shared" si="11"/>
        <v>1</v>
      </c>
      <c r="BG36" s="77">
        <f t="shared" si="12"/>
        <v>1</v>
      </c>
      <c r="BH36" s="77">
        <f t="shared" si="13"/>
        <v>0</v>
      </c>
      <c r="BI36" s="77">
        <f t="shared" si="14"/>
        <v>0</v>
      </c>
      <c r="BJ36" s="77">
        <f t="shared" si="15"/>
        <v>1</v>
      </c>
      <c r="BK36" s="77">
        <f t="shared" si="16"/>
        <v>0.5</v>
      </c>
      <c r="BL36" s="77">
        <f t="shared" si="17"/>
        <v>0</v>
      </c>
      <c r="BM36" s="77">
        <f t="shared" si="18"/>
        <v>0</v>
      </c>
      <c r="BN36" s="77">
        <f>COUNTIF($D36:$Y36,BN$4)</f>
        <v>0</v>
      </c>
      <c r="BO36" s="77">
        <f>COUNTIF($D36:$Y36,BO$4)</f>
        <v>1</v>
      </c>
      <c r="BP36" s="77">
        <f>COUNTIF($D36:$Y36,BP$4)</f>
        <v>0</v>
      </c>
      <c r="BQ36" s="67"/>
    </row>
    <row r="37" ht="19.5" customHeight="1" spans="1:69">
      <c r="A37" s="67"/>
      <c r="B37" s="76" t="s">
        <v>753</v>
      </c>
      <c r="C37" s="60"/>
      <c r="D37" s="60"/>
      <c r="E37" s="60" t="s">
        <v>680</v>
      </c>
      <c r="F37" s="60" t="s">
        <v>678</v>
      </c>
      <c r="G37" s="136"/>
      <c r="H37" s="53"/>
      <c r="I37" s="53" t="s">
        <v>65</v>
      </c>
      <c r="J37" s="53"/>
      <c r="K37" s="60"/>
      <c r="L37" s="60"/>
      <c r="M37" s="60"/>
      <c r="N37" s="60" t="s">
        <v>65</v>
      </c>
      <c r="O37" s="60"/>
      <c r="P37" s="60"/>
      <c r="Q37" s="60"/>
      <c r="R37" s="60"/>
      <c r="S37" s="60" t="s">
        <v>573</v>
      </c>
      <c r="T37" s="60"/>
      <c r="U37" s="60" t="s">
        <v>891</v>
      </c>
      <c r="V37" s="60" t="s">
        <v>65</v>
      </c>
      <c r="W37" s="53"/>
      <c r="X37" s="60"/>
      <c r="Y37" s="60"/>
      <c r="AA37" s="60"/>
      <c r="AB37" s="60"/>
      <c r="AC37" s="60"/>
      <c r="AD37" s="60"/>
      <c r="AE37" s="110" t="s">
        <v>350</v>
      </c>
      <c r="AF37" s="136"/>
      <c r="AG37" s="60"/>
      <c r="AH37" s="67">
        <f t="shared" ref="AH37:AP37" si="57">COUNTIF($C37:$AF37,AH$4)</f>
        <v>0</v>
      </c>
      <c r="AI37" s="67">
        <f t="shared" si="57"/>
        <v>0</v>
      </c>
      <c r="AJ37" s="67">
        <f t="shared" si="57"/>
        <v>0</v>
      </c>
      <c r="AK37" s="67">
        <f t="shared" si="57"/>
        <v>0</v>
      </c>
      <c r="AL37" s="67">
        <f t="shared" si="57"/>
        <v>0</v>
      </c>
      <c r="AM37" s="67">
        <f t="shared" si="57"/>
        <v>0</v>
      </c>
      <c r="AN37" s="67">
        <f t="shared" si="57"/>
        <v>3</v>
      </c>
      <c r="AO37" s="67">
        <f t="shared" si="57"/>
        <v>0</v>
      </c>
      <c r="AP37" s="67">
        <f t="shared" si="57"/>
        <v>0</v>
      </c>
      <c r="AQ37" s="76"/>
      <c r="AR37" s="76"/>
      <c r="AS37" s="77">
        <f>SUMPRODUCT(--(WEEKDAY(C$3:AG$3,2)&lt;5),--ISNUMBER(MATCH(C37:AG37,{"DM","CS1","CS2","SB1","AE","CS/B"},0)))</f>
        <v>0</v>
      </c>
      <c r="AT37" s="67"/>
      <c r="AU37" s="77">
        <f>SUMPRODUCT(--(WEEKDAY(C$3:AG$3,2)=5),--ISNUMBER(MATCH(C37:AG37,{"DM","CS1","CS2","SB1","AE","CS/B","WEEKEND OUTFIELD RESERVE"},0)))</f>
        <v>1</v>
      </c>
      <c r="AV37" s="77">
        <f>SUMPRODUCT(--(WEEKDAY(C$3:AG$3,2)&gt;5),--ISNUMBER(MATCH(C37:AG37,{"DM","CS1","CS2","SB1","AE","CS/B","WEEKEND OUTFIELD RESERVE"},0)))</f>
        <v>2</v>
      </c>
      <c r="AW37" s="67"/>
      <c r="AX37" s="77">
        <f t="shared" si="3"/>
        <v>5.5</v>
      </c>
      <c r="AY37" s="77">
        <f t="shared" si="4"/>
        <v>3</v>
      </c>
      <c r="AZ37" s="77">
        <f t="shared" si="5"/>
        <v>2</v>
      </c>
      <c r="BA37" s="76">
        <f t="shared" si="6"/>
        <v>7</v>
      </c>
      <c r="BB37" s="76">
        <f t="shared" si="32"/>
        <v>0</v>
      </c>
      <c r="BC37" s="77">
        <f t="shared" si="8"/>
        <v>1.5</v>
      </c>
      <c r="BD37" s="77">
        <f t="shared" si="9"/>
        <v>0</v>
      </c>
      <c r="BE37" s="77">
        <f t="shared" si="10"/>
        <v>0</v>
      </c>
      <c r="BF37" s="77">
        <f t="shared" si="11"/>
        <v>1</v>
      </c>
      <c r="BG37" s="77">
        <f t="shared" si="12"/>
        <v>1</v>
      </c>
      <c r="BH37" s="77">
        <f t="shared" si="13"/>
        <v>0</v>
      </c>
      <c r="BI37" s="77">
        <f t="shared" si="14"/>
        <v>0</v>
      </c>
      <c r="BJ37" s="77">
        <f t="shared" si="15"/>
        <v>1</v>
      </c>
      <c r="BK37" s="77">
        <f t="shared" si="16"/>
        <v>0.5</v>
      </c>
      <c r="BL37" s="77">
        <f t="shared" si="17"/>
        <v>0</v>
      </c>
      <c r="BM37" s="77">
        <f t="shared" si="18"/>
        <v>0</v>
      </c>
      <c r="BN37" s="77">
        <f>COUNTIF($D37:$Y37,BN$4)</f>
        <v>0</v>
      </c>
      <c r="BO37" s="77">
        <f>COUNTIF($D37:$Y37,BO$4)</f>
        <v>0</v>
      </c>
      <c r="BP37" s="77">
        <f>COUNTIF($D37:$Y37,BP$4)</f>
        <v>0</v>
      </c>
      <c r="BQ37" s="67"/>
    </row>
    <row r="38" ht="19.5" customHeight="1" spans="1:69">
      <c r="A38" s="67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60"/>
      <c r="AH38" s="67"/>
      <c r="AI38" s="67"/>
      <c r="AJ38" s="67"/>
      <c r="AK38" s="67"/>
      <c r="AL38" s="67"/>
      <c r="AM38" s="67"/>
      <c r="AN38" s="67"/>
      <c r="AO38" s="67"/>
      <c r="AP38" s="67"/>
      <c r="AQ38" s="76"/>
      <c r="AR38" s="76"/>
      <c r="AS38" s="77"/>
      <c r="AT38" s="67"/>
      <c r="AU38" s="77"/>
      <c r="AV38" s="77">
        <f>SUMPRODUCT(--(WEEKDAY(C$3:AF$3,2)&gt;5),--ISNUMBER(MATCH(C38:AF38,{"DM","CS1","CS2","SB1","AE","CS/B"},0)))</f>
        <v>0</v>
      </c>
      <c r="AW38" s="67"/>
      <c r="AX38" s="77"/>
      <c r="AY38" s="77"/>
      <c r="AZ38" s="77"/>
      <c r="BA38" s="76"/>
      <c r="BB38" s="76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67"/>
    </row>
    <row r="39" ht="19.5" customHeight="1" spans="1:69">
      <c r="A39" s="67"/>
      <c r="B39" s="60" t="s">
        <v>57</v>
      </c>
      <c r="C39" s="103" t="str">
        <f t="shared" ref="C39:C46" si="58">INDEX($B$4:$B$37,MATCH($B39,C$4:C$37,0))</f>
        <v>LCP EKLAYVA PINGALI</v>
      </c>
      <c r="D39" s="103" t="str">
        <f t="shared" ref="D39:D46" si="59">INDEX($B$4:$B$37,MATCH($B39,D$4:D$37,0))</f>
        <v>CPL FANG JIANGRUI</v>
      </c>
      <c r="E39" s="103" t="str">
        <f t="shared" ref="E39:E46" si="60">INDEX($B$4:$B$37,MATCH($B39,E$4:E$37,0))</f>
        <v>CPL GOH DI XUAN</v>
      </c>
      <c r="F39" s="103" t="str">
        <f t="shared" ref="F39:F46" si="61">INDEX($B$4:$B$37,MATCH($B39,F$4:F$37,0))</f>
        <v>LCP CHYE JING AN MAXIMUS</v>
      </c>
      <c r="G39" s="103" t="str">
        <f t="shared" ref="G39:G46" si="62">INDEX($B$4:$B$37,MATCH($B39,G$4:G$36,0))</f>
        <v>LCP ZHANG ZHONGHAO</v>
      </c>
      <c r="H39" s="103" t="str">
        <f t="shared" ref="H39:H46" si="63">INDEX($B$4:$B$37,MATCH($B39,H$4:H$36,0))</f>
        <v>LCP MATTHEW HWANG YEW SENG</v>
      </c>
      <c r="I39" s="103" t="str">
        <f t="shared" ref="I39:I46" si="64">INDEX($B$4:$B$37,MATCH($B39,I$4:I$37,0))</f>
        <v>LCP CHYE JING AN MAXIMUS</v>
      </c>
      <c r="J39" s="103" t="str">
        <f t="shared" ref="J39:J46" si="65">INDEX($B$4:$B$37,MATCH($B39,J$4:J$36,0))</f>
        <v>LCP EKLAYVA PINGALI</v>
      </c>
      <c r="K39" s="103" t="str">
        <f t="shared" ref="K39:T39" si="66">INDEX($B$4:$B$37,MATCH($B39,K$4:K$37,0))</f>
        <v>CPL GERALD TAN </v>
      </c>
      <c r="L39" s="103" t="str">
        <f t="shared" si="66"/>
        <v>CPL GOH DI XUAN</v>
      </c>
      <c r="M39" s="103" t="str">
        <f t="shared" si="66"/>
        <v>LCP APPLE YEO</v>
      </c>
      <c r="N39" s="103" t="str">
        <f t="shared" si="66"/>
        <v>LCP CHYE JING AN MAXIMUS</v>
      </c>
      <c r="O39" s="103" t="str">
        <f t="shared" si="66"/>
        <v>LCP QUEK ZI YI</v>
      </c>
      <c r="P39" s="103" t="str">
        <f t="shared" si="66"/>
        <v>LCP TAN JUN YANG KELVIN</v>
      </c>
      <c r="Q39" s="103" t="str">
        <f t="shared" si="66"/>
        <v>CFC DERRICK CHIN</v>
      </c>
      <c r="R39" s="103" t="str">
        <f t="shared" si="66"/>
        <v>LCP APPLE YEO</v>
      </c>
      <c r="S39" s="103" t="str">
        <f t="shared" si="66"/>
        <v>LCP QUEK ZI YI</v>
      </c>
      <c r="T39" s="103" t="str">
        <f t="shared" si="66"/>
        <v>LCP WONG JI FENG WILLARD</v>
      </c>
      <c r="U39" s="103" t="str">
        <f t="shared" ref="U39:U46" si="67">INDEX($B$4:$B$37,MATCH($B39,U$4:U$36,0))</f>
        <v>CPL HO SHENGHUI HAYDEN</v>
      </c>
      <c r="V39" s="103" t="str">
        <f t="shared" ref="V39:V46" si="68">INDEX($B$4:$B$37,MATCH($B39,V$4:V$37,0))</f>
        <v>LCP WONG JI FENG WILLARD</v>
      </c>
      <c r="W39" s="103" t="str">
        <f t="shared" ref="W39:W46" si="69">INDEX($B$4:$B$37,MATCH($B39,W$4:W$36,0))</f>
        <v>CFC DERRICK CHIN</v>
      </c>
      <c r="X39" s="103" t="str">
        <f t="shared" ref="X39:X46" si="70">INDEX($B$4:$B$37,MATCH($B39,X$4:X$37,0))</f>
        <v>CPL FANG JIANGRUI</v>
      </c>
      <c r="Y39" s="103" t="str">
        <f t="shared" ref="Y39:Y46" si="71">INDEX($B$4:$B$37,MATCH($B39,Y$4:Y$37,0))</f>
        <v>LCP WONG JI FENG WILLARD</v>
      </c>
      <c r="Z39" s="103" t="str">
        <f t="shared" ref="Z39:Z46" si="72">INDEX($B$4:$B$37,MATCH($B39,Z$4:Z$36,0))</f>
        <v>CPL FANG JIANGRUI</v>
      </c>
      <c r="AA39" s="103" t="str">
        <f t="shared" ref="AA39:AA46" si="73">INDEX($B$4:$B$37,MATCH($B39,AA$4:AA$35,0))</f>
        <v>LCP CHYE JING AN MAXIMUS</v>
      </c>
      <c r="AB39" s="103" t="str">
        <f t="shared" ref="AB39:AB46" si="74">INDEX($B$4:$B$37,MATCH($B39,AB$4:AB$37,0))</f>
        <v>3SG SAMUEL TAN ENG WEE</v>
      </c>
      <c r="AC39" s="103" t="str">
        <f t="shared" ref="AC39:AC46" si="75">INDEX($B$4:$B$37,MATCH($B39,AC$4:AC$37,0))</f>
        <v>CPL GOH DI XUAN</v>
      </c>
      <c r="AD39" s="103" t="str">
        <f t="shared" ref="AD39:AD46" si="76">INDEX($B$4:$B$37,MATCH($B39,AD$4:AD$37,0))</f>
        <v>LCP MATTHEW HWANG YEW SENG</v>
      </c>
      <c r="AE39" s="103" t="str">
        <f t="shared" ref="AE39:AE46" si="77">INDEX($B$4:$B$37,MATCH($B39,AE$4:AE$37,0))</f>
        <v>LCP KOO YI XIAN RAPHAEL </v>
      </c>
      <c r="AF39" s="103" t="str">
        <f t="shared" ref="AF39:AF46" si="78">INDEX($B$4:$B$37,MATCH($B39,AF$4:AF$36,0))</f>
        <v>CPL HO SHENGHUI HAYDEN</v>
      </c>
      <c r="AG39" s="103" t="e">
        <f t="shared" ref="AG39:AG46" si="79">INDEX($B$4:$B$37,MATCH($B39,AG$4:AG$37,0))</f>
        <v>#N/A</v>
      </c>
      <c r="AH39" s="67"/>
      <c r="AI39" s="67"/>
      <c r="AJ39" s="67"/>
      <c r="AK39" s="67"/>
      <c r="AL39" s="67"/>
      <c r="AM39" s="67"/>
      <c r="AN39" s="67"/>
      <c r="AO39" s="67"/>
      <c r="AP39" s="67"/>
      <c r="AQ39" s="76"/>
      <c r="AR39" s="76"/>
      <c r="AS39" s="77"/>
      <c r="AT39" s="67"/>
      <c r="AU39" s="77"/>
      <c r="AV39" s="77">
        <f>SUMPRODUCT(--(WEEKDAY(C$3:AF$3,2)&gt;5),--ISNUMBER(MATCH(C39:AF39,{"DM","CS1","CS2","SB1","AE","CS/B"},0)))</f>
        <v>0</v>
      </c>
      <c r="AW39" s="67"/>
      <c r="AX39" s="77"/>
      <c r="AY39" s="77"/>
      <c r="AZ39" s="77"/>
      <c r="BA39" s="76"/>
      <c r="BB39" s="76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67"/>
    </row>
    <row r="40" ht="19.5" customHeight="1" spans="1:69">
      <c r="A40" s="67"/>
      <c r="B40" s="60" t="s">
        <v>56</v>
      </c>
      <c r="C40" s="103" t="str">
        <f t="shared" si="58"/>
        <v>LCP MUHAMMAD YASIR BIN MUHAMMAD HIJAZ</v>
      </c>
      <c r="D40" s="103" t="str">
        <f t="shared" si="59"/>
        <v>LCP CHYE JING AN MAXIMUS</v>
      </c>
      <c r="E40" s="103" t="str">
        <f t="shared" si="60"/>
        <v>LCP MATTHEW HWANG YEW SENG</v>
      </c>
      <c r="F40" s="103" t="str">
        <f t="shared" si="61"/>
        <v>LCP RAIYAN ZUFAYRI BIN MOHAMAD HELMY</v>
      </c>
      <c r="G40" s="103" t="str">
        <f t="shared" si="62"/>
        <v>LCP TRAN MINH KHOA</v>
      </c>
      <c r="H40" s="103" t="str">
        <f t="shared" si="63"/>
        <v>LCP RON NG </v>
      </c>
      <c r="I40" s="103" t="str">
        <f t="shared" si="64"/>
        <v>LCP TAN JUN YANG KELVIN</v>
      </c>
      <c r="J40" s="103" t="str">
        <f t="shared" si="65"/>
        <v>LCP RAIYAN ZUFAYRI BIN MOHAMAD HELMY</v>
      </c>
      <c r="K40" s="103" t="str">
        <f t="shared" ref="K40:T40" si="80">INDEX($B$4:$B$37,MATCH($B40,K$4:K$37,0))</f>
        <v>LCP CHYE JING AN MAXIMUS</v>
      </c>
      <c r="L40" s="103" t="str">
        <f t="shared" si="80"/>
        <v>LCP TAN JUN YANG KELVIN</v>
      </c>
      <c r="M40" s="103" t="str">
        <f t="shared" si="80"/>
        <v>LCP MATTHEW HWANG YEW SENG</v>
      </c>
      <c r="N40" s="103" t="str">
        <f t="shared" si="80"/>
        <v>LCP KOO YI XIAN RAPHAEL </v>
      </c>
      <c r="O40" s="103" t="str">
        <f t="shared" si="80"/>
        <v>CPL FANG JIANGRUI</v>
      </c>
      <c r="P40" s="103" t="str">
        <f t="shared" si="80"/>
        <v>CPL GERALD TAN </v>
      </c>
      <c r="Q40" s="103" t="str">
        <f t="shared" si="80"/>
        <v>LCP RAIYAN ZUFAYRI BIN MOHAMAD HELMY</v>
      </c>
      <c r="R40" s="103" t="str">
        <f t="shared" si="80"/>
        <v>3SG SAMUEL TAN ENG WEE</v>
      </c>
      <c r="S40" s="103" t="str">
        <f t="shared" si="80"/>
        <v>LCP SHLOK PUROHIT</v>
      </c>
      <c r="T40" s="103" t="str">
        <f t="shared" si="80"/>
        <v>LCP ZHANG ZHONGHAO</v>
      </c>
      <c r="U40" s="103" t="str">
        <f t="shared" si="67"/>
        <v>LCP STEPHEN TAY </v>
      </c>
      <c r="V40" s="103" t="str">
        <f t="shared" si="68"/>
        <v>LCP ZHANG ZHONGHAO</v>
      </c>
      <c r="W40" s="103" t="str">
        <f t="shared" si="69"/>
        <v>LCP KOO YI XIAN RAPHAEL </v>
      </c>
      <c r="X40" s="103" t="str">
        <f t="shared" si="70"/>
        <v>LCP MATTHEW HWANG YEW SENG</v>
      </c>
      <c r="Y40" s="103" t="str">
        <f t="shared" si="71"/>
        <v>LCP TAN JUN YANG KELVIN</v>
      </c>
      <c r="Z40" s="103" t="str">
        <f t="shared" si="72"/>
        <v>CPL HO SHENGHUI HAYDEN</v>
      </c>
      <c r="AA40" s="103" t="str">
        <f t="shared" si="73"/>
        <v>LCP MATTHEW HWANG YEW SENG</v>
      </c>
      <c r="AB40" s="103" t="str">
        <f t="shared" si="74"/>
        <v>CPL HO SHENGHUI HAYDEN</v>
      </c>
      <c r="AC40" s="103" t="str">
        <f t="shared" si="75"/>
        <v>LCP CHYE JING AN MAXIMUS</v>
      </c>
      <c r="AD40" s="103" t="str">
        <f t="shared" si="76"/>
        <v>LCP ZHANG ZHONGHAO</v>
      </c>
      <c r="AE40" s="103" t="str">
        <f t="shared" si="77"/>
        <v>CFC DERRICK CHIN</v>
      </c>
      <c r="AF40" s="103" t="str">
        <f t="shared" si="78"/>
        <v>CPL FANG JIANGRUI</v>
      </c>
      <c r="AG40" s="103" t="e">
        <f t="shared" si="79"/>
        <v>#N/A</v>
      </c>
      <c r="AH40" s="67"/>
      <c r="AI40" s="67"/>
      <c r="AJ40" s="67"/>
      <c r="AK40" s="67"/>
      <c r="AL40" s="67"/>
      <c r="AM40" s="67"/>
      <c r="AN40" s="67"/>
      <c r="AO40" s="67"/>
      <c r="AP40" s="67"/>
      <c r="AQ40" s="76"/>
      <c r="AR40" s="76"/>
      <c r="AS40" s="77"/>
      <c r="AT40" s="67"/>
      <c r="AU40" s="77"/>
      <c r="AV40" s="77">
        <f>SUMPRODUCT(--(WEEKDAY(C$3:AF$3,2)&gt;5),--ISNUMBER(MATCH(C40:AF40,{"DM","CS1","CS2","SB1","AE","CS/B"},0)))</f>
        <v>0</v>
      </c>
      <c r="AW40" s="67"/>
      <c r="AX40" s="77"/>
      <c r="AY40" s="77"/>
      <c r="AZ40" s="77"/>
      <c r="BA40" s="76"/>
      <c r="BB40" s="76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67"/>
    </row>
    <row r="41" ht="19.5" customHeight="1" spans="1:69">
      <c r="A41" s="67"/>
      <c r="B41" s="60" t="s">
        <v>59</v>
      </c>
      <c r="C41" s="103" t="str">
        <f t="shared" si="58"/>
        <v>LCP TRAN MINH KHOA</v>
      </c>
      <c r="D41" s="103" t="str">
        <f t="shared" si="59"/>
        <v>LCP RON NG </v>
      </c>
      <c r="E41" s="103" t="str">
        <f t="shared" si="60"/>
        <v>LCP APPLE YEO</v>
      </c>
      <c r="F41" s="103" t="e">
        <f t="shared" si="61"/>
        <v>#N/A</v>
      </c>
      <c r="G41" s="103" t="str">
        <f t="shared" si="62"/>
        <v>LCP SHLOK PUROHIT</v>
      </c>
      <c r="H41" s="103" t="str">
        <f t="shared" si="63"/>
        <v>LCP APPLE YEO</v>
      </c>
      <c r="I41" s="103" t="str">
        <f t="shared" si="64"/>
        <v>LCP HYDER ISKANDAR BIN ZULKILFILY</v>
      </c>
      <c r="J41" s="103" t="str">
        <f t="shared" si="65"/>
        <v>LCP MUHAMMAD YASIR BIN MUHAMMAD HIJAZ</v>
      </c>
      <c r="K41" s="103" t="str">
        <f t="shared" ref="K41:T41" si="81">INDEX($B$4:$B$37,MATCH($B41,K$4:K$37,0))</f>
        <v>LCP EDWARD GAN BOON WEI </v>
      </c>
      <c r="L41" s="103" t="str">
        <f t="shared" si="81"/>
        <v>LCP EKLAYVA PINGALI</v>
      </c>
      <c r="M41" s="103" t="str">
        <f t="shared" si="81"/>
        <v>CPL HO SHENGHUI HAYDEN</v>
      </c>
      <c r="N41" s="103" t="str">
        <f t="shared" si="81"/>
        <v>LCP RAIYAN ZUFAYRI BIN MOHAMAD HELMY</v>
      </c>
      <c r="O41" s="103" t="str">
        <f t="shared" si="81"/>
        <v>LCP MUHAMMAD YASIR BIN MUHAMMAD HIJAZ</v>
      </c>
      <c r="P41" s="103" t="str">
        <f t="shared" si="81"/>
        <v>CPL HO SHENGHUI HAYDEN</v>
      </c>
      <c r="Q41" s="103" t="str">
        <f t="shared" si="81"/>
        <v>LCP HYDER ISKANDAR BIN ZULKILFILY</v>
      </c>
      <c r="R41" s="103" t="str">
        <f t="shared" si="81"/>
        <v>LCP MATTHEW HWANG YEW SENG</v>
      </c>
      <c r="S41" s="103" t="str">
        <f t="shared" si="81"/>
        <v>LCP KOO YI XIAN RAPHAEL </v>
      </c>
      <c r="T41" s="103" t="str">
        <f t="shared" si="81"/>
        <v>3SG SAMUEL TAN ENG WEE</v>
      </c>
      <c r="U41" s="103" t="str">
        <f t="shared" si="67"/>
        <v>CFC DERRICK CHIN</v>
      </c>
      <c r="V41" s="103" t="str">
        <f t="shared" si="68"/>
        <v>LCP IGNATIUS QUEK </v>
      </c>
      <c r="W41" s="103" t="str">
        <f t="shared" si="69"/>
        <v>LCP RON NG </v>
      </c>
      <c r="X41" s="103" t="str">
        <f t="shared" si="70"/>
        <v>LCP ZHANG ZHONGHAO</v>
      </c>
      <c r="Y41" s="103" t="str">
        <f t="shared" si="71"/>
        <v>LCP HYDER ISKANDAR BIN ZULKILFILY</v>
      </c>
      <c r="Z41" s="103" t="str">
        <f t="shared" si="72"/>
        <v>LCP ZHANG ZHONGHAO</v>
      </c>
      <c r="AA41" s="103" t="str">
        <f t="shared" si="73"/>
        <v>LCP STEPHEN TAY </v>
      </c>
      <c r="AB41" s="103" t="str">
        <f t="shared" si="74"/>
        <v>LCP EDWARD GAN BOON WEI </v>
      </c>
      <c r="AC41" s="103" t="str">
        <f t="shared" si="75"/>
        <v>LCP MUHAMMAD YASIR BIN MUHAMMAD HIJAZ</v>
      </c>
      <c r="AD41" s="103" t="str">
        <f t="shared" si="76"/>
        <v>PTE CHOA ZONGHAN ETIENNE</v>
      </c>
      <c r="AE41" s="103" t="str">
        <f t="shared" si="77"/>
        <v>LCP RON NG </v>
      </c>
      <c r="AF41" s="103" t="str">
        <f t="shared" si="78"/>
        <v>PTE CHOA ZONGHAN ETIENNE</v>
      </c>
      <c r="AG41" s="103" t="e">
        <f t="shared" si="79"/>
        <v>#N/A</v>
      </c>
      <c r="AH41" s="67"/>
      <c r="AI41" s="67"/>
      <c r="AJ41" s="67"/>
      <c r="AK41" s="67"/>
      <c r="AL41" s="67"/>
      <c r="AM41" s="67"/>
      <c r="AN41" s="67"/>
      <c r="AO41" s="67"/>
      <c r="AP41" s="67"/>
      <c r="AQ41" s="76"/>
      <c r="AR41" s="76"/>
      <c r="AS41" s="77"/>
      <c r="AT41" s="67"/>
      <c r="AU41" s="77"/>
      <c r="AV41" s="77">
        <f>SUMPRODUCT(--(WEEKDAY(C$3:AF$3,2)&gt;5),--ISNUMBER(MATCH(C41:AF41,{"DM","CS1","CS2","SB1","AE","CS/B"},0)))</f>
        <v>0</v>
      </c>
      <c r="AW41" s="67"/>
      <c r="AX41" s="77"/>
      <c r="AY41" s="77"/>
      <c r="AZ41" s="77"/>
      <c r="BA41" s="76"/>
      <c r="BB41" s="76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Q41" s="67"/>
    </row>
    <row r="42" ht="19.5" customHeight="1" spans="1:69">
      <c r="A42" s="67"/>
      <c r="B42" s="60" t="s">
        <v>566</v>
      </c>
      <c r="C42" s="103" t="e">
        <f t="shared" si="58"/>
        <v>#N/A</v>
      </c>
      <c r="D42" s="103" t="e">
        <f t="shared" si="59"/>
        <v>#N/A</v>
      </c>
      <c r="E42" s="103" t="e">
        <f t="shared" si="60"/>
        <v>#N/A</v>
      </c>
      <c r="F42" s="103" t="str">
        <f t="shared" si="61"/>
        <v>LCP MUHAMMAD YASIR BIN MUHAMMAD HIJAZ</v>
      </c>
      <c r="G42" s="103" t="e">
        <f t="shared" si="62"/>
        <v>#N/A</v>
      </c>
      <c r="H42" s="103" t="e">
        <f t="shared" si="63"/>
        <v>#N/A</v>
      </c>
      <c r="I42" s="103" t="e">
        <f t="shared" si="64"/>
        <v>#N/A</v>
      </c>
      <c r="J42" s="103" t="e">
        <f t="shared" si="65"/>
        <v>#N/A</v>
      </c>
      <c r="K42" s="103" t="e">
        <f t="shared" ref="K42:T42" si="82">INDEX($B$4:$B$37,MATCH($B42,K$4:K$37,0))</f>
        <v>#N/A</v>
      </c>
      <c r="L42" s="103" t="e">
        <f t="shared" si="82"/>
        <v>#N/A</v>
      </c>
      <c r="M42" s="103" t="e">
        <f t="shared" si="82"/>
        <v>#N/A</v>
      </c>
      <c r="N42" s="103" t="e">
        <f t="shared" si="82"/>
        <v>#N/A</v>
      </c>
      <c r="O42" s="103" t="e">
        <f t="shared" si="82"/>
        <v>#N/A</v>
      </c>
      <c r="P42" s="103" t="e">
        <f t="shared" si="82"/>
        <v>#N/A</v>
      </c>
      <c r="Q42" s="103" t="e">
        <f t="shared" si="82"/>
        <v>#N/A</v>
      </c>
      <c r="R42" s="103" t="e">
        <f t="shared" si="82"/>
        <v>#N/A</v>
      </c>
      <c r="S42" s="103" t="e">
        <f t="shared" si="82"/>
        <v>#N/A</v>
      </c>
      <c r="T42" s="103" t="e">
        <f t="shared" si="82"/>
        <v>#N/A</v>
      </c>
      <c r="U42" s="103" t="e">
        <f t="shared" si="67"/>
        <v>#N/A</v>
      </c>
      <c r="V42" s="103" t="e">
        <f t="shared" si="68"/>
        <v>#N/A</v>
      </c>
      <c r="W42" s="103" t="e">
        <f t="shared" si="69"/>
        <v>#N/A</v>
      </c>
      <c r="X42" s="103" t="e">
        <f t="shared" si="70"/>
        <v>#N/A</v>
      </c>
      <c r="Y42" s="103" t="e">
        <f t="shared" si="71"/>
        <v>#N/A</v>
      </c>
      <c r="Z42" s="103" t="e">
        <f t="shared" si="72"/>
        <v>#N/A</v>
      </c>
      <c r="AA42" s="103" t="e">
        <f t="shared" si="73"/>
        <v>#N/A</v>
      </c>
      <c r="AB42" s="103" t="e">
        <f t="shared" si="74"/>
        <v>#N/A</v>
      </c>
      <c r="AC42" s="103" t="e">
        <f t="shared" si="75"/>
        <v>#N/A</v>
      </c>
      <c r="AD42" s="103" t="e">
        <f t="shared" si="76"/>
        <v>#N/A</v>
      </c>
      <c r="AE42" s="103" t="e">
        <f t="shared" si="77"/>
        <v>#N/A</v>
      </c>
      <c r="AF42" s="103" t="e">
        <f t="shared" si="78"/>
        <v>#N/A</v>
      </c>
      <c r="AG42" s="103" t="e">
        <f t="shared" si="79"/>
        <v>#N/A</v>
      </c>
      <c r="AH42" s="67"/>
      <c r="AI42" s="67"/>
      <c r="AJ42" s="67"/>
      <c r="AK42" s="67"/>
      <c r="AL42" s="67"/>
      <c r="AM42" s="67"/>
      <c r="AN42" s="67"/>
      <c r="AO42" s="67"/>
      <c r="AP42" s="67"/>
      <c r="AQ42" s="76"/>
      <c r="AR42" s="76"/>
      <c r="AS42" s="77"/>
      <c r="AT42" s="67"/>
      <c r="AU42" s="77"/>
      <c r="AV42" s="77">
        <f>SUMPRODUCT(--(WEEKDAY(C$3:AF$3,2)&gt;5),--ISNUMBER(MATCH(C42:AF42,{"DM","CS1","CS2","SB1","AE","CS/B"},0)))</f>
        <v>0</v>
      </c>
      <c r="AW42" s="67"/>
      <c r="AX42" s="77"/>
      <c r="AY42" s="77"/>
      <c r="AZ42" s="77"/>
      <c r="BA42" s="76"/>
      <c r="BB42" s="76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67"/>
    </row>
    <row r="43" ht="19.5" customHeight="1" spans="1:69">
      <c r="A43" s="67"/>
      <c r="B43" s="60" t="s">
        <v>58</v>
      </c>
      <c r="C43" s="103" t="str">
        <f t="shared" si="58"/>
        <v>PTE CHOA ZONGHAN ETIENNE</v>
      </c>
      <c r="D43" s="103" t="str">
        <f t="shared" si="59"/>
        <v>LCP WONG JI FENG WILLARD</v>
      </c>
      <c r="E43" s="103" t="str">
        <f t="shared" si="60"/>
        <v>LCP TRAN MINH KHOA</v>
      </c>
      <c r="F43" s="103" t="e">
        <f t="shared" si="61"/>
        <v>#N/A</v>
      </c>
      <c r="G43" s="103" t="str">
        <f t="shared" si="62"/>
        <v>LCP HYDER ISKANDAR BIN ZULKILFILY</v>
      </c>
      <c r="H43" s="103" t="str">
        <f t="shared" si="63"/>
        <v>LCP EDWARD GAN BOON WEI </v>
      </c>
      <c r="I43" s="103" t="e">
        <f t="shared" si="64"/>
        <v>#N/A</v>
      </c>
      <c r="J43" s="103" t="e">
        <f t="shared" si="65"/>
        <v>#N/A</v>
      </c>
      <c r="K43" s="103" t="e">
        <f t="shared" ref="K43:T43" si="83">INDEX($B$4:$B$37,MATCH($B43,K$4:K$37,0))</f>
        <v>#N/A</v>
      </c>
      <c r="L43" s="103" t="e">
        <f t="shared" si="83"/>
        <v>#N/A</v>
      </c>
      <c r="M43" s="103" t="e">
        <f t="shared" si="83"/>
        <v>#N/A</v>
      </c>
      <c r="N43" s="103" t="e">
        <f t="shared" si="83"/>
        <v>#N/A</v>
      </c>
      <c r="O43" s="103" t="e">
        <f t="shared" si="83"/>
        <v>#N/A</v>
      </c>
      <c r="P43" s="103" t="e">
        <f t="shared" si="83"/>
        <v>#N/A</v>
      </c>
      <c r="Q43" s="103" t="e">
        <f t="shared" si="83"/>
        <v>#N/A</v>
      </c>
      <c r="R43" s="103" t="e">
        <f t="shared" si="83"/>
        <v>#N/A</v>
      </c>
      <c r="S43" s="103" t="e">
        <f t="shared" si="83"/>
        <v>#N/A</v>
      </c>
      <c r="T43" s="103" t="e">
        <f t="shared" si="83"/>
        <v>#N/A</v>
      </c>
      <c r="U43" s="103" t="e">
        <f t="shared" si="67"/>
        <v>#N/A</v>
      </c>
      <c r="V43" s="103" t="e">
        <f t="shared" si="68"/>
        <v>#N/A</v>
      </c>
      <c r="W43" s="103" t="e">
        <f t="shared" si="69"/>
        <v>#N/A</v>
      </c>
      <c r="X43" s="103" t="e">
        <f t="shared" si="70"/>
        <v>#N/A</v>
      </c>
      <c r="Y43" s="103" t="e">
        <f t="shared" si="71"/>
        <v>#N/A</v>
      </c>
      <c r="Z43" s="103" t="e">
        <f t="shared" si="72"/>
        <v>#N/A</v>
      </c>
      <c r="AA43" s="103" t="e">
        <f t="shared" si="73"/>
        <v>#N/A</v>
      </c>
      <c r="AB43" s="103" t="e">
        <f t="shared" si="74"/>
        <v>#N/A</v>
      </c>
      <c r="AC43" s="103" t="e">
        <f t="shared" si="75"/>
        <v>#N/A</v>
      </c>
      <c r="AD43" s="103" t="e">
        <f t="shared" si="76"/>
        <v>#N/A</v>
      </c>
      <c r="AE43" s="103" t="e">
        <f t="shared" si="77"/>
        <v>#N/A</v>
      </c>
      <c r="AF43" s="103" t="e">
        <f t="shared" si="78"/>
        <v>#N/A</v>
      </c>
      <c r="AG43" s="103" t="e">
        <f t="shared" si="79"/>
        <v>#N/A</v>
      </c>
      <c r="AH43" s="67"/>
      <c r="AI43" s="67"/>
      <c r="AJ43" s="67"/>
      <c r="AK43" s="67"/>
      <c r="AL43" s="67"/>
      <c r="AM43" s="67"/>
      <c r="AN43" s="67"/>
      <c r="AO43" s="67"/>
      <c r="AP43" s="67"/>
      <c r="AQ43" s="76"/>
      <c r="AR43" s="76"/>
      <c r="AS43" s="77"/>
      <c r="AT43" s="67"/>
      <c r="AU43" s="77"/>
      <c r="AV43" s="77">
        <f>SUMPRODUCT(--(WEEKDAY(C$3:AF$3,2)&gt;5),--ISNUMBER(MATCH(C43:AF43,{"DM","CS1","CS2","SB1","AE","CS/B"},0)))</f>
        <v>0</v>
      </c>
      <c r="AW43" s="67"/>
      <c r="AX43" s="77"/>
      <c r="AY43" s="77"/>
      <c r="AZ43" s="77"/>
      <c r="BA43" s="76"/>
      <c r="BB43" s="76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Q43" s="67"/>
    </row>
    <row r="44" ht="19.5" customHeight="1" spans="1:69">
      <c r="A44" s="67"/>
      <c r="B44" s="60" t="s">
        <v>93</v>
      </c>
      <c r="C44" s="103" t="e">
        <f t="shared" si="58"/>
        <v>#N/A</v>
      </c>
      <c r="D44" s="103" t="str">
        <f t="shared" si="59"/>
        <v>LCP EKLAYVA PINGALI</v>
      </c>
      <c r="E44" s="103" t="str">
        <f t="shared" si="60"/>
        <v>LCP QUEK ZI YI</v>
      </c>
      <c r="F44" s="103" t="str">
        <f t="shared" si="61"/>
        <v>LCP RON NG </v>
      </c>
      <c r="G44" s="103" t="str">
        <f t="shared" si="62"/>
        <v>LCP EDWARD GAN BOON WEI </v>
      </c>
      <c r="H44" s="103" t="e">
        <f t="shared" si="63"/>
        <v>#N/A</v>
      </c>
      <c r="I44" s="103" t="e">
        <f t="shared" si="64"/>
        <v>#N/A</v>
      </c>
      <c r="J44" s="103" t="str">
        <f t="shared" si="65"/>
        <v>LCP SHLOK PUROHIT</v>
      </c>
      <c r="K44" s="103" t="str">
        <f t="shared" ref="K44:T44" si="84">INDEX($B$4:$B$37,MATCH($B44,K$4:K$37,0))</f>
        <v>LCP RAIYAN ZUFAYRI BIN MOHAMAD HELMY</v>
      </c>
      <c r="L44" s="103" t="str">
        <f t="shared" si="84"/>
        <v>LCP STEPHEN TAY </v>
      </c>
      <c r="M44" s="103" t="str">
        <f t="shared" si="84"/>
        <v>LCP RON NG </v>
      </c>
      <c r="N44" s="103" t="str">
        <f t="shared" si="84"/>
        <v>PTE CHOA ZONGHAN ETIENNE</v>
      </c>
      <c r="O44" s="103" t="e">
        <f t="shared" si="84"/>
        <v>#N/A</v>
      </c>
      <c r="P44" s="103" t="e">
        <f t="shared" si="84"/>
        <v>#N/A</v>
      </c>
      <c r="Q44" s="103" t="str">
        <f t="shared" si="84"/>
        <v>LCP ZHANG ZHONGHAO</v>
      </c>
      <c r="R44" s="103" t="str">
        <f t="shared" si="84"/>
        <v>LCP TAN JUN YANG KELVIN</v>
      </c>
      <c r="S44" s="103" t="str">
        <f t="shared" si="84"/>
        <v>PTE HUANG JIHUI</v>
      </c>
      <c r="T44" s="103" t="str">
        <f t="shared" si="84"/>
        <v>LCP SHLOK PUROHIT</v>
      </c>
      <c r="U44" s="103" t="str">
        <f t="shared" si="67"/>
        <v>LCP TRAN MINH KHOA</v>
      </c>
      <c r="V44" s="103" t="e">
        <f t="shared" si="68"/>
        <v>#N/A</v>
      </c>
      <c r="W44" s="103" t="e">
        <f t="shared" si="69"/>
        <v>#N/A</v>
      </c>
      <c r="X44" s="103" t="str">
        <f t="shared" si="70"/>
        <v>LCP MUHAMMAD YASIR BIN MUHAMMAD HIJAZ</v>
      </c>
      <c r="Y44" s="103" t="str">
        <f t="shared" si="71"/>
        <v>CPL GERALD TAN </v>
      </c>
      <c r="Z44" s="103" t="str">
        <f t="shared" si="72"/>
        <v>LCP RAIYAN ZUFAYRI BIN MOHAMAD HELMY</v>
      </c>
      <c r="AA44" s="103" t="str">
        <f t="shared" si="73"/>
        <v>PTE CHOA ZONGHAN ETIENNE</v>
      </c>
      <c r="AB44" s="103" t="str">
        <f t="shared" si="74"/>
        <v>CPL FANG JIANGRUI</v>
      </c>
      <c r="AC44" s="103" t="e">
        <f t="shared" si="75"/>
        <v>#N/A</v>
      </c>
      <c r="AD44" s="103" t="e">
        <f t="shared" si="76"/>
        <v>#N/A</v>
      </c>
      <c r="AE44" s="103" t="str">
        <f t="shared" si="77"/>
        <v>LCP STEPHEN TAY </v>
      </c>
      <c r="AF44" s="103" t="str">
        <f t="shared" si="78"/>
        <v>LCP SHLOK PUROHIT</v>
      </c>
      <c r="AG44" s="103" t="e">
        <f t="shared" si="79"/>
        <v>#N/A</v>
      </c>
      <c r="AH44" s="67"/>
      <c r="AI44" s="67"/>
      <c r="AJ44" s="67"/>
      <c r="AK44" s="67"/>
      <c r="AL44" s="67"/>
      <c r="AM44" s="67"/>
      <c r="AN44" s="67"/>
      <c r="AO44" s="67"/>
      <c r="AP44" s="67"/>
      <c r="AQ44" s="76"/>
      <c r="AR44" s="76"/>
      <c r="AS44" s="77"/>
      <c r="AT44" s="67"/>
      <c r="AU44" s="77"/>
      <c r="AV44" s="77">
        <f>SUMPRODUCT(--(WEEKDAY(C$3:AF$3,2)&gt;5),--ISNUMBER(MATCH(C44:AF44,{"DM","CS1","CS2","SB1","AE","CS/B"},0)))</f>
        <v>0</v>
      </c>
      <c r="AW44" s="67"/>
      <c r="AX44" s="77"/>
      <c r="AY44" s="77"/>
      <c r="AZ44" s="77"/>
      <c r="BA44" s="76"/>
      <c r="BB44" s="76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67"/>
    </row>
    <row r="45" ht="19.5" customHeight="1" spans="1:69">
      <c r="A45" s="67"/>
      <c r="B45" s="60" t="s">
        <v>65</v>
      </c>
      <c r="C45" s="103" t="str">
        <f t="shared" si="58"/>
        <v>PTE MUHAMMAD SHAUKI BIN MOHD SHAM</v>
      </c>
      <c r="D45" s="103" t="str">
        <f t="shared" si="59"/>
        <v>PTE HUANG JIHUI</v>
      </c>
      <c r="E45" s="103" t="str">
        <f t="shared" si="60"/>
        <v>LCP STEPHEN TAY </v>
      </c>
      <c r="F45" s="103" t="str">
        <f t="shared" si="61"/>
        <v>PTE MENDEZ RALPH JUSTINE MACALINO</v>
      </c>
      <c r="G45" s="103" t="str">
        <f t="shared" si="62"/>
        <v>PTE DANIEL ISKANDAR BIN SANUSI</v>
      </c>
      <c r="H45" s="103" t="str">
        <f t="shared" si="63"/>
        <v>PTE HUANG JIHUI</v>
      </c>
      <c r="I45" s="103" t="str">
        <f t="shared" si="64"/>
        <v>PTE RAGURAMAN ANIRUDH</v>
      </c>
      <c r="J45" s="103" t="str">
        <f t="shared" si="65"/>
        <v>PTE HUANG JIHUI</v>
      </c>
      <c r="K45" s="103" t="str">
        <f t="shared" ref="K45:T45" si="85">INDEX($B$4:$B$37,MATCH($B45,K$4:K$37,0))</f>
        <v>PTE MUHAMMAD HAMZA ZUBERI</v>
      </c>
      <c r="L45" s="103" t="str">
        <f t="shared" si="85"/>
        <v>PTE MENDEZ RALPH JUSTINE MACALINO</v>
      </c>
      <c r="M45" s="103" t="str">
        <f t="shared" si="85"/>
        <v>PTE MUHAMMAD SHAUKI BIN MOHD SHAM</v>
      </c>
      <c r="N45" s="103" t="str">
        <f t="shared" si="85"/>
        <v>PTE RAGURAMAN ANIRUDH</v>
      </c>
      <c r="O45" s="103" t="str">
        <f t="shared" si="85"/>
        <v>PTE DANIEL ISKANDAR BIN SANUSI</v>
      </c>
      <c r="P45" s="103" t="str">
        <f t="shared" si="85"/>
        <v>PTE MUHAMMAD SHAUKI BIN MOHD SHAM</v>
      </c>
      <c r="Q45" s="103" t="str">
        <f t="shared" si="85"/>
        <v>PTE CHOA ZONGHAN ETIENNE</v>
      </c>
      <c r="R45" s="103" t="str">
        <f t="shared" si="85"/>
        <v>PTE MUHAMMAD HAMZA ZUBERI</v>
      </c>
      <c r="S45" s="103" t="str">
        <f t="shared" si="85"/>
        <v>PTE DANIEL ISKANDAR BIN SANUSI</v>
      </c>
      <c r="T45" s="103" t="str">
        <f t="shared" si="85"/>
        <v>PTE MUHAMMAD SHAUKI BIN MOHD SHAM</v>
      </c>
      <c r="U45" s="103" t="str">
        <f t="shared" si="67"/>
        <v>PTE HUANG JIHUI</v>
      </c>
      <c r="V45" s="103" t="str">
        <f t="shared" si="68"/>
        <v>PTE RAGURAMAN ANIRUDH</v>
      </c>
      <c r="W45" s="103" t="str">
        <f t="shared" si="69"/>
        <v>PTE MUHAMMAD HAMZA ZUBERI</v>
      </c>
      <c r="X45" s="103" t="str">
        <f t="shared" si="70"/>
        <v>3SG SAMUEL TAN ENG WEE</v>
      </c>
      <c r="Y45" s="103" t="str">
        <f t="shared" si="71"/>
        <v>PTE DANIEL ISKANDAR BIN SANUSI</v>
      </c>
      <c r="Z45" s="103" t="str">
        <f t="shared" si="72"/>
        <v>PTE MUHAMMAD SHAUKI BIN MOHD SHAM</v>
      </c>
      <c r="AA45" s="103" t="str">
        <f t="shared" si="73"/>
        <v>PTE HUANG JIHUI</v>
      </c>
      <c r="AB45" s="103" t="str">
        <f t="shared" si="74"/>
        <v>PTE MUHAMMAD SHAUKI BIN MOHD SHAM</v>
      </c>
      <c r="AC45" s="103" t="str">
        <f t="shared" si="75"/>
        <v>PTE MENDEZ RALPH JUSTINE MACALINO</v>
      </c>
      <c r="AD45" s="103" t="str">
        <f t="shared" si="76"/>
        <v>LCP RAIYAN ZUFAYRI BIN MOHAMAD HELMY</v>
      </c>
      <c r="AE45" s="103" t="str">
        <f t="shared" si="77"/>
        <v>PTE MUHAMMAD HAMZA ZUBERI</v>
      </c>
      <c r="AF45" s="103" t="str">
        <f t="shared" si="78"/>
        <v>PTE MENDEZ RALPH JUSTINE MACALINO</v>
      </c>
      <c r="AG45" s="103" t="e">
        <f t="shared" si="79"/>
        <v>#N/A</v>
      </c>
      <c r="AH45" s="67"/>
      <c r="AI45" s="67"/>
      <c r="AJ45" s="67"/>
      <c r="AK45" s="67"/>
      <c r="AL45" s="67"/>
      <c r="AM45" s="67"/>
      <c r="AN45" s="67"/>
      <c r="AO45" s="67"/>
      <c r="AP45" s="67"/>
      <c r="AQ45" s="76"/>
      <c r="AR45" s="76"/>
      <c r="AS45" s="77"/>
      <c r="AT45" s="67"/>
      <c r="AU45" s="77"/>
      <c r="AV45" s="77">
        <f>SUMPRODUCT(--(WEEKDAY(C$3:AF$3,2)&gt;5),--ISNUMBER(MATCH(C45:AF45,{"DM","CS1","CS2","SB1","AE","CS/B"},0)))</f>
        <v>0</v>
      </c>
      <c r="AW45" s="67"/>
      <c r="AX45" s="77"/>
      <c r="AY45" s="77"/>
      <c r="AZ45" s="77"/>
      <c r="BA45" s="76"/>
      <c r="BB45" s="76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67"/>
    </row>
    <row r="46" ht="19.5" customHeight="1" spans="1:69">
      <c r="A46" s="67"/>
      <c r="B46" s="104" t="s">
        <v>350</v>
      </c>
      <c r="C46" s="103" t="str">
        <f t="shared" si="58"/>
        <v>LCP KOO YI XIAN RAPHAEL </v>
      </c>
      <c r="D46" s="103" t="str">
        <f t="shared" si="59"/>
        <v>3SG SAMUEL TAN ENG WEE</v>
      </c>
      <c r="E46" s="103" t="str">
        <f t="shared" si="60"/>
        <v>LCP EKLAYVA PINGALI</v>
      </c>
      <c r="F46" s="103" t="str">
        <f t="shared" si="61"/>
        <v>LCP MUHAMAD ZULKHAIRI BIN MOHAMAD SAPARI</v>
      </c>
      <c r="G46" s="103" t="str">
        <f t="shared" si="62"/>
        <v>LCP STEPHEN TAY </v>
      </c>
      <c r="H46" s="103" t="str">
        <f t="shared" si="63"/>
        <v>PTE MUHAMMAD HAMZA ZUBERI</v>
      </c>
      <c r="I46" s="103" t="e">
        <f t="shared" si="64"/>
        <v>#N/A</v>
      </c>
      <c r="J46" s="103" t="str">
        <f t="shared" si="65"/>
        <v>LCP WONG JI FENG WILLARD</v>
      </c>
      <c r="K46" s="103" t="str">
        <f t="shared" ref="K46:T46" si="86">INDEX($B$4:$B$37,MATCH($B46,K$4:K$37,0))</f>
        <v>LCP MATTHEW HWANG YEW SENG</v>
      </c>
      <c r="L46" s="103" t="e">
        <f t="shared" si="86"/>
        <v>#N/A</v>
      </c>
      <c r="M46" s="103" t="str">
        <f t="shared" si="86"/>
        <v>PTE DANIEL ISKANDAR BIN SANUSI</v>
      </c>
      <c r="N46" s="103" t="str">
        <f t="shared" si="86"/>
        <v>LCP SHLOK PUROHIT</v>
      </c>
      <c r="O46" s="103" t="str">
        <f t="shared" si="86"/>
        <v>LCP RON NG </v>
      </c>
      <c r="P46" s="103" t="str">
        <f t="shared" si="86"/>
        <v>LCP ZHANG ZHONGHAO</v>
      </c>
      <c r="Q46" s="103" t="str">
        <f t="shared" si="86"/>
        <v>PTE MENDEZ RALPH JUSTINE MACALINO</v>
      </c>
      <c r="R46" s="103" t="str">
        <f t="shared" si="86"/>
        <v>CPL GERALD TAN </v>
      </c>
      <c r="S46" s="103" t="e">
        <f t="shared" si="86"/>
        <v>#N/A</v>
      </c>
      <c r="T46" s="103" t="str">
        <f t="shared" si="86"/>
        <v>PTE DANIEL ISKANDAR BIN SANUSI</v>
      </c>
      <c r="U46" s="103" t="str">
        <f t="shared" si="67"/>
        <v>LCP KOO YI XIAN RAPHAEL </v>
      </c>
      <c r="V46" s="103" t="e">
        <f t="shared" si="68"/>
        <v>#N/A</v>
      </c>
      <c r="W46" s="103" t="str">
        <f t="shared" si="69"/>
        <v>LCP MUHAMMAD YASIR BIN MUHAMMAD HIJAZ</v>
      </c>
      <c r="X46" s="103" t="e">
        <f t="shared" si="70"/>
        <v>#N/A</v>
      </c>
      <c r="Y46" s="103" t="str">
        <f t="shared" si="71"/>
        <v>PTE HUANG JIHUI</v>
      </c>
      <c r="Z46" s="103" t="str">
        <f t="shared" si="72"/>
        <v>LCP EDWARD GAN BOON WEI </v>
      </c>
      <c r="AA46" s="103" t="str">
        <f t="shared" si="73"/>
        <v>CPL GOH DI XUAN</v>
      </c>
      <c r="AB46" s="103" t="e">
        <f t="shared" si="74"/>
        <v>#N/A</v>
      </c>
      <c r="AC46" s="103" t="e">
        <f t="shared" si="75"/>
        <v>#N/A</v>
      </c>
      <c r="AD46" s="103" t="str">
        <f t="shared" si="76"/>
        <v>LCP HYDER ISKANDAR BIN ZULKILFILY</v>
      </c>
      <c r="AE46" s="103" t="str">
        <f t="shared" si="77"/>
        <v>PTE RAGURAMAN ANIRUDH</v>
      </c>
      <c r="AF46" s="103" t="str">
        <f t="shared" si="78"/>
        <v>LCP RAIYAN ZUFAYRI BIN MOHAMAD HELMY</v>
      </c>
      <c r="AG46" s="103" t="e">
        <f t="shared" si="79"/>
        <v>#N/A</v>
      </c>
      <c r="AH46" s="67"/>
      <c r="AI46" s="67"/>
      <c r="AJ46" s="67"/>
      <c r="AK46" s="67"/>
      <c r="AL46" s="67"/>
      <c r="AM46" s="67"/>
      <c r="AN46" s="67"/>
      <c r="AO46" s="67"/>
      <c r="AP46" s="67"/>
      <c r="AQ46" s="76"/>
      <c r="AR46" s="76"/>
      <c r="AS46" s="77"/>
      <c r="AT46" s="67"/>
      <c r="AU46" s="77"/>
      <c r="AV46" s="77">
        <f>SUMPRODUCT(--(WEEKDAY(C$3:AF$3,2)&gt;5),--ISNUMBER(MATCH(C46:AF46,{"DM","CS1","CS2","SB1","AE","CS/B"},0)))</f>
        <v>0</v>
      </c>
      <c r="AW46" s="67"/>
      <c r="AX46" s="77"/>
      <c r="AY46" s="77"/>
      <c r="AZ46" s="77"/>
      <c r="BA46" s="76"/>
      <c r="BB46" s="76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7"/>
      <c r="BQ46" s="67"/>
    </row>
    <row r="47" ht="19.5" customHeight="1" spans="1:69">
      <c r="A47" s="67"/>
      <c r="B47" s="105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5">
        <f t="shared" ref="AH47:AP47" si="87">COUNTIF($C47:$AF47,AH$4)</f>
        <v>0</v>
      </c>
      <c r="AI47" s="105">
        <f t="shared" si="87"/>
        <v>0</v>
      </c>
      <c r="AJ47" s="105">
        <f t="shared" si="87"/>
        <v>0</v>
      </c>
      <c r="AK47" s="105">
        <f t="shared" si="87"/>
        <v>0</v>
      </c>
      <c r="AL47" s="105">
        <f t="shared" si="87"/>
        <v>0</v>
      </c>
      <c r="AM47" s="105">
        <f t="shared" si="87"/>
        <v>0</v>
      </c>
      <c r="AN47" s="105">
        <f t="shared" si="87"/>
        <v>0</v>
      </c>
      <c r="AO47" s="105">
        <f t="shared" si="87"/>
        <v>0</v>
      </c>
      <c r="AP47" s="105">
        <f t="shared" si="87"/>
        <v>0</v>
      </c>
      <c r="AQ47" s="105">
        <v>1</v>
      </c>
      <c r="AR47" s="105"/>
      <c r="AS47" s="105">
        <f t="array" ref="AS47">SUMPRODUCT(--(WEEKDAY(C$3:AF$3,2)&lt;5),--ISNUMBER(MATCH(C47:AF47,{"DM","CS1","CS2","SB1","AE","CS/B"},0)))</f>
        <v>0</v>
      </c>
      <c r="AT47" s="105"/>
      <c r="AU47" s="105">
        <f t="array" ref="AU47">SUMPRODUCT(--(WEEKDAY(C$3:AF$3,2)=5),--ISNUMBER(MATCH(C47:AF47,{"DM","CS1","CS2","SB1","AE","CS/B"},0)))</f>
        <v>0</v>
      </c>
      <c r="AV47" s="77">
        <f>SUMPRODUCT(--(WEEKDAY(C$3:AF$3,2)&gt;5),--ISNUMBER(MATCH(C47:AF47,{"DM","CS1","CS2","SB1","AE","CS/B"},0)))</f>
        <v>0</v>
      </c>
      <c r="AW47" s="105"/>
      <c r="AX47" s="105">
        <f>(AS47-AT47)+AU47*1.5+(AV47-AW47)*2+AM47*0.5+AO47*0.5+AQ47-AR47</f>
        <v>1</v>
      </c>
      <c r="AY47" s="105">
        <f t="shared" ref="AY47:AY63" si="88">AS47+AU47+AV47</f>
        <v>0</v>
      </c>
      <c r="AZ47" s="105">
        <f t="shared" ref="AZ47:AZ63" si="89">BD47+BF47+BH47+BJ47+BL47</f>
        <v>0</v>
      </c>
      <c r="BA47" s="105">
        <f t="shared" ref="BA47:BA63" si="90">AX47+BC47</f>
        <v>1</v>
      </c>
      <c r="BB47" s="105"/>
      <c r="BC47" s="105">
        <f t="shared" ref="BC47:BC63" si="91">BE47+BG47+BI47+BK47+BM47</f>
        <v>0</v>
      </c>
      <c r="BD47" s="105">
        <f t="shared" ref="BD47:BD63" si="92">COUNTIF(A47:AH47,"*$BTP*")</f>
        <v>0</v>
      </c>
      <c r="BE47" s="105">
        <f t="shared" ref="BE47:BE63" si="93">BD47*1.5</f>
        <v>0</v>
      </c>
      <c r="BF47" s="105">
        <f t="shared" ref="BF47:BF63" si="94">COUNTIF(A47:AH47,"*$M*")</f>
        <v>0</v>
      </c>
      <c r="BG47" s="105">
        <f t="shared" ref="BG47:BG63" si="95">BF47*1</f>
        <v>0</v>
      </c>
      <c r="BH47" s="105">
        <f t="shared" ref="BH47:BH63" si="96">COUNTIF(A47:AH47,"*$PM*")</f>
        <v>0</v>
      </c>
      <c r="BI47" s="105">
        <f t="shared" ref="BI47:BI63" si="97">BH47*0.5</f>
        <v>0</v>
      </c>
      <c r="BJ47" s="105">
        <f t="shared" ref="BJ47:BJ63" si="98">COUNTIF(A47:AH47,"*$AM*")</f>
        <v>0</v>
      </c>
      <c r="BK47" s="105">
        <f t="shared" ref="BK47:BK63" si="99">BJ47*0.5</f>
        <v>0</v>
      </c>
      <c r="BL47" s="105">
        <f t="shared" ref="BL47:BL63" si="100">COUNTIF(A47:AH47,"*$FC*")</f>
        <v>0</v>
      </c>
      <c r="BM47" s="105">
        <f t="shared" ref="BM47:BM63" si="101">BL47*1</f>
        <v>0</v>
      </c>
      <c r="BN47" s="105">
        <f>COUNTIF($D47:$Y47,BN$4)</f>
        <v>0</v>
      </c>
      <c r="BO47" s="105">
        <f>COUNTIF($D47:$Y47,BO$4)</f>
        <v>0</v>
      </c>
      <c r="BP47" s="105"/>
      <c r="BQ47" s="105"/>
    </row>
    <row r="48" ht="19.5" customHeight="1" spans="1:69">
      <c r="A48" s="67"/>
      <c r="B48" s="76" t="s">
        <v>814</v>
      </c>
      <c r="C48" s="60" t="s">
        <v>58</v>
      </c>
      <c r="D48" s="136"/>
      <c r="E48" s="54" t="s">
        <v>680</v>
      </c>
      <c r="F48" s="60" t="s">
        <v>892</v>
      </c>
      <c r="G48" s="60" t="s">
        <v>56</v>
      </c>
      <c r="H48" s="60"/>
      <c r="I48" s="60"/>
      <c r="J48" s="60"/>
      <c r="K48" s="53"/>
      <c r="L48" s="53" t="s">
        <v>58</v>
      </c>
      <c r="M48" s="53"/>
      <c r="N48" s="60"/>
      <c r="O48" s="60"/>
      <c r="P48" s="60"/>
      <c r="Q48" s="136" t="s">
        <v>57</v>
      </c>
      <c r="R48" s="53"/>
      <c r="S48" s="60"/>
      <c r="T48" s="136" t="s">
        <v>56</v>
      </c>
      <c r="U48" s="60"/>
      <c r="V48" s="60"/>
      <c r="W48" s="60"/>
      <c r="X48" s="60" t="s">
        <v>893</v>
      </c>
      <c r="Y48" s="136"/>
      <c r="Z48" s="60" t="s">
        <v>56</v>
      </c>
      <c r="AA48" s="53"/>
      <c r="AB48" s="60" t="s">
        <v>893</v>
      </c>
      <c r="AC48" s="60"/>
      <c r="AD48" s="60"/>
      <c r="AE48" s="136" t="s">
        <v>894</v>
      </c>
      <c r="AF48" s="60"/>
      <c r="AG48" s="136"/>
      <c r="AH48" s="67">
        <f t="shared" ref="AH48:AP48" si="102">COUNTIF($C48:$AF48,AH$4)</f>
        <v>1</v>
      </c>
      <c r="AI48" s="67">
        <f t="shared" si="102"/>
        <v>3</v>
      </c>
      <c r="AJ48" s="67">
        <f t="shared" si="102"/>
        <v>0</v>
      </c>
      <c r="AK48" s="67">
        <f t="shared" si="102"/>
        <v>0</v>
      </c>
      <c r="AL48" s="67">
        <f t="shared" si="102"/>
        <v>2</v>
      </c>
      <c r="AM48" s="67">
        <f t="shared" si="102"/>
        <v>0</v>
      </c>
      <c r="AN48" s="67">
        <f t="shared" si="102"/>
        <v>0</v>
      </c>
      <c r="AO48" s="67">
        <f t="shared" si="102"/>
        <v>0</v>
      </c>
      <c r="AP48" s="67">
        <f t="shared" si="102"/>
        <v>0</v>
      </c>
      <c r="AQ48" s="76"/>
      <c r="AR48" s="76"/>
      <c r="AS48" s="77">
        <f>SUMPRODUCT(--(WEEKDAY(C$3:AG$3,2)&lt;5),--ISNUMBER(MATCH(C48:AG48,{"SB1","SB2"},0)))</f>
        <v>2</v>
      </c>
      <c r="AT48" s="67"/>
      <c r="AU48" s="77">
        <f>SUMPRODUCT(--(WEEKDAY(C$3:AG$3,2)=5),--ISNUMBER(MATCH(C48:AG48,{"SB1","SB2"},0)))</f>
        <v>0</v>
      </c>
      <c r="AV48" s="77">
        <f>SUMPRODUCT(--(WEEKDAY(C$3:AG$3,2)&gt;5),--ISNUMBER(MATCH(C48:AG48,{"SB1","SB2"},0)))</f>
        <v>0</v>
      </c>
      <c r="AW48" s="67"/>
      <c r="AX48" s="77">
        <f t="shared" ref="AX48:AX63" si="103">(AS48-AT48)+AU48*1.5+(AV48-AW48)*2+(AO48+AH48+AI48+AJ48+AK48+AN48)*0.5+AQ48-AR48</f>
        <v>4</v>
      </c>
      <c r="AY48" s="77">
        <f t="shared" si="88"/>
        <v>2</v>
      </c>
      <c r="AZ48" s="77">
        <f t="shared" si="89"/>
        <v>1</v>
      </c>
      <c r="BA48" s="76">
        <f t="shared" si="90"/>
        <v>5</v>
      </c>
      <c r="BB48" s="76"/>
      <c r="BC48" s="77">
        <f t="shared" si="91"/>
        <v>1</v>
      </c>
      <c r="BD48" s="77">
        <f t="shared" si="92"/>
        <v>0</v>
      </c>
      <c r="BE48" s="77">
        <f t="shared" si="93"/>
        <v>0</v>
      </c>
      <c r="BF48" s="77">
        <f t="shared" si="94"/>
        <v>1</v>
      </c>
      <c r="BG48" s="77">
        <f t="shared" si="95"/>
        <v>1</v>
      </c>
      <c r="BH48" s="77">
        <f t="shared" si="96"/>
        <v>0</v>
      </c>
      <c r="BI48" s="77">
        <f t="shared" si="97"/>
        <v>0</v>
      </c>
      <c r="BJ48" s="77">
        <f t="shared" si="98"/>
        <v>0</v>
      </c>
      <c r="BK48" s="77">
        <f t="shared" si="99"/>
        <v>0</v>
      </c>
      <c r="BL48" s="77">
        <f t="shared" si="100"/>
        <v>0</v>
      </c>
      <c r="BM48" s="77">
        <f t="shared" si="101"/>
        <v>0</v>
      </c>
      <c r="BN48" s="77">
        <f t="shared" ref="BN48:BN63" si="104">COUNTIF($E48:$AG48,BN$4)</f>
        <v>0</v>
      </c>
      <c r="BO48" s="77">
        <f t="shared" ref="BO48:BO63" si="105">COUNTIF($E48:$AG48,BO$4)</f>
        <v>0</v>
      </c>
      <c r="BP48" s="77">
        <f>COUNTIF($E48:$Y48,BP$4)</f>
        <v>0</v>
      </c>
      <c r="BQ48" s="67"/>
    </row>
    <row r="49" ht="19.5" customHeight="1" spans="1:69">
      <c r="A49" s="67"/>
      <c r="B49" s="76" t="s">
        <v>895</v>
      </c>
      <c r="C49" s="60"/>
      <c r="D49" s="53" t="s">
        <v>896</v>
      </c>
      <c r="E49" s="60" t="s">
        <v>897</v>
      </c>
      <c r="F49" s="107" t="s">
        <v>93</v>
      </c>
      <c r="G49" s="60" t="s">
        <v>65</v>
      </c>
      <c r="H49" s="60"/>
      <c r="I49" s="60"/>
      <c r="J49" s="60" t="s">
        <v>898</v>
      </c>
      <c r="K49" s="53"/>
      <c r="L49" s="53"/>
      <c r="M49" s="60"/>
      <c r="N49" s="60" t="s">
        <v>58</v>
      </c>
      <c r="O49" s="60" t="s">
        <v>58</v>
      </c>
      <c r="P49" s="60"/>
      <c r="Q49" s="107"/>
      <c r="R49" s="136"/>
      <c r="S49" s="54"/>
      <c r="T49" s="60" t="s">
        <v>57</v>
      </c>
      <c r="U49" s="114"/>
      <c r="V49" s="60"/>
      <c r="W49" s="60"/>
      <c r="X49" s="60"/>
      <c r="Y49" s="60"/>
      <c r="Z49" s="60" t="s">
        <v>899</v>
      </c>
      <c r="AA49" s="53"/>
      <c r="AB49" s="60"/>
      <c r="AC49" s="60"/>
      <c r="AD49" s="60"/>
      <c r="AE49" s="60"/>
      <c r="AF49" s="60" t="s">
        <v>58</v>
      </c>
      <c r="AG49" s="60"/>
      <c r="AH49" s="67">
        <f t="shared" ref="AH49:AP49" si="106">COUNTIF($C49:$AF49,AH$4)</f>
        <v>1</v>
      </c>
      <c r="AI49" s="67">
        <f t="shared" si="106"/>
        <v>0</v>
      </c>
      <c r="AJ49" s="67">
        <f t="shared" si="106"/>
        <v>0</v>
      </c>
      <c r="AK49" s="67">
        <f t="shared" si="106"/>
        <v>0</v>
      </c>
      <c r="AL49" s="67">
        <f t="shared" si="106"/>
        <v>3</v>
      </c>
      <c r="AM49" s="67">
        <f t="shared" si="106"/>
        <v>1</v>
      </c>
      <c r="AN49" s="67">
        <f t="shared" si="106"/>
        <v>1</v>
      </c>
      <c r="AO49" s="67">
        <f t="shared" si="106"/>
        <v>0</v>
      </c>
      <c r="AP49" s="67">
        <f t="shared" si="106"/>
        <v>0</v>
      </c>
      <c r="AQ49" s="76"/>
      <c r="AR49" s="76"/>
      <c r="AS49" s="77">
        <f>SUMPRODUCT(--(WEEKDAY(C$3:AG$3,2)&lt;5),--ISNUMBER(MATCH(C49:AG49,{"SB1","SB2"},0)))</f>
        <v>2</v>
      </c>
      <c r="AT49" s="67"/>
      <c r="AU49" s="77">
        <f>SUMPRODUCT(--(WEEKDAY(C$3:AG$3,2)=5),--ISNUMBER(MATCH(C49:AG49,{"SB1","SB2"},0)))</f>
        <v>1</v>
      </c>
      <c r="AV49" s="77">
        <f>SUMPRODUCT(--(WEEKDAY(C$3:AG$3,2)&gt;5),--ISNUMBER(MATCH(C49:AG49,{"SB1","SB2"},0)))</f>
        <v>1</v>
      </c>
      <c r="AW49" s="67"/>
      <c r="AX49" s="77">
        <f t="shared" si="103"/>
        <v>6.5</v>
      </c>
      <c r="AY49" s="77">
        <f t="shared" si="88"/>
        <v>4</v>
      </c>
      <c r="AZ49" s="77">
        <f t="shared" si="89"/>
        <v>2</v>
      </c>
      <c r="BA49" s="76">
        <f t="shared" si="90"/>
        <v>8.5</v>
      </c>
      <c r="BB49" s="76"/>
      <c r="BC49" s="77">
        <f t="shared" si="91"/>
        <v>2</v>
      </c>
      <c r="BD49" s="77">
        <f t="shared" si="92"/>
        <v>1</v>
      </c>
      <c r="BE49" s="77">
        <f t="shared" si="93"/>
        <v>1.5</v>
      </c>
      <c r="BF49" s="77">
        <f t="shared" si="94"/>
        <v>0</v>
      </c>
      <c r="BG49" s="77">
        <f t="shared" si="95"/>
        <v>0</v>
      </c>
      <c r="BH49" s="77">
        <f t="shared" si="96"/>
        <v>0</v>
      </c>
      <c r="BI49" s="77">
        <f t="shared" si="97"/>
        <v>0</v>
      </c>
      <c r="BJ49" s="77">
        <f t="shared" si="98"/>
        <v>1</v>
      </c>
      <c r="BK49" s="77">
        <f t="shared" si="99"/>
        <v>0.5</v>
      </c>
      <c r="BL49" s="77">
        <f t="shared" si="100"/>
        <v>0</v>
      </c>
      <c r="BM49" s="77">
        <f t="shared" si="101"/>
        <v>0</v>
      </c>
      <c r="BN49" s="77">
        <f t="shared" si="104"/>
        <v>0</v>
      </c>
      <c r="BO49" s="77">
        <f t="shared" si="105"/>
        <v>0</v>
      </c>
      <c r="BP49" s="77">
        <f>COUNTIF($D49:$Y49,BP$4)</f>
        <v>0</v>
      </c>
      <c r="BQ49" s="67"/>
    </row>
    <row r="50" ht="19.5" customHeight="1" spans="1:69">
      <c r="A50" s="67"/>
      <c r="B50" s="76" t="s">
        <v>820</v>
      </c>
      <c r="C50" s="60"/>
      <c r="D50" s="60"/>
      <c r="E50" s="60" t="s">
        <v>896</v>
      </c>
      <c r="F50" s="60" t="s">
        <v>58</v>
      </c>
      <c r="G50" s="136"/>
      <c r="H50" s="60" t="s">
        <v>93</v>
      </c>
      <c r="I50" s="60"/>
      <c r="J50" s="107" t="s">
        <v>65</v>
      </c>
      <c r="K50" s="60"/>
      <c r="L50" s="60" t="s">
        <v>261</v>
      </c>
      <c r="M50" s="60"/>
      <c r="N50" s="60"/>
      <c r="O50" s="60"/>
      <c r="P50" s="60"/>
      <c r="Q50" s="60"/>
      <c r="R50" s="60" t="s">
        <v>56</v>
      </c>
      <c r="S50" s="60"/>
      <c r="T50" s="54"/>
      <c r="U50" s="60"/>
      <c r="V50" s="60"/>
      <c r="W50" s="60"/>
      <c r="X50" s="60"/>
      <c r="Y50" s="60"/>
      <c r="Z50" s="60"/>
      <c r="AA50" s="60"/>
      <c r="AB50" s="60" t="s">
        <v>261</v>
      </c>
      <c r="AC50" s="60"/>
      <c r="AD50" s="60"/>
      <c r="AE50" s="60" t="s">
        <v>65</v>
      </c>
      <c r="AF50" s="60"/>
      <c r="AG50" s="60"/>
      <c r="AH50" s="67">
        <f t="shared" ref="AH50:AP50" si="107">COUNTIF($C50:$AF50,AH$4)</f>
        <v>0</v>
      </c>
      <c r="AI50" s="67">
        <f t="shared" si="107"/>
        <v>1</v>
      </c>
      <c r="AJ50" s="67">
        <f t="shared" si="107"/>
        <v>0</v>
      </c>
      <c r="AK50" s="67">
        <f t="shared" si="107"/>
        <v>0</v>
      </c>
      <c r="AL50" s="67">
        <f t="shared" si="107"/>
        <v>1</v>
      </c>
      <c r="AM50" s="67">
        <f t="shared" si="107"/>
        <v>1</v>
      </c>
      <c r="AN50" s="67">
        <f t="shared" si="107"/>
        <v>2</v>
      </c>
      <c r="AO50" s="67">
        <f t="shared" si="107"/>
        <v>0</v>
      </c>
      <c r="AP50" s="67">
        <f t="shared" si="107"/>
        <v>0</v>
      </c>
      <c r="AQ50" s="76"/>
      <c r="AR50" s="76"/>
      <c r="AS50" s="77">
        <f>SUMPRODUCT(--(WEEKDAY(C$3:AG$3,2)&lt;5),--ISNUMBER(MATCH(C50:AG50,{"SB1","SB2"},0)))</f>
        <v>1</v>
      </c>
      <c r="AT50" s="67"/>
      <c r="AU50" s="77">
        <f>SUMPRODUCT(--(WEEKDAY(C$3:AG$3,2)=5),--ISNUMBER(MATCH(C50:AG50,{"SB1","SB2"},0)))</f>
        <v>0</v>
      </c>
      <c r="AV50" s="77">
        <f>SUMPRODUCT(--(WEEKDAY(C$3:AG$3,2)&gt;5),--ISNUMBER(MATCH(C50:AG50,{"SB1","SB2"},0)))</f>
        <v>1</v>
      </c>
      <c r="AW50" s="67"/>
      <c r="AX50" s="77">
        <f t="shared" si="103"/>
        <v>4.5</v>
      </c>
      <c r="AY50" s="77">
        <f t="shared" si="88"/>
        <v>2</v>
      </c>
      <c r="AZ50" s="77">
        <f t="shared" si="89"/>
        <v>0</v>
      </c>
      <c r="BA50" s="76">
        <f t="shared" si="90"/>
        <v>4.5</v>
      </c>
      <c r="BB50" s="76"/>
      <c r="BC50" s="77">
        <f t="shared" si="91"/>
        <v>0</v>
      </c>
      <c r="BD50" s="77">
        <f t="shared" si="92"/>
        <v>0</v>
      </c>
      <c r="BE50" s="77">
        <f t="shared" si="93"/>
        <v>0</v>
      </c>
      <c r="BF50" s="77">
        <f t="shared" si="94"/>
        <v>0</v>
      </c>
      <c r="BG50" s="77">
        <f t="shared" si="95"/>
        <v>0</v>
      </c>
      <c r="BH50" s="77">
        <f t="shared" si="96"/>
        <v>0</v>
      </c>
      <c r="BI50" s="77">
        <f t="shared" si="97"/>
        <v>0</v>
      </c>
      <c r="BJ50" s="77">
        <f t="shared" si="98"/>
        <v>0</v>
      </c>
      <c r="BK50" s="77">
        <f t="shared" si="99"/>
        <v>0</v>
      </c>
      <c r="BL50" s="77">
        <f t="shared" si="100"/>
        <v>0</v>
      </c>
      <c r="BM50" s="77">
        <f t="shared" si="101"/>
        <v>0</v>
      </c>
      <c r="BN50" s="77">
        <f t="shared" si="104"/>
        <v>0</v>
      </c>
      <c r="BO50" s="77">
        <f t="shared" si="105"/>
        <v>0</v>
      </c>
      <c r="BP50" s="77">
        <f>COUNTIF($D50:$Y50,BP$4)</f>
        <v>0</v>
      </c>
      <c r="BQ50" s="67"/>
    </row>
    <row r="51" ht="19.5" customHeight="1" spans="1:69">
      <c r="A51" s="67"/>
      <c r="B51" s="76" t="s">
        <v>821</v>
      </c>
      <c r="C51" s="60"/>
      <c r="D51" s="60"/>
      <c r="E51" s="54" t="s">
        <v>680</v>
      </c>
      <c r="F51" s="60" t="s">
        <v>892</v>
      </c>
      <c r="G51" s="60" t="s">
        <v>900</v>
      </c>
      <c r="H51" s="60"/>
      <c r="I51" s="60"/>
      <c r="J51" s="107" t="s">
        <v>578</v>
      </c>
      <c r="K51" s="60" t="s">
        <v>579</v>
      </c>
      <c r="L51" s="60" t="s">
        <v>900</v>
      </c>
      <c r="M51" s="60"/>
      <c r="N51" s="60" t="s">
        <v>56</v>
      </c>
      <c r="O51" s="60"/>
      <c r="P51" s="60"/>
      <c r="Q51" s="60"/>
      <c r="R51" s="60"/>
      <c r="S51" s="60" t="s">
        <v>56</v>
      </c>
      <c r="T51" s="60"/>
      <c r="U51" s="60" t="s">
        <v>901</v>
      </c>
      <c r="V51" s="107" t="s">
        <v>54</v>
      </c>
      <c r="W51" s="107" t="s">
        <v>54</v>
      </c>
      <c r="X51" s="107" t="s">
        <v>54</v>
      </c>
      <c r="Y51" s="107" t="s">
        <v>54</v>
      </c>
      <c r="Z51" s="107" t="s">
        <v>54</v>
      </c>
      <c r="AA51" s="107" t="s">
        <v>54</v>
      </c>
      <c r="AB51" s="107" t="s">
        <v>54</v>
      </c>
      <c r="AC51" s="107" t="s">
        <v>54</v>
      </c>
      <c r="AD51" s="107" t="s">
        <v>54</v>
      </c>
      <c r="AE51" s="60" t="s">
        <v>56</v>
      </c>
      <c r="AF51" s="60" t="s">
        <v>56</v>
      </c>
      <c r="AG51" s="60"/>
      <c r="AH51" s="67">
        <f t="shared" ref="AH51:AP51" si="108">COUNTIF($C51:$AF51,AH$4)</f>
        <v>0</v>
      </c>
      <c r="AI51" s="67">
        <f t="shared" si="108"/>
        <v>4</v>
      </c>
      <c r="AJ51" s="67">
        <f t="shared" si="108"/>
        <v>0</v>
      </c>
      <c r="AK51" s="67">
        <f t="shared" si="108"/>
        <v>0</v>
      </c>
      <c r="AL51" s="67">
        <f t="shared" si="108"/>
        <v>0</v>
      </c>
      <c r="AM51" s="67">
        <f t="shared" si="108"/>
        <v>0</v>
      </c>
      <c r="AN51" s="67">
        <f t="shared" si="108"/>
        <v>0</v>
      </c>
      <c r="AO51" s="67">
        <f t="shared" si="108"/>
        <v>0</v>
      </c>
      <c r="AP51" s="67">
        <f t="shared" si="108"/>
        <v>0</v>
      </c>
      <c r="AQ51" s="76">
        <v>0.5</v>
      </c>
      <c r="AR51" s="76"/>
      <c r="AS51" s="77">
        <f>SUMPRODUCT(--(WEEKDAY(C$3:AG$3,2)&lt;5),--ISNUMBER(MATCH(C51:AG51,{"SB1","SB2"},0)))</f>
        <v>0</v>
      </c>
      <c r="AT51" s="67"/>
      <c r="AU51" s="77">
        <f>SUMPRODUCT(--(WEEKDAY(C$3:AG$3,2)=5),--ISNUMBER(MATCH(C51:AG51,{"SB1","SB2"},0)))</f>
        <v>0</v>
      </c>
      <c r="AV51" s="77">
        <f>SUMPRODUCT(--(WEEKDAY(C$3:AG$3,2)&gt;5),--ISNUMBER(MATCH(C51:AG51,{"SB1","SB2"},0)))</f>
        <v>0</v>
      </c>
      <c r="AW51" s="67"/>
      <c r="AX51" s="77">
        <f t="shared" si="103"/>
        <v>2.5</v>
      </c>
      <c r="AY51" s="77">
        <f t="shared" si="88"/>
        <v>0</v>
      </c>
      <c r="AZ51" s="77">
        <f t="shared" si="89"/>
        <v>2</v>
      </c>
      <c r="BA51" s="76">
        <f t="shared" si="90"/>
        <v>4</v>
      </c>
      <c r="BB51" s="76"/>
      <c r="BC51" s="77">
        <f t="shared" si="91"/>
        <v>1.5</v>
      </c>
      <c r="BD51" s="77">
        <f t="shared" si="92"/>
        <v>0</v>
      </c>
      <c r="BE51" s="77">
        <f t="shared" si="93"/>
        <v>0</v>
      </c>
      <c r="BF51" s="77">
        <f t="shared" si="94"/>
        <v>1</v>
      </c>
      <c r="BG51" s="77">
        <f t="shared" si="95"/>
        <v>1</v>
      </c>
      <c r="BH51" s="77">
        <f t="shared" si="96"/>
        <v>1</v>
      </c>
      <c r="BI51" s="77">
        <f t="shared" si="97"/>
        <v>0.5</v>
      </c>
      <c r="BJ51" s="77">
        <f t="shared" si="98"/>
        <v>0</v>
      </c>
      <c r="BK51" s="77">
        <f t="shared" si="99"/>
        <v>0</v>
      </c>
      <c r="BL51" s="77">
        <f t="shared" si="100"/>
        <v>0</v>
      </c>
      <c r="BM51" s="77">
        <f t="shared" si="101"/>
        <v>0</v>
      </c>
      <c r="BN51" s="77">
        <f t="shared" si="104"/>
        <v>0</v>
      </c>
      <c r="BO51" s="77">
        <f t="shared" si="105"/>
        <v>0</v>
      </c>
      <c r="BP51" s="77">
        <f>COUNTIF($D51:$Y51,BP$4)</f>
        <v>0</v>
      </c>
      <c r="BQ51" s="67"/>
    </row>
    <row r="52" ht="19.5" customHeight="1" spans="1:69">
      <c r="A52" s="67"/>
      <c r="B52" s="67" t="s">
        <v>825</v>
      </c>
      <c r="C52" s="139" t="s">
        <v>831</v>
      </c>
      <c r="D52" s="139" t="s">
        <v>831</v>
      </c>
      <c r="E52" s="139" t="s">
        <v>831</v>
      </c>
      <c r="F52" s="139" t="s">
        <v>831</v>
      </c>
      <c r="G52" s="139" t="s">
        <v>831</v>
      </c>
      <c r="H52" s="139" t="s">
        <v>831</v>
      </c>
      <c r="I52" s="139" t="s">
        <v>831</v>
      </c>
      <c r="J52" s="139" t="s">
        <v>831</v>
      </c>
      <c r="K52" s="139" t="s">
        <v>831</v>
      </c>
      <c r="L52" s="139" t="s">
        <v>831</v>
      </c>
      <c r="M52" s="139" t="s">
        <v>831</v>
      </c>
      <c r="N52" s="139" t="s">
        <v>831</v>
      </c>
      <c r="O52" s="139" t="s">
        <v>831</v>
      </c>
      <c r="P52" s="139" t="s">
        <v>831</v>
      </c>
      <c r="Q52" s="139" t="s">
        <v>831</v>
      </c>
      <c r="R52" s="139" t="s">
        <v>831</v>
      </c>
      <c r="S52" s="139" t="s">
        <v>831</v>
      </c>
      <c r="T52" s="54"/>
      <c r="U52" s="110" t="s">
        <v>57</v>
      </c>
      <c r="V52" s="60" t="s">
        <v>902</v>
      </c>
      <c r="W52" s="60"/>
      <c r="X52" s="108" t="s">
        <v>65</v>
      </c>
      <c r="Y52" s="108" t="s">
        <v>65</v>
      </c>
      <c r="Z52" s="54" t="s">
        <v>57</v>
      </c>
      <c r="AA52" s="60" t="s">
        <v>350</v>
      </c>
      <c r="AB52" s="136" t="s">
        <v>65</v>
      </c>
      <c r="AC52" s="60"/>
      <c r="AD52" s="60"/>
      <c r="AE52" s="108"/>
      <c r="AF52" s="54" t="s">
        <v>65</v>
      </c>
      <c r="AG52" s="108"/>
      <c r="AH52" s="67">
        <f t="shared" ref="AH52:AP52" si="109">COUNTIF($C52:$AF52,AH$4)</f>
        <v>2</v>
      </c>
      <c r="AI52" s="67">
        <f t="shared" si="109"/>
        <v>0</v>
      </c>
      <c r="AJ52" s="67">
        <f t="shared" si="109"/>
        <v>0</v>
      </c>
      <c r="AK52" s="67">
        <f t="shared" si="109"/>
        <v>0</v>
      </c>
      <c r="AL52" s="67">
        <f t="shared" si="109"/>
        <v>0</v>
      </c>
      <c r="AM52" s="67">
        <f t="shared" si="109"/>
        <v>0</v>
      </c>
      <c r="AN52" s="67">
        <f t="shared" si="109"/>
        <v>4</v>
      </c>
      <c r="AO52" s="67">
        <f t="shared" si="109"/>
        <v>0</v>
      </c>
      <c r="AP52" s="67">
        <f t="shared" si="109"/>
        <v>0</v>
      </c>
      <c r="AQ52" s="76">
        <v>2.5</v>
      </c>
      <c r="AR52" s="76"/>
      <c r="AS52" s="77">
        <f>SUMPRODUCT(--(WEEKDAY(C$3:AG$3,2)&lt;5),--ISNUMBER(MATCH(C52:AG52,{"SB1","SB2"},0)))</f>
        <v>0</v>
      </c>
      <c r="AT52" s="67"/>
      <c r="AU52" s="77">
        <f>SUMPRODUCT(--(WEEKDAY(C$3:AG$3,2)=5),--ISNUMBER(MATCH(C52:AG52,{"SB1","SB2"},0)))</f>
        <v>0</v>
      </c>
      <c r="AV52" s="77">
        <f>SUMPRODUCT(--(WEEKDAY(C$3:AG$3,2)&gt;5),--ISNUMBER(MATCH(C52:AG52,{"SB1","SB2"},0)))</f>
        <v>0</v>
      </c>
      <c r="AW52" s="67"/>
      <c r="AX52" s="77">
        <f t="shared" si="103"/>
        <v>5.5</v>
      </c>
      <c r="AY52" s="77">
        <f t="shared" si="88"/>
        <v>0</v>
      </c>
      <c r="AZ52" s="77">
        <f t="shared" si="89"/>
        <v>0</v>
      </c>
      <c r="BA52" s="76">
        <f t="shared" si="90"/>
        <v>5.5</v>
      </c>
      <c r="BB52" s="76"/>
      <c r="BC52" s="77">
        <f t="shared" si="91"/>
        <v>0</v>
      </c>
      <c r="BD52" s="77">
        <f t="shared" si="92"/>
        <v>0</v>
      </c>
      <c r="BE52" s="77">
        <f t="shared" si="93"/>
        <v>0</v>
      </c>
      <c r="BF52" s="77">
        <f t="shared" si="94"/>
        <v>0</v>
      </c>
      <c r="BG52" s="77">
        <f t="shared" si="95"/>
        <v>0</v>
      </c>
      <c r="BH52" s="77">
        <f t="shared" si="96"/>
        <v>0</v>
      </c>
      <c r="BI52" s="77">
        <f t="shared" si="97"/>
        <v>0</v>
      </c>
      <c r="BJ52" s="77">
        <f t="shared" si="98"/>
        <v>0</v>
      </c>
      <c r="BK52" s="77">
        <f t="shared" si="99"/>
        <v>0</v>
      </c>
      <c r="BL52" s="77">
        <f t="shared" si="100"/>
        <v>0</v>
      </c>
      <c r="BM52" s="77">
        <f t="shared" si="101"/>
        <v>0</v>
      </c>
      <c r="BN52" s="77">
        <f t="shared" si="104"/>
        <v>0</v>
      </c>
      <c r="BO52" s="77">
        <f t="shared" si="105"/>
        <v>1</v>
      </c>
      <c r="BP52" s="77">
        <f>COUNTIF($D52:$Y52,BP$4)</f>
        <v>0</v>
      </c>
      <c r="BQ52" s="67"/>
    </row>
    <row r="53" ht="19.5" customHeight="1" spans="1:69">
      <c r="A53" s="107"/>
      <c r="B53" s="107" t="s">
        <v>832</v>
      </c>
      <c r="C53" s="54"/>
      <c r="D53" s="136" t="s">
        <v>57</v>
      </c>
      <c r="E53" s="54" t="s">
        <v>680</v>
      </c>
      <c r="F53" s="60" t="s">
        <v>892</v>
      </c>
      <c r="G53" s="107" t="s">
        <v>57</v>
      </c>
      <c r="H53" s="107"/>
      <c r="I53" s="107"/>
      <c r="J53" s="107"/>
      <c r="K53" s="136"/>
      <c r="L53" s="54" t="s">
        <v>65</v>
      </c>
      <c r="M53" s="107" t="s">
        <v>56</v>
      </c>
      <c r="N53" s="107"/>
      <c r="O53" s="107"/>
      <c r="P53" s="60"/>
      <c r="Q53" s="107"/>
      <c r="R53" s="54"/>
      <c r="S53" s="54"/>
      <c r="T53" s="54"/>
      <c r="U53" s="110" t="s">
        <v>65</v>
      </c>
      <c r="V53" s="107"/>
      <c r="W53" s="110"/>
      <c r="X53" s="107"/>
      <c r="Y53" s="54" t="s">
        <v>56</v>
      </c>
      <c r="Z53" s="54"/>
      <c r="AA53" s="107" t="s">
        <v>65</v>
      </c>
      <c r="AB53" s="107" t="s">
        <v>903</v>
      </c>
      <c r="AC53" s="60"/>
      <c r="AD53" s="107"/>
      <c r="AE53" s="107"/>
      <c r="AF53" s="54" t="s">
        <v>57</v>
      </c>
      <c r="AG53" s="54"/>
      <c r="AH53" s="67">
        <f t="shared" ref="AH53:AP53" si="110">COUNTIF($C53:$AF53,AH$4)</f>
        <v>3</v>
      </c>
      <c r="AI53" s="67">
        <f t="shared" si="110"/>
        <v>2</v>
      </c>
      <c r="AJ53" s="67">
        <f t="shared" si="110"/>
        <v>0</v>
      </c>
      <c r="AK53" s="67">
        <f t="shared" si="110"/>
        <v>0</v>
      </c>
      <c r="AL53" s="67">
        <f t="shared" si="110"/>
        <v>0</v>
      </c>
      <c r="AM53" s="67">
        <f t="shared" si="110"/>
        <v>0</v>
      </c>
      <c r="AN53" s="67">
        <f t="shared" si="110"/>
        <v>3</v>
      </c>
      <c r="AO53" s="67">
        <f t="shared" si="110"/>
        <v>0</v>
      </c>
      <c r="AP53" s="67">
        <f t="shared" si="110"/>
        <v>0</v>
      </c>
      <c r="AQ53" s="76"/>
      <c r="AR53" s="76"/>
      <c r="AS53" s="77">
        <f>SUMPRODUCT(--(WEEKDAY(C$3:AG$3,2)&lt;5),--ISNUMBER(MATCH(C53:AG53,{"SB1","SB2"},0)))</f>
        <v>0</v>
      </c>
      <c r="AT53" s="67"/>
      <c r="AU53" s="77">
        <f>SUMPRODUCT(--(WEEKDAY(C$3:AG$3,2)=5),--ISNUMBER(MATCH(C53:AG53,{"SB1","SB2"},0)))</f>
        <v>0</v>
      </c>
      <c r="AV53" s="77">
        <f>SUMPRODUCT(--(WEEKDAY(C$3:AG$3,2)&gt;5),--ISNUMBER(MATCH(C53:AG53,{"SB1","SB2"},0)))</f>
        <v>0</v>
      </c>
      <c r="AW53" s="67"/>
      <c r="AX53" s="77">
        <f t="shared" si="103"/>
        <v>4</v>
      </c>
      <c r="AY53" s="77">
        <f t="shared" si="88"/>
        <v>0</v>
      </c>
      <c r="AZ53" s="77">
        <f t="shared" si="89"/>
        <v>1</v>
      </c>
      <c r="BA53" s="76">
        <f t="shared" si="90"/>
        <v>5</v>
      </c>
      <c r="BB53" s="76"/>
      <c r="BC53" s="77">
        <f t="shared" si="91"/>
        <v>1</v>
      </c>
      <c r="BD53" s="77">
        <f t="shared" si="92"/>
        <v>0</v>
      </c>
      <c r="BE53" s="77">
        <f t="shared" si="93"/>
        <v>0</v>
      </c>
      <c r="BF53" s="77">
        <f t="shared" si="94"/>
        <v>1</v>
      </c>
      <c r="BG53" s="77">
        <f t="shared" si="95"/>
        <v>1</v>
      </c>
      <c r="BH53" s="77">
        <f t="shared" si="96"/>
        <v>0</v>
      </c>
      <c r="BI53" s="77">
        <f t="shared" si="97"/>
        <v>0</v>
      </c>
      <c r="BJ53" s="77">
        <f t="shared" si="98"/>
        <v>0</v>
      </c>
      <c r="BK53" s="77">
        <f t="shared" si="99"/>
        <v>0</v>
      </c>
      <c r="BL53" s="77">
        <f t="shared" si="100"/>
        <v>0</v>
      </c>
      <c r="BM53" s="77">
        <f t="shared" si="101"/>
        <v>0</v>
      </c>
      <c r="BN53" s="77">
        <f t="shared" si="104"/>
        <v>0</v>
      </c>
      <c r="BO53" s="77">
        <f t="shared" si="105"/>
        <v>0</v>
      </c>
      <c r="BP53" s="77">
        <f>COUNTIF($E53:$Y53,BP$4)</f>
        <v>0</v>
      </c>
      <c r="BQ53" s="107"/>
    </row>
    <row r="54" ht="19.5" customHeight="1" spans="1:69">
      <c r="A54" s="107"/>
      <c r="B54" s="107" t="s">
        <v>835</v>
      </c>
      <c r="C54" s="54"/>
      <c r="D54" s="54" t="s">
        <v>65</v>
      </c>
      <c r="E54" s="54"/>
      <c r="F54" s="60" t="s">
        <v>56</v>
      </c>
      <c r="G54" s="140" t="s">
        <v>867</v>
      </c>
      <c r="H54" s="54" t="s">
        <v>671</v>
      </c>
      <c r="I54" s="60"/>
      <c r="J54" s="60"/>
      <c r="K54" s="54" t="s">
        <v>58</v>
      </c>
      <c r="L54" s="54"/>
      <c r="M54" s="107"/>
      <c r="N54" s="107" t="s">
        <v>65</v>
      </c>
      <c r="O54" s="60"/>
      <c r="P54" s="107"/>
      <c r="Q54" s="107" t="s">
        <v>56</v>
      </c>
      <c r="R54" s="54" t="s">
        <v>57</v>
      </c>
      <c r="S54" s="54"/>
      <c r="T54" s="54"/>
      <c r="U54" s="54"/>
      <c r="V54" s="54"/>
      <c r="W54" s="54" t="s">
        <v>58</v>
      </c>
      <c r="X54" s="54"/>
      <c r="Y54" s="54"/>
      <c r="Z54" s="136"/>
      <c r="AA54" s="54"/>
      <c r="AB54" s="60" t="s">
        <v>57</v>
      </c>
      <c r="AC54" s="54"/>
      <c r="AD54" s="54"/>
      <c r="AF54" s="54"/>
      <c r="AG54" s="54"/>
      <c r="AH54" s="67">
        <f t="shared" ref="AH54:AP54" si="111">COUNTIF($C54:$AF54,AH$4)</f>
        <v>2</v>
      </c>
      <c r="AI54" s="67">
        <f t="shared" si="111"/>
        <v>2</v>
      </c>
      <c r="AJ54" s="67">
        <f t="shared" si="111"/>
        <v>0</v>
      </c>
      <c r="AK54" s="67">
        <f t="shared" si="111"/>
        <v>0</v>
      </c>
      <c r="AL54" s="67">
        <f t="shared" si="111"/>
        <v>2</v>
      </c>
      <c r="AM54" s="67">
        <f t="shared" si="111"/>
        <v>0</v>
      </c>
      <c r="AN54" s="67">
        <f t="shared" si="111"/>
        <v>2</v>
      </c>
      <c r="AO54" s="67">
        <f t="shared" si="111"/>
        <v>0</v>
      </c>
      <c r="AP54" s="67">
        <f t="shared" si="111"/>
        <v>0</v>
      </c>
      <c r="AQ54" s="76"/>
      <c r="AR54" s="76"/>
      <c r="AS54" s="77">
        <f>SUMPRODUCT(--(WEEKDAY(C$3:AG$3,2)&lt;5),--ISNUMBER(MATCH(C54:AG54,{"SB1","SB2"},0)))</f>
        <v>1</v>
      </c>
      <c r="AT54" s="67"/>
      <c r="AU54" s="77">
        <f>SUMPRODUCT(--(WEEKDAY(C$3:AG$3,2)=5),--ISNUMBER(MATCH(C54:AG54,{"SB1","SB2"},0)))</f>
        <v>0</v>
      </c>
      <c r="AV54" s="77">
        <f>SUMPRODUCT(--(WEEKDAY(C$3:AG$3,2)&gt;5),--ISNUMBER(MATCH(C54:AG54,{"SB1","SB2"},0)))</f>
        <v>1</v>
      </c>
      <c r="AW54" s="67"/>
      <c r="AX54" s="77">
        <f t="shared" si="103"/>
        <v>6</v>
      </c>
      <c r="AY54" s="77">
        <f t="shared" si="88"/>
        <v>2</v>
      </c>
      <c r="AZ54" s="77">
        <f t="shared" si="89"/>
        <v>1</v>
      </c>
      <c r="BA54" s="76">
        <f t="shared" si="90"/>
        <v>7</v>
      </c>
      <c r="BB54" s="76"/>
      <c r="BC54" s="77">
        <f t="shared" si="91"/>
        <v>1</v>
      </c>
      <c r="BD54" s="77">
        <f t="shared" si="92"/>
        <v>0</v>
      </c>
      <c r="BE54" s="77">
        <f t="shared" si="93"/>
        <v>0</v>
      </c>
      <c r="BF54" s="77">
        <f t="shared" si="94"/>
        <v>1</v>
      </c>
      <c r="BG54" s="77">
        <f t="shared" si="95"/>
        <v>1</v>
      </c>
      <c r="BH54" s="77">
        <f t="shared" si="96"/>
        <v>0</v>
      </c>
      <c r="BI54" s="77">
        <f t="shared" si="97"/>
        <v>0</v>
      </c>
      <c r="BJ54" s="77">
        <f t="shared" si="98"/>
        <v>0</v>
      </c>
      <c r="BK54" s="77">
        <f t="shared" si="99"/>
        <v>0</v>
      </c>
      <c r="BL54" s="77">
        <f t="shared" si="100"/>
        <v>0</v>
      </c>
      <c r="BM54" s="77">
        <f t="shared" si="101"/>
        <v>0</v>
      </c>
      <c r="BN54" s="77">
        <f t="shared" si="104"/>
        <v>0</v>
      </c>
      <c r="BO54" s="77">
        <f t="shared" si="105"/>
        <v>0</v>
      </c>
      <c r="BP54" s="77">
        <f>COUNTIF($D54:$Y54,BP$4)</f>
        <v>0</v>
      </c>
      <c r="BQ54" s="107"/>
    </row>
    <row r="55" ht="19.5" customHeight="1" spans="1:69">
      <c r="A55" s="107"/>
      <c r="B55" s="107" t="s">
        <v>836</v>
      </c>
      <c r="C55" s="54"/>
      <c r="D55" s="136" t="s">
        <v>56</v>
      </c>
      <c r="E55" s="54" t="s">
        <v>680</v>
      </c>
      <c r="F55" s="60" t="s">
        <v>892</v>
      </c>
      <c r="G55" s="107" t="s">
        <v>261</v>
      </c>
      <c r="H55" s="54"/>
      <c r="I55" s="107"/>
      <c r="J55" s="107"/>
      <c r="K55" s="54" t="s">
        <v>56</v>
      </c>
      <c r="L55" s="54"/>
      <c r="M55" s="107" t="s">
        <v>65</v>
      </c>
      <c r="N55" s="107"/>
      <c r="O55" s="107"/>
      <c r="P55" s="107"/>
      <c r="Q55" s="107"/>
      <c r="R55" s="60" t="s">
        <v>93</v>
      </c>
      <c r="S55" s="54"/>
      <c r="T55" s="54" t="s">
        <v>93</v>
      </c>
      <c r="U55" s="110"/>
      <c r="V55" s="110"/>
      <c r="W55" s="136"/>
      <c r="X55" s="107"/>
      <c r="Y55" s="107"/>
      <c r="Z55" s="107"/>
      <c r="AA55" s="107" t="s">
        <v>56</v>
      </c>
      <c r="AB55" s="107" t="s">
        <v>822</v>
      </c>
      <c r="AC55" s="107" t="s">
        <v>58</v>
      </c>
      <c r="AD55" s="107"/>
      <c r="AE55" s="107" t="s">
        <v>904</v>
      </c>
      <c r="AF55" s="107" t="s">
        <v>904</v>
      </c>
      <c r="AG55" s="60"/>
      <c r="AH55" s="67">
        <f t="shared" ref="AH55:AP55" si="112">COUNTIF($C55:$AF55,AH$4)</f>
        <v>0</v>
      </c>
      <c r="AI55" s="67">
        <f t="shared" si="112"/>
        <v>3</v>
      </c>
      <c r="AJ55" s="67">
        <f t="shared" si="112"/>
        <v>0</v>
      </c>
      <c r="AK55" s="67">
        <f t="shared" si="112"/>
        <v>0</v>
      </c>
      <c r="AL55" s="67">
        <f t="shared" si="112"/>
        <v>1</v>
      </c>
      <c r="AM55" s="67">
        <f t="shared" si="112"/>
        <v>2</v>
      </c>
      <c r="AN55" s="67">
        <f t="shared" si="112"/>
        <v>1</v>
      </c>
      <c r="AO55" s="67">
        <f t="shared" si="112"/>
        <v>0</v>
      </c>
      <c r="AP55" s="67">
        <f t="shared" si="112"/>
        <v>0</v>
      </c>
      <c r="AQ55" s="76"/>
      <c r="AR55" s="76"/>
      <c r="AS55" s="77">
        <f>SUMPRODUCT(--(WEEKDAY(C$3:AG$3,2)&lt;5),--ISNUMBER(MATCH(C55:AG55,{"SB1","SB2"},0)))</f>
        <v>2</v>
      </c>
      <c r="AT55" s="67"/>
      <c r="AU55" s="77">
        <f>SUMPRODUCT(--(WEEKDAY(C$3:AG$3,2)=5),--ISNUMBER(MATCH(C55:AG55,{"SB1","SB2"},0)))</f>
        <v>0</v>
      </c>
      <c r="AV55" s="77">
        <f>SUMPRODUCT(--(WEEKDAY(C$3:AG$3,2)&gt;5),--ISNUMBER(MATCH(C55:AG55,{"SB1","SB2"},0)))</f>
        <v>1</v>
      </c>
      <c r="AW55" s="67"/>
      <c r="AX55" s="77">
        <f t="shared" si="103"/>
        <v>6</v>
      </c>
      <c r="AY55" s="77">
        <f t="shared" si="88"/>
        <v>3</v>
      </c>
      <c r="AZ55" s="77">
        <f t="shared" si="89"/>
        <v>1</v>
      </c>
      <c r="BA55" s="76">
        <f t="shared" si="90"/>
        <v>7</v>
      </c>
      <c r="BB55" s="76"/>
      <c r="BC55" s="77">
        <f t="shared" si="91"/>
        <v>1</v>
      </c>
      <c r="BD55" s="77">
        <f t="shared" si="92"/>
        <v>0</v>
      </c>
      <c r="BE55" s="77">
        <f t="shared" si="93"/>
        <v>0</v>
      </c>
      <c r="BF55" s="77">
        <f t="shared" si="94"/>
        <v>1</v>
      </c>
      <c r="BG55" s="77">
        <f t="shared" si="95"/>
        <v>1</v>
      </c>
      <c r="BH55" s="77">
        <f t="shared" si="96"/>
        <v>0</v>
      </c>
      <c r="BI55" s="77">
        <f t="shared" si="97"/>
        <v>0</v>
      </c>
      <c r="BJ55" s="77">
        <f t="shared" si="98"/>
        <v>0</v>
      </c>
      <c r="BK55" s="77">
        <f t="shared" si="99"/>
        <v>0</v>
      </c>
      <c r="BL55" s="77">
        <f t="shared" si="100"/>
        <v>0</v>
      </c>
      <c r="BM55" s="77">
        <f t="shared" si="101"/>
        <v>0</v>
      </c>
      <c r="BN55" s="77">
        <f t="shared" si="104"/>
        <v>0</v>
      </c>
      <c r="BO55" s="77">
        <f t="shared" si="105"/>
        <v>0</v>
      </c>
      <c r="BP55" s="77">
        <f>COUNTIF($E55:$Y55,BP$4)</f>
        <v>0</v>
      </c>
      <c r="BQ55" s="107"/>
    </row>
    <row r="56" ht="19.5" customHeight="1" spans="1:69">
      <c r="A56" s="107"/>
      <c r="B56" s="107" t="s">
        <v>838</v>
      </c>
      <c r="C56" s="54"/>
      <c r="D56" s="54"/>
      <c r="E56" s="54" t="s">
        <v>57</v>
      </c>
      <c r="F56" s="106"/>
      <c r="G56" s="140" t="s">
        <v>867</v>
      </c>
      <c r="H56" s="54" t="s">
        <v>671</v>
      </c>
      <c r="I56" s="60"/>
      <c r="J56" s="107" t="s">
        <v>58</v>
      </c>
      <c r="K56" s="54" t="s">
        <v>350</v>
      </c>
      <c r="L56" s="136"/>
      <c r="M56" s="107" t="s">
        <v>770</v>
      </c>
      <c r="N56" s="107" t="s">
        <v>57</v>
      </c>
      <c r="O56" s="107"/>
      <c r="P56" s="107"/>
      <c r="Q56" s="60"/>
      <c r="R56" s="54"/>
      <c r="S56" s="54"/>
      <c r="T56" s="53" t="s">
        <v>905</v>
      </c>
      <c r="U56" s="53" t="s">
        <v>54</v>
      </c>
      <c r="V56" s="53" t="s">
        <v>54</v>
      </c>
      <c r="W56" s="53" t="s">
        <v>54</v>
      </c>
      <c r="X56" s="53" t="s">
        <v>54</v>
      </c>
      <c r="Y56" s="53" t="s">
        <v>54</v>
      </c>
      <c r="Z56" s="53" t="s">
        <v>54</v>
      </c>
      <c r="AA56" s="53" t="s">
        <v>906</v>
      </c>
      <c r="AB56" s="136" t="s">
        <v>906</v>
      </c>
      <c r="AC56" s="107"/>
      <c r="AD56" s="107"/>
      <c r="AE56" s="60" t="s">
        <v>907</v>
      </c>
      <c r="AF56" s="54" t="s">
        <v>908</v>
      </c>
      <c r="AG56" s="53"/>
      <c r="AH56" s="67">
        <f t="shared" ref="AH56:AP56" si="113">COUNTIF($C56:$AF56,AH$4)</f>
        <v>2</v>
      </c>
      <c r="AI56" s="67">
        <f t="shared" si="113"/>
        <v>0</v>
      </c>
      <c r="AJ56" s="67">
        <f t="shared" si="113"/>
        <v>0</v>
      </c>
      <c r="AK56" s="67">
        <f t="shared" si="113"/>
        <v>0</v>
      </c>
      <c r="AL56" s="67">
        <f t="shared" si="113"/>
        <v>1</v>
      </c>
      <c r="AM56" s="67">
        <f t="shared" si="113"/>
        <v>0</v>
      </c>
      <c r="AN56" s="67">
        <f t="shared" si="113"/>
        <v>0</v>
      </c>
      <c r="AO56" s="67">
        <f t="shared" si="113"/>
        <v>0</v>
      </c>
      <c r="AP56" s="67">
        <f t="shared" si="113"/>
        <v>0</v>
      </c>
      <c r="AQ56" s="76"/>
      <c r="AR56" s="76"/>
      <c r="AS56" s="77">
        <f>SUMPRODUCT(--(WEEKDAY(C$3:AG$3,2)&lt;5),--ISNUMBER(MATCH(C56:AG56,{"SB1","SB2"},0)))</f>
        <v>1</v>
      </c>
      <c r="AT56" s="67"/>
      <c r="AU56" s="77">
        <f>SUMPRODUCT(--(WEEKDAY(C$3:AG$3,2)=5),--ISNUMBER(MATCH(C56:AG56,{"SB1","SB2"},0)))</f>
        <v>0</v>
      </c>
      <c r="AV56" s="77">
        <f>SUMPRODUCT(--(WEEKDAY(C$3:AG$3,2)&gt;5),--ISNUMBER(MATCH(C56:AG56,{"SB1","SB2"},0)))</f>
        <v>0</v>
      </c>
      <c r="AW56" s="67"/>
      <c r="AX56" s="77">
        <f t="shared" si="103"/>
        <v>2</v>
      </c>
      <c r="AY56" s="77">
        <f t="shared" si="88"/>
        <v>1</v>
      </c>
      <c r="AZ56" s="77">
        <f t="shared" si="89"/>
        <v>2</v>
      </c>
      <c r="BA56" s="76">
        <f t="shared" si="90"/>
        <v>3.5</v>
      </c>
      <c r="BB56" s="76"/>
      <c r="BC56" s="77">
        <f t="shared" si="91"/>
        <v>1.5</v>
      </c>
      <c r="BD56" s="77">
        <f t="shared" si="92"/>
        <v>0</v>
      </c>
      <c r="BE56" s="77">
        <f t="shared" si="93"/>
        <v>0</v>
      </c>
      <c r="BF56" s="77">
        <f t="shared" si="94"/>
        <v>1</v>
      </c>
      <c r="BG56" s="77">
        <f t="shared" si="95"/>
        <v>1</v>
      </c>
      <c r="BH56" s="77">
        <f t="shared" si="96"/>
        <v>1</v>
      </c>
      <c r="BI56" s="77">
        <f t="shared" si="97"/>
        <v>0.5</v>
      </c>
      <c r="BJ56" s="77">
        <f t="shared" si="98"/>
        <v>0</v>
      </c>
      <c r="BK56" s="77">
        <f t="shared" si="99"/>
        <v>0</v>
      </c>
      <c r="BL56" s="77">
        <f t="shared" si="100"/>
        <v>0</v>
      </c>
      <c r="BM56" s="77">
        <f t="shared" si="101"/>
        <v>0</v>
      </c>
      <c r="BN56" s="77">
        <f t="shared" si="104"/>
        <v>0</v>
      </c>
      <c r="BO56" s="77">
        <f t="shared" si="105"/>
        <v>1</v>
      </c>
      <c r="BP56" s="77">
        <f>COUNTIF($D56:$Y56,BP$4)</f>
        <v>0</v>
      </c>
      <c r="BQ56" s="107"/>
    </row>
    <row r="57" ht="19.5" customHeight="1" spans="1:69">
      <c r="A57" s="107"/>
      <c r="B57" s="107" t="s">
        <v>840</v>
      </c>
      <c r="C57" s="54"/>
      <c r="D57" s="54" t="s">
        <v>507</v>
      </c>
      <c r="E57" s="54" t="s">
        <v>54</v>
      </c>
      <c r="F57" s="54" t="s">
        <v>54</v>
      </c>
      <c r="G57" s="54" t="s">
        <v>54</v>
      </c>
      <c r="H57" s="107"/>
      <c r="I57" s="107" t="s">
        <v>58</v>
      </c>
      <c r="J57" s="107"/>
      <c r="K57" s="54" t="s">
        <v>57</v>
      </c>
      <c r="L57" s="54" t="s">
        <v>57</v>
      </c>
      <c r="M57" s="107"/>
      <c r="N57" s="107"/>
      <c r="O57" s="107"/>
      <c r="P57" s="107"/>
      <c r="Q57" s="107"/>
      <c r="R57" s="54"/>
      <c r="S57" s="54" t="s">
        <v>57</v>
      </c>
      <c r="T57" s="60" t="s">
        <v>909</v>
      </c>
      <c r="U57" s="110"/>
      <c r="V57" s="107"/>
      <c r="W57" s="110"/>
      <c r="X57" s="107"/>
      <c r="Y57" s="60" t="s">
        <v>350</v>
      </c>
      <c r="Z57" s="54"/>
      <c r="AA57" s="107" t="s">
        <v>57</v>
      </c>
      <c r="AB57" s="107"/>
      <c r="AC57" s="107"/>
      <c r="AD57" s="107"/>
      <c r="AE57" s="60"/>
      <c r="AF57" s="54" t="s">
        <v>910</v>
      </c>
      <c r="AG57" s="54"/>
      <c r="AH57" s="67">
        <f t="shared" ref="AH57:AP57" si="114">COUNTIF($C57:$AF57,AH$4)</f>
        <v>4</v>
      </c>
      <c r="AI57" s="67">
        <f t="shared" si="114"/>
        <v>0</v>
      </c>
      <c r="AJ57" s="67">
        <f t="shared" si="114"/>
        <v>0</v>
      </c>
      <c r="AK57" s="67">
        <f t="shared" si="114"/>
        <v>0</v>
      </c>
      <c r="AL57" s="67">
        <f t="shared" si="114"/>
        <v>1</v>
      </c>
      <c r="AM57" s="67">
        <f t="shared" si="114"/>
        <v>0</v>
      </c>
      <c r="AN57" s="67">
        <f t="shared" si="114"/>
        <v>0</v>
      </c>
      <c r="AO57" s="67">
        <f t="shared" si="114"/>
        <v>0</v>
      </c>
      <c r="AP57" s="67">
        <f t="shared" si="114"/>
        <v>0</v>
      </c>
      <c r="AQ57" s="76"/>
      <c r="AR57" s="76"/>
      <c r="AS57" s="77">
        <f>SUMPRODUCT(--(WEEKDAY(C$3:AG$3,2)&lt;5),--ISNUMBER(MATCH(C57:AG57,{"SB1","SB2"},0)))</f>
        <v>0</v>
      </c>
      <c r="AT57" s="67"/>
      <c r="AU57" s="77">
        <f>SUMPRODUCT(--(WEEKDAY(C$3:AG$3,2)=5),--ISNUMBER(MATCH(C57:AG57,{"SB1","SB2"},0)))</f>
        <v>0</v>
      </c>
      <c r="AV57" s="77">
        <f>SUMPRODUCT(--(WEEKDAY(C$3:AG$3,2)&gt;5),--ISNUMBER(MATCH(C57:AG57,{"SB1","SB2"},0)))</f>
        <v>1</v>
      </c>
      <c r="AW57" s="67"/>
      <c r="AX57" s="77">
        <f t="shared" si="103"/>
        <v>4</v>
      </c>
      <c r="AY57" s="77">
        <f t="shared" si="88"/>
        <v>1</v>
      </c>
      <c r="AZ57" s="77">
        <f t="shared" si="89"/>
        <v>1</v>
      </c>
      <c r="BA57" s="76">
        <f t="shared" si="90"/>
        <v>4.5</v>
      </c>
      <c r="BB57" s="76"/>
      <c r="BC57" s="77">
        <f t="shared" si="91"/>
        <v>0.5</v>
      </c>
      <c r="BD57" s="77">
        <f t="shared" si="92"/>
        <v>0</v>
      </c>
      <c r="BE57" s="77">
        <f t="shared" si="93"/>
        <v>0</v>
      </c>
      <c r="BF57" s="77">
        <f t="shared" si="94"/>
        <v>0</v>
      </c>
      <c r="BG57" s="77">
        <f t="shared" si="95"/>
        <v>0</v>
      </c>
      <c r="BH57" s="77">
        <f t="shared" si="96"/>
        <v>0</v>
      </c>
      <c r="BI57" s="77">
        <f t="shared" si="97"/>
        <v>0</v>
      </c>
      <c r="BJ57" s="77">
        <f t="shared" si="98"/>
        <v>1</v>
      </c>
      <c r="BK57" s="77">
        <f t="shared" si="99"/>
        <v>0.5</v>
      </c>
      <c r="BL57" s="77">
        <f t="shared" si="100"/>
        <v>0</v>
      </c>
      <c r="BM57" s="77">
        <f t="shared" si="101"/>
        <v>0</v>
      </c>
      <c r="BN57" s="77">
        <f t="shared" si="104"/>
        <v>0</v>
      </c>
      <c r="BO57" s="77">
        <f t="shared" si="105"/>
        <v>1</v>
      </c>
      <c r="BP57" s="77">
        <f>COUNTIF($D57:$X57,BP$4)</f>
        <v>0</v>
      </c>
      <c r="BQ57" s="107"/>
    </row>
    <row r="58" ht="19.5" customHeight="1" spans="1:69">
      <c r="A58" s="107"/>
      <c r="B58" s="107" t="s">
        <v>844</v>
      </c>
      <c r="C58" s="54"/>
      <c r="D58" s="54"/>
      <c r="E58" s="54"/>
      <c r="F58" s="107" t="s">
        <v>65</v>
      </c>
      <c r="G58" s="140" t="s">
        <v>867</v>
      </c>
      <c r="H58" s="54" t="s">
        <v>671</v>
      </c>
      <c r="I58" s="107"/>
      <c r="J58" s="107" t="s">
        <v>56</v>
      </c>
      <c r="K58" s="54"/>
      <c r="L58" s="60"/>
      <c r="M58" s="136"/>
      <c r="N58" s="107"/>
      <c r="O58" s="107"/>
      <c r="P58" s="53"/>
      <c r="Q58" s="107" t="s">
        <v>58</v>
      </c>
      <c r="R58" s="54"/>
      <c r="S58" s="53"/>
      <c r="T58" s="54" t="s">
        <v>350</v>
      </c>
      <c r="U58" s="136"/>
      <c r="V58" s="60"/>
      <c r="W58" s="110"/>
      <c r="X58" s="107"/>
      <c r="Y58" s="54" t="s">
        <v>58</v>
      </c>
      <c r="Z58" s="54"/>
      <c r="AA58" s="107"/>
      <c r="AB58" s="107" t="s">
        <v>56</v>
      </c>
      <c r="AC58" s="107"/>
      <c r="AD58" s="107" t="s">
        <v>93</v>
      </c>
      <c r="AE58" s="107" t="s">
        <v>57</v>
      </c>
      <c r="AF58" s="107"/>
      <c r="AG58" s="107"/>
      <c r="AH58" s="67">
        <f t="shared" ref="AH58:AP58" si="115">COUNTIF($C58:$AF58,AH$4)</f>
        <v>1</v>
      </c>
      <c r="AI58" s="67">
        <f t="shared" si="115"/>
        <v>2</v>
      </c>
      <c r="AJ58" s="67">
        <f t="shared" si="115"/>
        <v>0</v>
      </c>
      <c r="AK58" s="67">
        <f t="shared" si="115"/>
        <v>0</v>
      </c>
      <c r="AL58" s="67">
        <f t="shared" si="115"/>
        <v>2</v>
      </c>
      <c r="AM58" s="67">
        <f t="shared" si="115"/>
        <v>1</v>
      </c>
      <c r="AN58" s="67">
        <f t="shared" si="115"/>
        <v>1</v>
      </c>
      <c r="AO58" s="67">
        <f t="shared" si="115"/>
        <v>0</v>
      </c>
      <c r="AP58" s="67">
        <f t="shared" si="115"/>
        <v>0</v>
      </c>
      <c r="AQ58" s="76"/>
      <c r="AR58" s="76"/>
      <c r="AS58" s="77">
        <f>SUMPRODUCT(--(WEEKDAY(C$3:AG$3,2)&lt;5),--ISNUMBER(MATCH(C58:AG58,{"SB1","SB2"},0)))</f>
        <v>2</v>
      </c>
      <c r="AT58" s="67"/>
      <c r="AU58" s="77">
        <f>SUMPRODUCT(--(WEEKDAY(C$3:AG$3,2)=5),--ISNUMBER(MATCH(C58:AG58,{"SB1","SB2"},0)))</f>
        <v>0</v>
      </c>
      <c r="AV58" s="77">
        <f>SUMPRODUCT(--(WEEKDAY(C$3:AG$3,2)&gt;5),--ISNUMBER(MATCH(C58:AG58,{"SB1","SB2"},0)))</f>
        <v>1</v>
      </c>
      <c r="AW58" s="67"/>
      <c r="AX58" s="77">
        <f t="shared" si="103"/>
        <v>6</v>
      </c>
      <c r="AY58" s="77">
        <f t="shared" si="88"/>
        <v>3</v>
      </c>
      <c r="AZ58" s="77">
        <f t="shared" si="89"/>
        <v>1</v>
      </c>
      <c r="BA58" s="76">
        <f t="shared" si="90"/>
        <v>7</v>
      </c>
      <c r="BB58" s="76"/>
      <c r="BC58" s="77">
        <f t="shared" si="91"/>
        <v>1</v>
      </c>
      <c r="BD58" s="77">
        <f t="shared" si="92"/>
        <v>0</v>
      </c>
      <c r="BE58" s="77">
        <f t="shared" si="93"/>
        <v>0</v>
      </c>
      <c r="BF58" s="77">
        <f t="shared" si="94"/>
        <v>1</v>
      </c>
      <c r="BG58" s="77">
        <f t="shared" si="95"/>
        <v>1</v>
      </c>
      <c r="BH58" s="77">
        <f t="shared" si="96"/>
        <v>0</v>
      </c>
      <c r="BI58" s="77">
        <f t="shared" si="97"/>
        <v>0</v>
      </c>
      <c r="BJ58" s="77">
        <f t="shared" si="98"/>
        <v>0</v>
      </c>
      <c r="BK58" s="77">
        <f t="shared" si="99"/>
        <v>0</v>
      </c>
      <c r="BL58" s="77">
        <f t="shared" si="100"/>
        <v>0</v>
      </c>
      <c r="BM58" s="77">
        <f t="shared" si="101"/>
        <v>0</v>
      </c>
      <c r="BN58" s="77">
        <f t="shared" si="104"/>
        <v>0</v>
      </c>
      <c r="BO58" s="77">
        <f t="shared" si="105"/>
        <v>1</v>
      </c>
      <c r="BP58" s="77">
        <f>COUNTIF($D58:$Y58,BP$4)</f>
        <v>0</v>
      </c>
      <c r="BQ58" s="107"/>
    </row>
    <row r="59" ht="19.5" customHeight="1" spans="1:69">
      <c r="A59" s="107"/>
      <c r="B59" s="107" t="s">
        <v>848</v>
      </c>
      <c r="C59" s="54"/>
      <c r="D59" s="53" t="s">
        <v>896</v>
      </c>
      <c r="E59" s="54" t="s">
        <v>56</v>
      </c>
      <c r="F59" s="107"/>
      <c r="G59" s="140" t="s">
        <v>867</v>
      </c>
      <c r="H59" s="54" t="s">
        <v>671</v>
      </c>
      <c r="I59" s="107"/>
      <c r="J59" s="107"/>
      <c r="K59" s="54"/>
      <c r="L59" s="54"/>
      <c r="M59" s="107" t="s">
        <v>57</v>
      </c>
      <c r="N59" s="107"/>
      <c r="O59" s="107"/>
      <c r="P59" s="107"/>
      <c r="Q59" s="107" t="s">
        <v>65</v>
      </c>
      <c r="R59" s="54"/>
      <c r="S59" s="60"/>
      <c r="T59" s="54"/>
      <c r="U59" s="136"/>
      <c r="V59" s="107"/>
      <c r="W59" s="107"/>
      <c r="X59" s="107" t="s">
        <v>57</v>
      </c>
      <c r="Y59" s="60" t="s">
        <v>911</v>
      </c>
      <c r="Z59" s="54"/>
      <c r="AA59" s="110" t="s">
        <v>93</v>
      </c>
      <c r="AB59" s="107"/>
      <c r="AC59" s="107"/>
      <c r="AD59" s="107"/>
      <c r="AE59" s="107" t="s">
        <v>912</v>
      </c>
      <c r="AF59" s="54" t="s">
        <v>913</v>
      </c>
      <c r="AG59" s="54"/>
      <c r="AH59" s="67">
        <f t="shared" ref="AH59:AP59" si="116">COUNTIF($C59:$AF59,AH$4)</f>
        <v>2</v>
      </c>
      <c r="AI59" s="67">
        <f t="shared" si="116"/>
        <v>1</v>
      </c>
      <c r="AJ59" s="67">
        <f t="shared" si="116"/>
        <v>0</v>
      </c>
      <c r="AK59" s="67">
        <f t="shared" si="116"/>
        <v>0</v>
      </c>
      <c r="AL59" s="67">
        <f t="shared" si="116"/>
        <v>0</v>
      </c>
      <c r="AM59" s="67">
        <f t="shared" si="116"/>
        <v>1</v>
      </c>
      <c r="AN59" s="67">
        <f t="shared" si="116"/>
        <v>1</v>
      </c>
      <c r="AO59" s="67">
        <f t="shared" si="116"/>
        <v>0</v>
      </c>
      <c r="AP59" s="67">
        <f t="shared" si="116"/>
        <v>0</v>
      </c>
      <c r="AQ59" s="76"/>
      <c r="AR59" s="76">
        <v>1.5</v>
      </c>
      <c r="AS59" s="77">
        <f>SUMPRODUCT(--(WEEKDAY(C$3:AG$3,2)&lt;5),--ISNUMBER(MATCH(C59:AG59,{"SB1","SB2"},0)))</f>
        <v>1</v>
      </c>
      <c r="AT59" s="67"/>
      <c r="AU59" s="77">
        <f>SUMPRODUCT(--(WEEKDAY(C$3:AG$3,2)=5),--ISNUMBER(MATCH(C59:AG59,{"SB1","SB2"},0)))</f>
        <v>0</v>
      </c>
      <c r="AV59" s="77">
        <f>SUMPRODUCT(--(WEEKDAY(C$3:AG$3,2)&gt;5),--ISNUMBER(MATCH(C59:AG59,{"SB1","SB2"},0)))</f>
        <v>0</v>
      </c>
      <c r="AW59" s="67"/>
      <c r="AX59" s="77">
        <f t="shared" si="103"/>
        <v>1.5</v>
      </c>
      <c r="AY59" s="77">
        <f t="shared" si="88"/>
        <v>1</v>
      </c>
      <c r="AZ59" s="77">
        <f t="shared" si="89"/>
        <v>2</v>
      </c>
      <c r="BA59" s="76">
        <f t="shared" si="90"/>
        <v>3</v>
      </c>
      <c r="BB59" s="76"/>
      <c r="BC59" s="77">
        <f t="shared" si="91"/>
        <v>1.5</v>
      </c>
      <c r="BD59" s="77">
        <f t="shared" si="92"/>
        <v>0</v>
      </c>
      <c r="BE59" s="77">
        <f t="shared" si="93"/>
        <v>0</v>
      </c>
      <c r="BF59" s="77">
        <f t="shared" si="94"/>
        <v>1</v>
      </c>
      <c r="BG59" s="77">
        <f t="shared" si="95"/>
        <v>1</v>
      </c>
      <c r="BH59" s="77">
        <f t="shared" si="96"/>
        <v>0</v>
      </c>
      <c r="BI59" s="77">
        <f t="shared" si="97"/>
        <v>0</v>
      </c>
      <c r="BJ59" s="77">
        <f t="shared" si="98"/>
        <v>1</v>
      </c>
      <c r="BK59" s="77">
        <f t="shared" si="99"/>
        <v>0.5</v>
      </c>
      <c r="BL59" s="77">
        <f t="shared" si="100"/>
        <v>0</v>
      </c>
      <c r="BM59" s="77">
        <f t="shared" si="101"/>
        <v>0</v>
      </c>
      <c r="BN59" s="77">
        <f t="shared" si="104"/>
        <v>0</v>
      </c>
      <c r="BO59" s="77">
        <f t="shared" si="105"/>
        <v>0</v>
      </c>
      <c r="BP59" s="77">
        <f>COUNTIF($D59:$Y59,BP$4)</f>
        <v>0</v>
      </c>
      <c r="BQ59" s="107"/>
    </row>
    <row r="60" ht="19.5" customHeight="1" spans="1:69">
      <c r="A60" s="107"/>
      <c r="B60" s="107" t="s">
        <v>914</v>
      </c>
      <c r="C60" s="54"/>
      <c r="D60" s="53" t="s">
        <v>896</v>
      </c>
      <c r="E60" s="54" t="s">
        <v>65</v>
      </c>
      <c r="F60" s="106"/>
      <c r="G60" s="140" t="s">
        <v>867</v>
      </c>
      <c r="H60" s="54" t="s">
        <v>671</v>
      </c>
      <c r="I60" s="107"/>
      <c r="J60" s="107"/>
      <c r="K60" s="60"/>
      <c r="L60" s="54"/>
      <c r="M60" s="60" t="s">
        <v>93</v>
      </c>
      <c r="N60" s="107"/>
      <c r="O60" s="60"/>
      <c r="P60" s="107"/>
      <c r="Q60" s="107"/>
      <c r="R60" s="54"/>
      <c r="S60" s="54" t="s">
        <v>65</v>
      </c>
      <c r="T60" s="60"/>
      <c r="U60" s="60" t="s">
        <v>56</v>
      </c>
      <c r="V60" s="107"/>
      <c r="W60" s="110"/>
      <c r="X60" s="107"/>
      <c r="Y60" s="54" t="s">
        <v>915</v>
      </c>
      <c r="Z60" s="54" t="s">
        <v>54</v>
      </c>
      <c r="AA60" s="54" t="s">
        <v>54</v>
      </c>
      <c r="AB60" s="54" t="s">
        <v>54</v>
      </c>
      <c r="AC60" s="54" t="s">
        <v>54</v>
      </c>
      <c r="AD60" s="54" t="s">
        <v>54</v>
      </c>
      <c r="AE60" s="107" t="s">
        <v>916</v>
      </c>
      <c r="AF60" s="136" t="s">
        <v>913</v>
      </c>
      <c r="AG60" s="54"/>
      <c r="AH60" s="67">
        <f t="shared" ref="AH60:AP60" si="117">COUNTIF($C60:$AF60,AH$4)</f>
        <v>0</v>
      </c>
      <c r="AI60" s="67">
        <f t="shared" si="117"/>
        <v>1</v>
      </c>
      <c r="AJ60" s="67">
        <f t="shared" si="117"/>
        <v>0</v>
      </c>
      <c r="AK60" s="67">
        <f t="shared" si="117"/>
        <v>0</v>
      </c>
      <c r="AL60" s="67">
        <f t="shared" si="117"/>
        <v>0</v>
      </c>
      <c r="AM60" s="67">
        <f t="shared" si="117"/>
        <v>1</v>
      </c>
      <c r="AN60" s="67">
        <f t="shared" si="117"/>
        <v>2</v>
      </c>
      <c r="AO60" s="67">
        <f t="shared" si="117"/>
        <v>0</v>
      </c>
      <c r="AP60" s="67">
        <f t="shared" si="117"/>
        <v>0</v>
      </c>
      <c r="AQ60" s="76"/>
      <c r="AR60" s="76">
        <v>1</v>
      </c>
      <c r="AS60" s="77">
        <f>SUMPRODUCT(--(WEEKDAY(C$3:AG$3,2)&lt;5),--ISNUMBER(MATCH(C60:AG60,{"SB1","SB2"},0)))</f>
        <v>1</v>
      </c>
      <c r="AT60" s="67"/>
      <c r="AU60" s="77">
        <f>SUMPRODUCT(--(WEEKDAY(C$3:AG$3,2)=5),--ISNUMBER(MATCH(C60:AG60,{"SB1","SB2"},0)))</f>
        <v>0</v>
      </c>
      <c r="AV60" s="77">
        <f>SUMPRODUCT(--(WEEKDAY(C$3:AG$3,2)&gt;5),--ISNUMBER(MATCH(C60:AG60,{"SB1","SB2"},0)))</f>
        <v>0</v>
      </c>
      <c r="AW60" s="67"/>
      <c r="AX60" s="77">
        <f t="shared" si="103"/>
        <v>1.5</v>
      </c>
      <c r="AY60" s="77">
        <f t="shared" si="88"/>
        <v>1</v>
      </c>
      <c r="AZ60" s="77">
        <f t="shared" si="89"/>
        <v>1</v>
      </c>
      <c r="BA60" s="76">
        <f t="shared" si="90"/>
        <v>2.5</v>
      </c>
      <c r="BB60" s="76"/>
      <c r="BC60" s="77">
        <f t="shared" si="91"/>
        <v>1</v>
      </c>
      <c r="BD60" s="77">
        <f t="shared" si="92"/>
        <v>0</v>
      </c>
      <c r="BE60" s="77">
        <f t="shared" si="93"/>
        <v>0</v>
      </c>
      <c r="BF60" s="77">
        <f t="shared" si="94"/>
        <v>1</v>
      </c>
      <c r="BG60" s="77">
        <f t="shared" si="95"/>
        <v>1</v>
      </c>
      <c r="BH60" s="77">
        <f t="shared" si="96"/>
        <v>0</v>
      </c>
      <c r="BI60" s="77">
        <f t="shared" si="97"/>
        <v>0</v>
      </c>
      <c r="BJ60" s="77">
        <f t="shared" si="98"/>
        <v>0</v>
      </c>
      <c r="BK60" s="77">
        <f t="shared" si="99"/>
        <v>0</v>
      </c>
      <c r="BL60" s="77">
        <f t="shared" si="100"/>
        <v>0</v>
      </c>
      <c r="BM60" s="77">
        <f t="shared" si="101"/>
        <v>0</v>
      </c>
      <c r="BN60" s="77">
        <f t="shared" si="104"/>
        <v>0</v>
      </c>
      <c r="BO60" s="77">
        <f t="shared" si="105"/>
        <v>0</v>
      </c>
      <c r="BP60" s="77">
        <f>COUNTIF($D60:$Y60,BP$4)</f>
        <v>0</v>
      </c>
      <c r="BQ60" s="107"/>
    </row>
    <row r="61" ht="19.5" customHeight="1" spans="1:69">
      <c r="A61" s="107"/>
      <c r="B61" s="107" t="s">
        <v>917</v>
      </c>
      <c r="C61" s="54"/>
      <c r="D61" s="53" t="s">
        <v>896</v>
      </c>
      <c r="E61" s="54" t="s">
        <v>58</v>
      </c>
      <c r="F61" s="53" t="s">
        <v>57</v>
      </c>
      <c r="G61" s="140" t="s">
        <v>867</v>
      </c>
      <c r="H61" s="54" t="s">
        <v>671</v>
      </c>
      <c r="I61" s="107"/>
      <c r="J61" s="107" t="s">
        <v>57</v>
      </c>
      <c r="K61" s="54"/>
      <c r="L61" s="54" t="s">
        <v>350</v>
      </c>
      <c r="M61" s="53"/>
      <c r="N61" s="107"/>
      <c r="O61" s="60"/>
      <c r="P61" s="107" t="s">
        <v>58</v>
      </c>
      <c r="Q61" s="60" t="s">
        <v>918</v>
      </c>
      <c r="R61" s="54" t="s">
        <v>65</v>
      </c>
      <c r="S61" s="54"/>
      <c r="T61" s="54"/>
      <c r="U61" s="110"/>
      <c r="V61" s="53"/>
      <c r="W61" s="110"/>
      <c r="X61" s="107"/>
      <c r="Y61" s="54" t="s">
        <v>57</v>
      </c>
      <c r="Z61" s="54" t="s">
        <v>58</v>
      </c>
      <c r="AA61" s="107"/>
      <c r="AB61" s="107" t="s">
        <v>919</v>
      </c>
      <c r="AC61" s="107"/>
      <c r="AD61" s="107"/>
      <c r="AE61" s="107" t="s">
        <v>920</v>
      </c>
      <c r="AF61" s="54" t="s">
        <v>913</v>
      </c>
      <c r="AG61" s="54"/>
      <c r="AH61" s="67">
        <f t="shared" ref="AH61:AP61" si="118">COUNTIF($C61:$AF61,AH$4)</f>
        <v>3</v>
      </c>
      <c r="AI61" s="67">
        <f t="shared" si="118"/>
        <v>0</v>
      </c>
      <c r="AJ61" s="67">
        <f t="shared" si="118"/>
        <v>0</v>
      </c>
      <c r="AK61" s="67">
        <f t="shared" si="118"/>
        <v>0</v>
      </c>
      <c r="AL61" s="67">
        <f t="shared" si="118"/>
        <v>3</v>
      </c>
      <c r="AM61" s="67">
        <f t="shared" si="118"/>
        <v>0</v>
      </c>
      <c r="AN61" s="67">
        <f t="shared" si="118"/>
        <v>1</v>
      </c>
      <c r="AO61" s="67">
        <f t="shared" si="118"/>
        <v>0</v>
      </c>
      <c r="AP61" s="67">
        <f t="shared" si="118"/>
        <v>0</v>
      </c>
      <c r="AQ61" s="76"/>
      <c r="AR61" s="76">
        <v>1.5</v>
      </c>
      <c r="AS61" s="77">
        <f>SUMPRODUCT(--(WEEKDAY(C$3:AG$3,2)&lt;5),--ISNUMBER(MATCH(C61:AG61,{"SB1","SB2"},0)))</f>
        <v>2</v>
      </c>
      <c r="AT61" s="67"/>
      <c r="AU61" s="77">
        <f>SUMPRODUCT(--(WEEKDAY(C$3:AG$3,2)=5),--ISNUMBER(MATCH(C61:AG61,{"SB1","SB2"},0)))</f>
        <v>0</v>
      </c>
      <c r="AV61" s="77">
        <f>SUMPRODUCT(--(WEEKDAY(C$3:AG$3,2)&gt;5),--ISNUMBER(MATCH(C61:AG61,{"SB1","SB2"},0)))</f>
        <v>1</v>
      </c>
      <c r="AW61" s="67"/>
      <c r="AX61" s="77">
        <f t="shared" si="103"/>
        <v>4.5</v>
      </c>
      <c r="AY61" s="77">
        <f t="shared" si="88"/>
        <v>3</v>
      </c>
      <c r="AZ61" s="77">
        <f t="shared" si="89"/>
        <v>2</v>
      </c>
      <c r="BA61" s="76">
        <f t="shared" si="90"/>
        <v>6</v>
      </c>
      <c r="BB61" s="76"/>
      <c r="BC61" s="77">
        <f t="shared" si="91"/>
        <v>1.5</v>
      </c>
      <c r="BD61" s="77">
        <f t="shared" si="92"/>
        <v>0</v>
      </c>
      <c r="BE61" s="77">
        <f t="shared" si="93"/>
        <v>0</v>
      </c>
      <c r="BF61" s="77">
        <f t="shared" si="94"/>
        <v>1</v>
      </c>
      <c r="BG61" s="77">
        <f t="shared" si="95"/>
        <v>1</v>
      </c>
      <c r="BH61" s="77">
        <f t="shared" si="96"/>
        <v>1</v>
      </c>
      <c r="BI61" s="77">
        <f t="shared" si="97"/>
        <v>0.5</v>
      </c>
      <c r="BJ61" s="77">
        <f t="shared" si="98"/>
        <v>0</v>
      </c>
      <c r="BK61" s="77">
        <f t="shared" si="99"/>
        <v>0</v>
      </c>
      <c r="BL61" s="77">
        <f t="shared" si="100"/>
        <v>0</v>
      </c>
      <c r="BM61" s="77">
        <f t="shared" si="101"/>
        <v>0</v>
      </c>
      <c r="BN61" s="77">
        <f t="shared" si="104"/>
        <v>0</v>
      </c>
      <c r="BO61" s="77">
        <f t="shared" si="105"/>
        <v>1</v>
      </c>
      <c r="BP61" s="77">
        <f>COUNTIF($D61:$Y61,BP$4)</f>
        <v>0</v>
      </c>
      <c r="BQ61" s="107"/>
    </row>
    <row r="62" ht="19.5" customHeight="1" spans="1:69">
      <c r="A62" s="107"/>
      <c r="B62" s="107" t="s">
        <v>921</v>
      </c>
      <c r="C62" s="54"/>
      <c r="D62" s="136" t="s">
        <v>58</v>
      </c>
      <c r="E62" s="54" t="s">
        <v>680</v>
      </c>
      <c r="F62" s="60" t="s">
        <v>892</v>
      </c>
      <c r="G62" s="107" t="s">
        <v>58</v>
      </c>
      <c r="H62" s="107"/>
      <c r="I62" s="107"/>
      <c r="J62" s="107" t="s">
        <v>578</v>
      </c>
      <c r="K62" s="107"/>
      <c r="L62" s="107" t="s">
        <v>56</v>
      </c>
      <c r="M62" s="136"/>
      <c r="N62" s="107"/>
      <c r="O62" s="107"/>
      <c r="P62" s="107"/>
      <c r="Q62" s="107"/>
      <c r="R62" s="54"/>
      <c r="S62" s="54"/>
      <c r="T62" s="54"/>
      <c r="U62" s="54"/>
      <c r="V62" s="54"/>
      <c r="W62" s="54"/>
      <c r="X62" s="54" t="s">
        <v>56</v>
      </c>
      <c r="Y62" s="54" t="s">
        <v>253</v>
      </c>
      <c r="Z62" s="54" t="s">
        <v>65</v>
      </c>
      <c r="AA62" s="60" t="s">
        <v>922</v>
      </c>
      <c r="AB62" s="107" t="s">
        <v>58</v>
      </c>
      <c r="AC62" s="107"/>
      <c r="AD62" s="107"/>
      <c r="AE62" s="107" t="s">
        <v>923</v>
      </c>
      <c r="AF62" s="54"/>
      <c r="AG62" s="54"/>
      <c r="AH62" s="67">
        <f t="shared" ref="AH62:AP62" si="119">COUNTIF($C62:$AF62,AH$4)</f>
        <v>0</v>
      </c>
      <c r="AI62" s="67">
        <f t="shared" si="119"/>
        <v>2</v>
      </c>
      <c r="AJ62" s="67">
        <f t="shared" si="119"/>
        <v>0</v>
      </c>
      <c r="AK62" s="67">
        <f t="shared" si="119"/>
        <v>0</v>
      </c>
      <c r="AL62" s="67">
        <f t="shared" si="119"/>
        <v>3</v>
      </c>
      <c r="AM62" s="67">
        <f t="shared" si="119"/>
        <v>0</v>
      </c>
      <c r="AN62" s="67">
        <f t="shared" si="119"/>
        <v>1</v>
      </c>
      <c r="AO62" s="67">
        <f t="shared" si="119"/>
        <v>0</v>
      </c>
      <c r="AP62" s="67">
        <f t="shared" si="119"/>
        <v>0</v>
      </c>
      <c r="AQ62" s="76">
        <v>0.5</v>
      </c>
      <c r="AR62" s="76"/>
      <c r="AS62" s="77">
        <f>SUMPRODUCT(--(WEEKDAY(C$3:AG$3,2)&lt;5),--ISNUMBER(MATCH(C62:AG62,{"SB1","SB2"},0)))</f>
        <v>1</v>
      </c>
      <c r="AT62" s="67"/>
      <c r="AU62" s="77">
        <f>SUMPRODUCT(--(WEEKDAY(C$3:AG$3,2)=5),--ISNUMBER(MATCH(C62:AG62,{"SB1","SB2"},0)))</f>
        <v>2</v>
      </c>
      <c r="AV62" s="77">
        <f>SUMPRODUCT(--(WEEKDAY(C$3:AG$3,2)&gt;5),--ISNUMBER(MATCH(C62:AG62,{"SB1","SB2"},0)))</f>
        <v>0</v>
      </c>
      <c r="AW62" s="67"/>
      <c r="AX62" s="77">
        <f t="shared" si="103"/>
        <v>6</v>
      </c>
      <c r="AY62" s="77">
        <f t="shared" si="88"/>
        <v>3</v>
      </c>
      <c r="AZ62" s="77">
        <f t="shared" si="89"/>
        <v>2</v>
      </c>
      <c r="BA62" s="76">
        <f t="shared" si="90"/>
        <v>7.5</v>
      </c>
      <c r="BB62" s="76"/>
      <c r="BC62" s="77">
        <f t="shared" si="91"/>
        <v>1.5</v>
      </c>
      <c r="BD62" s="77">
        <f t="shared" si="92"/>
        <v>0</v>
      </c>
      <c r="BE62" s="77">
        <f t="shared" si="93"/>
        <v>0</v>
      </c>
      <c r="BF62" s="77">
        <f t="shared" si="94"/>
        <v>1</v>
      </c>
      <c r="BG62" s="77">
        <f t="shared" si="95"/>
        <v>1</v>
      </c>
      <c r="BH62" s="77">
        <f t="shared" si="96"/>
        <v>0</v>
      </c>
      <c r="BI62" s="77">
        <f t="shared" si="97"/>
        <v>0</v>
      </c>
      <c r="BJ62" s="77">
        <f t="shared" si="98"/>
        <v>1</v>
      </c>
      <c r="BK62" s="77">
        <f t="shared" si="99"/>
        <v>0.5</v>
      </c>
      <c r="BL62" s="77">
        <f t="shared" si="100"/>
        <v>0</v>
      </c>
      <c r="BM62" s="77">
        <f t="shared" si="101"/>
        <v>0</v>
      </c>
      <c r="BN62" s="77">
        <f t="shared" si="104"/>
        <v>0</v>
      </c>
      <c r="BO62" s="77">
        <f t="shared" si="105"/>
        <v>0</v>
      </c>
      <c r="BP62" s="77">
        <f>COUNTIF($E62:$Y62,BP$4)</f>
        <v>0</v>
      </c>
      <c r="BQ62" s="107"/>
    </row>
    <row r="63" ht="19.5" customHeight="1" spans="1:69">
      <c r="A63" s="107"/>
      <c r="B63" s="107" t="s">
        <v>857</v>
      </c>
      <c r="C63" s="54" t="s">
        <v>54</v>
      </c>
      <c r="D63" s="54" t="s">
        <v>54</v>
      </c>
      <c r="E63" s="54" t="s">
        <v>54</v>
      </c>
      <c r="F63" s="54" t="s">
        <v>54</v>
      </c>
      <c r="G63" s="54" t="s">
        <v>54</v>
      </c>
      <c r="H63" s="107"/>
      <c r="I63" s="107"/>
      <c r="J63" s="107" t="s">
        <v>578</v>
      </c>
      <c r="K63" s="54" t="s">
        <v>65</v>
      </c>
      <c r="L63" s="60" t="s">
        <v>924</v>
      </c>
      <c r="M63" s="107"/>
      <c r="N63" s="107" t="s">
        <v>350</v>
      </c>
      <c r="O63" s="60"/>
      <c r="P63" s="107"/>
      <c r="Q63" s="107"/>
      <c r="R63" s="54"/>
      <c r="S63" s="54" t="s">
        <v>58</v>
      </c>
      <c r="T63" s="60" t="s">
        <v>65</v>
      </c>
      <c r="U63" s="110" t="s">
        <v>58</v>
      </c>
      <c r="V63" s="107"/>
      <c r="W63" s="110"/>
      <c r="X63" s="107" t="s">
        <v>58</v>
      </c>
      <c r="Y63" s="54"/>
      <c r="Z63" s="54"/>
      <c r="AA63" s="136"/>
      <c r="AB63" s="60" t="s">
        <v>923</v>
      </c>
      <c r="AC63" s="54"/>
      <c r="AD63" s="54"/>
      <c r="AE63" s="54" t="s">
        <v>58</v>
      </c>
      <c r="AF63" s="54"/>
      <c r="AG63" s="54"/>
      <c r="AH63" s="67">
        <f t="shared" ref="AH63:AP63" si="120">COUNTIF($C63:$AF63,AH$4)</f>
        <v>0</v>
      </c>
      <c r="AI63" s="67">
        <f t="shared" si="120"/>
        <v>0</v>
      </c>
      <c r="AJ63" s="67">
        <f t="shared" si="120"/>
        <v>0</v>
      </c>
      <c r="AK63" s="67">
        <f t="shared" si="120"/>
        <v>0</v>
      </c>
      <c r="AL63" s="67">
        <f t="shared" si="120"/>
        <v>4</v>
      </c>
      <c r="AM63" s="67">
        <f t="shared" si="120"/>
        <v>0</v>
      </c>
      <c r="AN63" s="67">
        <f t="shared" si="120"/>
        <v>2</v>
      </c>
      <c r="AO63" s="67">
        <f t="shared" si="120"/>
        <v>0</v>
      </c>
      <c r="AP63" s="67">
        <f t="shared" si="120"/>
        <v>0</v>
      </c>
      <c r="AQ63" s="76"/>
      <c r="AR63" s="76"/>
      <c r="AS63" s="77">
        <f>SUMPRODUCT(--(WEEKDAY(C$3:AG$3,2)&lt;5),--ISNUMBER(MATCH(C63:AG63,{"SB1","SB2"},0)))</f>
        <v>3</v>
      </c>
      <c r="AT63" s="67"/>
      <c r="AU63" s="77">
        <f>SUMPRODUCT(--(WEEKDAY(C$3:AG$3,2)=5),--ISNUMBER(MATCH(C63:AG63,{"SB1","SB2"},0)))</f>
        <v>1</v>
      </c>
      <c r="AV63" s="77">
        <f>SUMPRODUCT(--(WEEKDAY(C$3:AG$3,2)&gt;5),--ISNUMBER(MATCH(C63:AG63,{"SB1","SB2"},0)))</f>
        <v>0</v>
      </c>
      <c r="AW63" s="67"/>
      <c r="AX63" s="77">
        <f t="shared" si="103"/>
        <v>5.5</v>
      </c>
      <c r="AY63" s="77">
        <f t="shared" si="88"/>
        <v>4</v>
      </c>
      <c r="AZ63" s="77">
        <f t="shared" si="89"/>
        <v>1</v>
      </c>
      <c r="BA63" s="76">
        <f t="shared" si="90"/>
        <v>6.5</v>
      </c>
      <c r="BB63" s="76"/>
      <c r="BC63" s="77">
        <f t="shared" si="91"/>
        <v>1</v>
      </c>
      <c r="BD63" s="77">
        <f t="shared" si="92"/>
        <v>0</v>
      </c>
      <c r="BE63" s="77">
        <f t="shared" si="93"/>
        <v>0</v>
      </c>
      <c r="BF63" s="77">
        <f t="shared" si="94"/>
        <v>1</v>
      </c>
      <c r="BG63" s="77">
        <f t="shared" si="95"/>
        <v>1</v>
      </c>
      <c r="BH63" s="77">
        <f t="shared" si="96"/>
        <v>0</v>
      </c>
      <c r="BI63" s="77">
        <f t="shared" si="97"/>
        <v>0</v>
      </c>
      <c r="BJ63" s="77">
        <f t="shared" si="98"/>
        <v>0</v>
      </c>
      <c r="BK63" s="77">
        <f t="shared" si="99"/>
        <v>0</v>
      </c>
      <c r="BL63" s="77">
        <f t="shared" si="100"/>
        <v>0</v>
      </c>
      <c r="BM63" s="77">
        <f t="shared" si="101"/>
        <v>0</v>
      </c>
      <c r="BN63" s="77">
        <f t="shared" si="104"/>
        <v>0</v>
      </c>
      <c r="BO63" s="77">
        <f t="shared" si="105"/>
        <v>1</v>
      </c>
      <c r="BP63" s="77">
        <f>COUNTIF($D63:$Y63,BP$4)</f>
        <v>0</v>
      </c>
      <c r="BQ63" s="107"/>
    </row>
    <row r="64" ht="19.5" customHeight="1" spans="1:69">
      <c r="A64" s="67"/>
      <c r="B64" s="115" t="s">
        <v>667</v>
      </c>
      <c r="C64" s="119"/>
      <c r="D64" s="120"/>
      <c r="E64" s="120"/>
      <c r="F64" s="120"/>
      <c r="G64" s="120"/>
      <c r="H64" s="120"/>
      <c r="I64" s="120"/>
      <c r="J64" s="120"/>
      <c r="K64" s="120"/>
      <c r="L64" s="120"/>
      <c r="M64" s="60"/>
      <c r="N64" s="120"/>
      <c r="O64" s="120"/>
      <c r="P64" s="120"/>
      <c r="Q64" s="60"/>
      <c r="R64" s="60"/>
      <c r="S64" s="120"/>
      <c r="T64" s="60"/>
      <c r="U64" s="121" t="s">
        <v>700</v>
      </c>
      <c r="V64" s="122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77"/>
      <c r="AT64" s="67"/>
      <c r="AU64" s="67"/>
      <c r="AV64" s="77"/>
      <c r="AW64" s="67"/>
      <c r="AX64" s="6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67"/>
      <c r="BO64" s="67"/>
      <c r="BP64" s="67"/>
      <c r="BQ64" s="67"/>
    </row>
    <row r="65" ht="19.5" customHeight="1" spans="1:69">
      <c r="A65" s="67"/>
      <c r="B65" s="115" t="s">
        <v>668</v>
      </c>
      <c r="C65" s="119"/>
      <c r="D65" s="120"/>
      <c r="E65" s="120"/>
      <c r="F65" s="120"/>
      <c r="G65" s="120"/>
      <c r="H65" s="120"/>
      <c r="I65" s="120"/>
      <c r="J65" s="120"/>
      <c r="K65" s="120"/>
      <c r="L65" s="120"/>
      <c r="M65" s="60"/>
      <c r="N65" s="120"/>
      <c r="O65" s="120"/>
      <c r="P65" s="120"/>
      <c r="Q65" s="60"/>
      <c r="R65" s="60"/>
      <c r="S65" s="120"/>
      <c r="T65" s="60"/>
      <c r="U65" s="121"/>
      <c r="V65" s="122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77"/>
      <c r="AT65" s="67"/>
      <c r="AU65" s="67"/>
      <c r="AV65" s="77"/>
      <c r="AW65" s="67"/>
      <c r="AX65" s="6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67"/>
      <c r="BO65" s="67"/>
      <c r="BP65" s="67"/>
      <c r="BQ65" s="67"/>
    </row>
    <row r="66" ht="19.5" customHeight="1" spans="1:69">
      <c r="A66" s="67"/>
      <c r="B66" s="105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>
        <f>SUMPRODUCT(--WEEKDAY(C$3:AF$3,2)&gt;5,--((C66:AF66="DM"))+(C66:AF66="CS1")+((C66:AF66="CS2"))+(C66:AF66="SB1")+(C66:AF66="AE")+(C66:AF66="EM"))</f>
        <v>0</v>
      </c>
      <c r="AW66" s="105"/>
      <c r="AX66" s="105">
        <f>(AS66-AT66)/2+(AV66-AW66)</f>
        <v>0</v>
      </c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5"/>
      <c r="BK66" s="105"/>
      <c r="BL66" s="105"/>
      <c r="BM66" s="105"/>
      <c r="BN66" s="105"/>
      <c r="BO66" s="105"/>
      <c r="BP66" s="105"/>
      <c r="BQ66" s="105"/>
    </row>
    <row r="67" ht="19.5" customHeight="1" spans="1:69">
      <c r="A67" s="67"/>
      <c r="B67" s="124" t="s">
        <v>57</v>
      </c>
      <c r="C67" s="125" t="e">
        <f t="shared" ref="C67:AG67" si="121">INDEX($B$48:$B$63,MATCH($B67,C$48:C$63,0))</f>
        <v>#N/A</v>
      </c>
      <c r="D67" s="125" t="str">
        <f t="shared" si="121"/>
        <v>CFC MUHAMMAD AMSYAR SUFI BIN SUNARDI</v>
      </c>
      <c r="E67" s="125" t="str">
        <f t="shared" si="121"/>
        <v>CFC KOH KAI JIE, ETHAN</v>
      </c>
      <c r="F67" s="125" t="str">
        <f t="shared" si="121"/>
        <v>CPL LAN ZHI XIANG</v>
      </c>
      <c r="G67" s="125" t="str">
        <f t="shared" si="121"/>
        <v>CFC MUHAMMAD AMSYAR SUFI BIN SUNARDI</v>
      </c>
      <c r="H67" s="125" t="e">
        <f t="shared" si="121"/>
        <v>#N/A</v>
      </c>
      <c r="I67" s="125" t="e">
        <f t="shared" si="121"/>
        <v>#N/A</v>
      </c>
      <c r="J67" s="125" t="str">
        <f t="shared" si="121"/>
        <v>CPL LAN ZHI XIANG</v>
      </c>
      <c r="K67" s="125" t="str">
        <f t="shared" si="121"/>
        <v>LCP LIM CHU FENG</v>
      </c>
      <c r="L67" s="125" t="str">
        <f t="shared" si="121"/>
        <v>LCP LIM CHU FENG</v>
      </c>
      <c r="M67" s="125" t="str">
        <f t="shared" si="121"/>
        <v>3SG HO JI XUAN ISAAC</v>
      </c>
      <c r="N67" s="125" t="str">
        <f t="shared" si="121"/>
        <v>CFC KOH KAI JIE, ETHAN</v>
      </c>
      <c r="O67" s="125" t="e">
        <f t="shared" si="121"/>
        <v>#N/A</v>
      </c>
      <c r="P67" s="125" t="e">
        <f t="shared" si="121"/>
        <v>#N/A</v>
      </c>
      <c r="Q67" s="125" t="str">
        <f t="shared" si="121"/>
        <v>LCP GOH SONG YEE, ETHAN</v>
      </c>
      <c r="R67" s="125" t="str">
        <f t="shared" si="121"/>
        <v>CFC BRENDON TOH YI CHEN</v>
      </c>
      <c r="S67" s="125" t="str">
        <f t="shared" si="121"/>
        <v>LCP LIM CHU FENG</v>
      </c>
      <c r="T67" s="125" t="str">
        <f t="shared" si="121"/>
        <v>LCP KOH KAH SENG</v>
      </c>
      <c r="U67" s="125" t="str">
        <f t="shared" si="121"/>
        <v>3SG THOTA DEV ADITYA</v>
      </c>
      <c r="V67" s="125" t="e">
        <f t="shared" si="121"/>
        <v>#N/A</v>
      </c>
      <c r="W67" s="125" t="e">
        <f t="shared" si="121"/>
        <v>#N/A</v>
      </c>
      <c r="X67" s="125" t="str">
        <f t="shared" si="121"/>
        <v>3SG HO JI XUAN ISAAC</v>
      </c>
      <c r="Y67" s="125" t="str">
        <f t="shared" si="121"/>
        <v>CPL LAN ZHI XIANG</v>
      </c>
      <c r="Z67" s="125" t="str">
        <f t="shared" si="121"/>
        <v>3SG THOTA DEV ADITYA</v>
      </c>
      <c r="AA67" s="125" t="str">
        <f t="shared" si="121"/>
        <v>LCP LIM CHU FENG</v>
      </c>
      <c r="AB67" s="125" t="str">
        <f t="shared" si="121"/>
        <v>CFC BRENDON TOH YI CHEN</v>
      </c>
      <c r="AC67" s="125" t="e">
        <f t="shared" si="121"/>
        <v>#N/A</v>
      </c>
      <c r="AD67" s="125" t="e">
        <f t="shared" si="121"/>
        <v>#N/A</v>
      </c>
      <c r="AE67" s="125" t="str">
        <f t="shared" si="121"/>
        <v>CPL TAN TZE JUE JULIAN</v>
      </c>
      <c r="AF67" s="125" t="str">
        <f t="shared" si="121"/>
        <v>CFC MUHAMMAD AMSYAR SUFI BIN SUNARDI</v>
      </c>
      <c r="AG67" s="125" t="e">
        <f t="shared" si="121"/>
        <v>#N/A</v>
      </c>
      <c r="AH67" s="67"/>
      <c r="AI67" s="67"/>
      <c r="AJ67" s="67"/>
      <c r="AK67" s="6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Q67" s="77"/>
    </row>
    <row r="68" ht="19.5" customHeight="1" spans="1:69">
      <c r="A68" s="67"/>
      <c r="B68" s="126" t="s">
        <v>56</v>
      </c>
      <c r="C68" s="125" t="e">
        <f t="shared" ref="C68:AG68" si="122">INDEX($B$48:$B$63,MATCH($B68,C$48:C$63,0))</f>
        <v>#N/A</v>
      </c>
      <c r="D68" s="125" t="str">
        <f t="shared" si="122"/>
        <v>CFC AINSLEY YAP SHENG JIE</v>
      </c>
      <c r="E68" s="125" t="str">
        <f t="shared" si="122"/>
        <v>3SG HO JI XUAN ISAAC</v>
      </c>
      <c r="F68" s="125" t="str">
        <f t="shared" si="122"/>
        <v>CFC BRENDON TOH YI CHEN</v>
      </c>
      <c r="G68" s="125" t="str">
        <f t="shared" si="122"/>
        <v>LCP GOH SONG YEE, ETHAN</v>
      </c>
      <c r="H68" s="125" t="e">
        <f t="shared" si="122"/>
        <v>#N/A</v>
      </c>
      <c r="I68" s="125" t="e">
        <f t="shared" si="122"/>
        <v>#N/A</v>
      </c>
      <c r="J68" s="125" t="str">
        <f t="shared" si="122"/>
        <v>CPL TAN TZE JUE JULIAN</v>
      </c>
      <c r="K68" s="125" t="str">
        <f t="shared" si="122"/>
        <v>CFC AINSLEY YAP SHENG JIE</v>
      </c>
      <c r="L68" s="125" t="str">
        <f t="shared" si="122"/>
        <v>LCP DAANYAAL ABDUL AZEEZ JANJUA</v>
      </c>
      <c r="M68" s="125" t="str">
        <f t="shared" si="122"/>
        <v>CFC MUHAMMAD AMSYAR SUFI BIN SUNARDI</v>
      </c>
      <c r="N68" s="125" t="str">
        <f t="shared" si="122"/>
        <v>PTE MATTHEW WILLIAM TAN</v>
      </c>
      <c r="O68" s="125" t="e">
        <f t="shared" si="122"/>
        <v>#N/A</v>
      </c>
      <c r="P68" s="125" t="e">
        <f t="shared" si="122"/>
        <v>#N/A</v>
      </c>
      <c r="Q68" s="125" t="str">
        <f t="shared" si="122"/>
        <v>CFC BRENDON TOH YI CHEN</v>
      </c>
      <c r="R68" s="125" t="str">
        <f t="shared" si="122"/>
        <v>PTE LUTH HARITH AFIF BIN NORFIFI</v>
      </c>
      <c r="S68" s="125" t="str">
        <f t="shared" si="122"/>
        <v>PTE MATTHEW WILLIAM TAN</v>
      </c>
      <c r="T68" s="125" t="str">
        <f t="shared" si="122"/>
        <v>LCP GOH SONG YEE, ETHAN</v>
      </c>
      <c r="U68" s="125" t="str">
        <f t="shared" si="122"/>
        <v>CPL JOVAN CHUA RUI CHENG</v>
      </c>
      <c r="V68" s="125" t="e">
        <f t="shared" si="122"/>
        <v>#N/A</v>
      </c>
      <c r="W68" s="125" t="e">
        <f t="shared" si="122"/>
        <v>#N/A</v>
      </c>
      <c r="X68" s="125" t="str">
        <f t="shared" si="122"/>
        <v>LCP DAANYAAL ABDUL AZEEZ JANJUA</v>
      </c>
      <c r="Y68" s="125" t="str">
        <f t="shared" si="122"/>
        <v>CFC MUHAMMAD AMSYAR SUFI BIN SUNARDI</v>
      </c>
      <c r="Z68" s="125" t="str">
        <f t="shared" si="122"/>
        <v>LCP GOH SONG YEE, ETHAN</v>
      </c>
      <c r="AA68" s="125" t="str">
        <f t="shared" si="122"/>
        <v>CFC AINSLEY YAP SHENG JIE</v>
      </c>
      <c r="AB68" s="125" t="str">
        <f t="shared" si="122"/>
        <v>CPL TAN TZE JUE JULIAN</v>
      </c>
      <c r="AC68" s="125" t="e">
        <f t="shared" si="122"/>
        <v>#N/A</v>
      </c>
      <c r="AD68" s="125" t="e">
        <f t="shared" si="122"/>
        <v>#N/A</v>
      </c>
      <c r="AE68" s="125" t="str">
        <f t="shared" si="122"/>
        <v>PTE MATTHEW WILLIAM TAN</v>
      </c>
      <c r="AF68" s="125" t="str">
        <f t="shared" si="122"/>
        <v>PTE MATTHEW WILLIAM TAN</v>
      </c>
      <c r="AG68" s="125" t="e">
        <f t="shared" si="122"/>
        <v>#N/A</v>
      </c>
      <c r="AH68" s="67"/>
      <c r="AI68" s="67"/>
      <c r="AJ68" s="67"/>
      <c r="AK68" s="6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Q68" s="77"/>
    </row>
    <row r="69" ht="19.5" customHeight="1" spans="1:69">
      <c r="A69" s="67"/>
      <c r="B69" s="127" t="s">
        <v>58</v>
      </c>
      <c r="C69" s="125" t="str">
        <f t="shared" ref="C69:AG69" si="123">INDEX($B$48:$B$63,MATCH($B69,C$48:C$63,0))</f>
        <v>LCP GOH SONG YEE, ETHAN</v>
      </c>
      <c r="D69" s="125" t="str">
        <f t="shared" si="123"/>
        <v>LCP DAANYAAL ABDUL AZEEZ JANJUA</v>
      </c>
      <c r="E69" s="125" t="str">
        <f t="shared" si="123"/>
        <v>CPL LAN ZHI XIANG</v>
      </c>
      <c r="F69" s="125" t="str">
        <f t="shared" si="123"/>
        <v>PTE LUTH HARITH AFIF BIN NORFIFI</v>
      </c>
      <c r="G69" s="125" t="str">
        <f t="shared" si="123"/>
        <v>LCP DAANYAAL ABDUL AZEEZ JANJUA</v>
      </c>
      <c r="H69" s="125" t="e">
        <f t="shared" si="123"/>
        <v>#N/A</v>
      </c>
      <c r="I69" s="125" t="str">
        <f t="shared" si="123"/>
        <v>LCP LIM CHU FENG</v>
      </c>
      <c r="J69" s="125" t="str">
        <f t="shared" si="123"/>
        <v>CFC KOH KAI JIE, ETHAN</v>
      </c>
      <c r="K69" s="125" t="str">
        <f t="shared" si="123"/>
        <v>CFC BRENDON TOH YI CHEN</v>
      </c>
      <c r="L69" s="125" t="str">
        <f t="shared" si="123"/>
        <v>LCP GOH SONG YEE, ETHAN</v>
      </c>
      <c r="M69" s="125" t="e">
        <f t="shared" si="123"/>
        <v>#N/A</v>
      </c>
      <c r="N69" s="125" t="str">
        <f t="shared" si="123"/>
        <v>LCP KOH KAH SENG</v>
      </c>
      <c r="O69" s="125" t="str">
        <f t="shared" si="123"/>
        <v>LCP KOH KAH SENG</v>
      </c>
      <c r="P69" s="125" t="str">
        <f t="shared" si="123"/>
        <v>CPL LAN ZHI XIANG</v>
      </c>
      <c r="Q69" s="125" t="str">
        <f t="shared" si="123"/>
        <v>CPL TAN TZE JUE JULIAN</v>
      </c>
      <c r="R69" s="125" t="e">
        <f t="shared" si="123"/>
        <v>#N/A</v>
      </c>
      <c r="S69" s="125" t="str">
        <f t="shared" si="123"/>
        <v>PTE SUNDARARAJU DHANUSH</v>
      </c>
      <c r="T69" s="125" t="e">
        <f t="shared" si="123"/>
        <v>#N/A</v>
      </c>
      <c r="U69" s="125" t="str">
        <f t="shared" si="123"/>
        <v>PTE SUNDARARAJU DHANUSH</v>
      </c>
      <c r="V69" s="125" t="e">
        <f t="shared" si="123"/>
        <v>#N/A</v>
      </c>
      <c r="W69" s="125" t="str">
        <f t="shared" si="123"/>
        <v>CFC BRENDON TOH YI CHEN</v>
      </c>
      <c r="X69" s="125" t="str">
        <f t="shared" si="123"/>
        <v>PTE SUNDARARAJU DHANUSH</v>
      </c>
      <c r="Y69" s="125" t="str">
        <f t="shared" si="123"/>
        <v>CPL TAN TZE JUE JULIAN</v>
      </c>
      <c r="Z69" s="125" t="str">
        <f t="shared" si="123"/>
        <v>CPL LAN ZHI XIANG</v>
      </c>
      <c r="AA69" s="125" t="e">
        <f t="shared" si="123"/>
        <v>#N/A</v>
      </c>
      <c r="AB69" s="125" t="str">
        <f t="shared" si="123"/>
        <v>LCP DAANYAAL ABDUL AZEEZ JANJUA</v>
      </c>
      <c r="AC69" s="125" t="str">
        <f t="shared" si="123"/>
        <v>CFC AINSLEY YAP SHENG JIE</v>
      </c>
      <c r="AD69" s="125" t="e">
        <f t="shared" si="123"/>
        <v>#N/A</v>
      </c>
      <c r="AE69" s="125" t="str">
        <f t="shared" si="123"/>
        <v>PTE SUNDARARAJU DHANUSH</v>
      </c>
      <c r="AF69" s="125" t="str">
        <f t="shared" si="123"/>
        <v>LCP KOH KAH SENG</v>
      </c>
      <c r="AG69" s="125" t="e">
        <f t="shared" si="123"/>
        <v>#N/A</v>
      </c>
      <c r="AH69" s="67"/>
      <c r="AI69" s="67"/>
      <c r="AJ69" s="67"/>
      <c r="AK69" s="6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</row>
    <row r="70" ht="63.75" spans="1:69">
      <c r="A70" s="67"/>
      <c r="B70" s="128" t="s">
        <v>93</v>
      </c>
      <c r="C70" s="125" t="e">
        <f t="shared" ref="C70:AG70" si="124">INDEX($B$48:$B$63,MATCH($B70,C$48:C$63,0))</f>
        <v>#N/A</v>
      </c>
      <c r="D70" s="125" t="e">
        <f t="shared" si="124"/>
        <v>#N/A</v>
      </c>
      <c r="E70" s="125" t="e">
        <f t="shared" si="124"/>
        <v>#N/A</v>
      </c>
      <c r="F70" s="125" t="str">
        <f t="shared" si="124"/>
        <v>LCP KOH KAH SENG</v>
      </c>
      <c r="G70" s="125" t="e">
        <f t="shared" si="124"/>
        <v>#N/A</v>
      </c>
      <c r="H70" s="125" t="str">
        <f t="shared" si="124"/>
        <v>PTE LUTH HARITH AFIF BIN NORFIFI</v>
      </c>
      <c r="I70" s="125" t="e">
        <f t="shared" si="124"/>
        <v>#N/A</v>
      </c>
      <c r="J70" s="125" t="e">
        <f t="shared" si="124"/>
        <v>#N/A</v>
      </c>
      <c r="K70" s="125" t="e">
        <f t="shared" si="124"/>
        <v>#N/A</v>
      </c>
      <c r="L70" s="125" t="e">
        <f t="shared" si="124"/>
        <v>#N/A</v>
      </c>
      <c r="M70" s="125" t="str">
        <f t="shared" si="124"/>
        <v>CPL JOVAN CHUA RUI CHENG</v>
      </c>
      <c r="N70" s="125" t="e">
        <f t="shared" si="124"/>
        <v>#N/A</v>
      </c>
      <c r="O70" s="125" t="e">
        <f t="shared" si="124"/>
        <v>#N/A</v>
      </c>
      <c r="P70" s="125" t="e">
        <f t="shared" si="124"/>
        <v>#N/A</v>
      </c>
      <c r="Q70" s="125" t="e">
        <f t="shared" si="124"/>
        <v>#N/A</v>
      </c>
      <c r="R70" s="125" t="str">
        <f t="shared" si="124"/>
        <v>CFC AINSLEY YAP SHENG JIE</v>
      </c>
      <c r="S70" s="125" t="e">
        <f t="shared" si="124"/>
        <v>#N/A</v>
      </c>
      <c r="T70" s="125" t="str">
        <f t="shared" si="124"/>
        <v>CFC AINSLEY YAP SHENG JIE</v>
      </c>
      <c r="U70" s="125" t="e">
        <f t="shared" si="124"/>
        <v>#N/A</v>
      </c>
      <c r="V70" s="125" t="e">
        <f t="shared" si="124"/>
        <v>#N/A</v>
      </c>
      <c r="W70" s="125" t="e">
        <f t="shared" si="124"/>
        <v>#N/A</v>
      </c>
      <c r="X70" s="125" t="e">
        <f t="shared" si="124"/>
        <v>#N/A</v>
      </c>
      <c r="Y70" s="125" t="e">
        <f t="shared" si="124"/>
        <v>#N/A</v>
      </c>
      <c r="Z70" s="125" t="e">
        <f t="shared" si="124"/>
        <v>#N/A</v>
      </c>
      <c r="AA70" s="125" t="str">
        <f t="shared" si="124"/>
        <v>3SG HO JI XUAN ISAAC</v>
      </c>
      <c r="AB70" s="125" t="e">
        <f t="shared" si="124"/>
        <v>#N/A</v>
      </c>
      <c r="AC70" s="125" t="e">
        <f t="shared" si="124"/>
        <v>#N/A</v>
      </c>
      <c r="AD70" s="125" t="str">
        <f t="shared" si="124"/>
        <v>CPL TAN TZE JUE JULIAN</v>
      </c>
      <c r="AE70" s="125" t="e">
        <f t="shared" si="124"/>
        <v>#N/A</v>
      </c>
      <c r="AF70" s="125" t="e">
        <f t="shared" si="124"/>
        <v>#N/A</v>
      </c>
      <c r="AG70" s="125" t="e">
        <f t="shared" si="124"/>
        <v>#N/A</v>
      </c>
      <c r="AH70" s="67"/>
      <c r="AI70" s="67"/>
      <c r="AJ70" s="67"/>
      <c r="AK70" s="6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Q70" s="77"/>
    </row>
    <row r="71" ht="19.5" customHeight="1" spans="1:69">
      <c r="A71" s="67"/>
      <c r="B71" s="129" t="s">
        <v>65</v>
      </c>
      <c r="C71" s="125" t="e">
        <f t="shared" ref="C71:AG71" si="125">INDEX($B$48:$B$63,MATCH($B71,C$48:C$63,0))</f>
        <v>#N/A</v>
      </c>
      <c r="D71" s="125" t="str">
        <f t="shared" si="125"/>
        <v>CFC BRENDON TOH YI CHEN</v>
      </c>
      <c r="E71" s="125" t="str">
        <f t="shared" si="125"/>
        <v>CPL JOVAN CHUA RUI CHENG</v>
      </c>
      <c r="F71" s="125" t="str">
        <f t="shared" si="125"/>
        <v>CPL TAN TZE JUE JULIAN</v>
      </c>
      <c r="G71" s="125" t="str">
        <f t="shared" si="125"/>
        <v>LCP KOH KAH SENG</v>
      </c>
      <c r="H71" s="125" t="e">
        <f t="shared" si="125"/>
        <v>#N/A</v>
      </c>
      <c r="I71" s="125" t="e">
        <f t="shared" si="125"/>
        <v>#N/A</v>
      </c>
      <c r="J71" s="125" t="str">
        <f t="shared" si="125"/>
        <v>PTE LUTH HARITH AFIF BIN NORFIFI</v>
      </c>
      <c r="K71" s="125" t="str">
        <f t="shared" si="125"/>
        <v>PTE SUNDARARAJU DHANUSH</v>
      </c>
      <c r="L71" s="125" t="str">
        <f t="shared" si="125"/>
        <v>CFC MUHAMMAD AMSYAR SUFI BIN SUNARDI</v>
      </c>
      <c r="M71" s="125" t="str">
        <f t="shared" si="125"/>
        <v>CFC AINSLEY YAP SHENG JIE</v>
      </c>
      <c r="N71" s="125" t="str">
        <f t="shared" si="125"/>
        <v>CFC BRENDON TOH YI CHEN</v>
      </c>
      <c r="O71" s="125" t="e">
        <f t="shared" si="125"/>
        <v>#N/A</v>
      </c>
      <c r="P71" s="125" t="e">
        <f t="shared" si="125"/>
        <v>#N/A</v>
      </c>
      <c r="Q71" s="125" t="str">
        <f t="shared" si="125"/>
        <v>3SG HO JI XUAN ISAAC</v>
      </c>
      <c r="R71" s="125" t="str">
        <f t="shared" si="125"/>
        <v>CPL LAN ZHI XIANG</v>
      </c>
      <c r="S71" s="125" t="str">
        <f t="shared" si="125"/>
        <v>CPL JOVAN CHUA RUI CHENG</v>
      </c>
      <c r="T71" s="125" t="str">
        <f t="shared" si="125"/>
        <v>PTE SUNDARARAJU DHANUSH</v>
      </c>
      <c r="U71" s="125" t="str">
        <f t="shared" si="125"/>
        <v>CFC MUHAMMAD AMSYAR SUFI BIN SUNARDI</v>
      </c>
      <c r="V71" s="125" t="e">
        <f t="shared" si="125"/>
        <v>#N/A</v>
      </c>
      <c r="W71" s="125" t="e">
        <f t="shared" si="125"/>
        <v>#N/A</v>
      </c>
      <c r="X71" s="125" t="str">
        <f t="shared" si="125"/>
        <v>3SG THOTA DEV ADITYA</v>
      </c>
      <c r="Y71" s="125" t="str">
        <f t="shared" si="125"/>
        <v>3SG THOTA DEV ADITYA</v>
      </c>
      <c r="Z71" s="125" t="str">
        <f t="shared" si="125"/>
        <v>LCP DAANYAAL ABDUL AZEEZ JANJUA</v>
      </c>
      <c r="AA71" s="125" t="str">
        <f t="shared" si="125"/>
        <v>CFC MUHAMMAD AMSYAR SUFI BIN SUNARDI</v>
      </c>
      <c r="AB71" s="125" t="str">
        <f t="shared" si="125"/>
        <v>3SG THOTA DEV ADITYA</v>
      </c>
      <c r="AC71" s="125" t="e">
        <f t="shared" si="125"/>
        <v>#N/A</v>
      </c>
      <c r="AD71" s="125" t="e">
        <f t="shared" si="125"/>
        <v>#N/A</v>
      </c>
      <c r="AE71" s="125" t="str">
        <f t="shared" si="125"/>
        <v>PTE LUTH HARITH AFIF BIN NORFIFI</v>
      </c>
      <c r="AF71" s="125" t="str">
        <f t="shared" si="125"/>
        <v>3SG THOTA DEV ADITYA</v>
      </c>
      <c r="AG71" s="125" t="e">
        <f t="shared" si="125"/>
        <v>#N/A</v>
      </c>
      <c r="AH71" s="67"/>
      <c r="AI71" s="67"/>
      <c r="AJ71" s="67"/>
      <c r="AK71" s="6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</row>
    <row r="72" ht="19.5" customHeight="1" spans="1:69">
      <c r="A72" s="67"/>
      <c r="B72" s="60" t="s">
        <v>350</v>
      </c>
      <c r="C72" s="60" t="e">
        <f t="shared" ref="C72:AG72" si="126">INDEX($B$48:$B$63,MATCH($B72,C$48:C$63,0))</f>
        <v>#N/A</v>
      </c>
      <c r="D72" s="60" t="e">
        <f t="shared" si="126"/>
        <v>#N/A</v>
      </c>
      <c r="E72" s="60" t="e">
        <f t="shared" si="126"/>
        <v>#N/A</v>
      </c>
      <c r="F72" s="60" t="e">
        <f t="shared" si="126"/>
        <v>#N/A</v>
      </c>
      <c r="G72" s="60" t="e">
        <f t="shared" si="126"/>
        <v>#N/A</v>
      </c>
      <c r="H72" s="60" t="e">
        <f t="shared" si="126"/>
        <v>#N/A</v>
      </c>
      <c r="I72" s="60" t="e">
        <f t="shared" si="126"/>
        <v>#N/A</v>
      </c>
      <c r="J72" s="60" t="e">
        <f t="shared" si="126"/>
        <v>#N/A</v>
      </c>
      <c r="K72" s="60" t="str">
        <f t="shared" si="126"/>
        <v>CFC KOH KAI JIE, ETHAN</v>
      </c>
      <c r="L72" s="60" t="str">
        <f t="shared" si="126"/>
        <v>CPL LAN ZHI XIANG</v>
      </c>
      <c r="M72" s="60" t="e">
        <f t="shared" si="126"/>
        <v>#N/A</v>
      </c>
      <c r="N72" s="60" t="str">
        <f t="shared" si="126"/>
        <v>PTE SUNDARARAJU DHANUSH</v>
      </c>
      <c r="O72" s="60" t="e">
        <f t="shared" si="126"/>
        <v>#N/A</v>
      </c>
      <c r="P72" s="60" t="e">
        <f t="shared" si="126"/>
        <v>#N/A</v>
      </c>
      <c r="Q72" s="60" t="e">
        <f t="shared" si="126"/>
        <v>#N/A</v>
      </c>
      <c r="R72" s="60" t="e">
        <f t="shared" si="126"/>
        <v>#N/A</v>
      </c>
      <c r="S72" s="60" t="e">
        <f t="shared" si="126"/>
        <v>#N/A</v>
      </c>
      <c r="T72" s="60" t="str">
        <f t="shared" si="126"/>
        <v>CPL TAN TZE JUE JULIAN</v>
      </c>
      <c r="U72" s="60" t="e">
        <f t="shared" si="126"/>
        <v>#N/A</v>
      </c>
      <c r="V72" s="60" t="e">
        <f t="shared" si="126"/>
        <v>#N/A</v>
      </c>
      <c r="W72" s="60" t="e">
        <f t="shared" si="126"/>
        <v>#N/A</v>
      </c>
      <c r="X72" s="60" t="e">
        <f t="shared" si="126"/>
        <v>#N/A</v>
      </c>
      <c r="Y72" s="60" t="str">
        <f t="shared" si="126"/>
        <v>LCP LIM CHU FENG</v>
      </c>
      <c r="Z72" s="60" t="e">
        <f t="shared" si="126"/>
        <v>#N/A</v>
      </c>
      <c r="AA72" s="60" t="str">
        <f t="shared" si="126"/>
        <v>3SG THOTA DEV ADITYA</v>
      </c>
      <c r="AB72" s="60" t="e">
        <f t="shared" si="126"/>
        <v>#N/A</v>
      </c>
      <c r="AC72" s="60" t="e">
        <f t="shared" si="126"/>
        <v>#N/A</v>
      </c>
      <c r="AD72" s="60" t="e">
        <f t="shared" si="126"/>
        <v>#N/A</v>
      </c>
      <c r="AE72" s="60" t="e">
        <f t="shared" si="126"/>
        <v>#N/A</v>
      </c>
      <c r="AF72" s="60" t="e">
        <f t="shared" si="126"/>
        <v>#N/A</v>
      </c>
      <c r="AG72" s="60" t="e">
        <f t="shared" si="126"/>
        <v>#N/A</v>
      </c>
      <c r="AH72" s="67"/>
      <c r="AI72" s="67"/>
      <c r="AJ72" s="67"/>
      <c r="AK72" s="6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</row>
    <row r="73" ht="19.5" customHeight="1" spans="1:69">
      <c r="A73" s="67"/>
      <c r="B73" s="60" t="s">
        <v>755</v>
      </c>
      <c r="C73" s="60">
        <f t="shared" ref="C73:AG73" si="127">COUNTIF(C48:C63,"DM")</f>
        <v>0</v>
      </c>
      <c r="D73" s="60">
        <f t="shared" si="127"/>
        <v>1</v>
      </c>
      <c r="E73" s="60">
        <f t="shared" si="127"/>
        <v>1</v>
      </c>
      <c r="F73" s="60">
        <f t="shared" si="127"/>
        <v>1</v>
      </c>
      <c r="G73" s="60">
        <f t="shared" si="127"/>
        <v>1</v>
      </c>
      <c r="H73" s="60">
        <f t="shared" si="127"/>
        <v>0</v>
      </c>
      <c r="I73" s="60">
        <f t="shared" si="127"/>
        <v>0</v>
      </c>
      <c r="J73" s="60">
        <f t="shared" si="127"/>
        <v>1</v>
      </c>
      <c r="K73" s="60">
        <f t="shared" si="127"/>
        <v>1</v>
      </c>
      <c r="L73" s="60">
        <f t="shared" si="127"/>
        <v>1</v>
      </c>
      <c r="M73" s="60">
        <f t="shared" si="127"/>
        <v>1</v>
      </c>
      <c r="N73" s="60">
        <f t="shared" si="127"/>
        <v>1</v>
      </c>
      <c r="O73" s="60">
        <f t="shared" si="127"/>
        <v>0</v>
      </c>
      <c r="P73" s="60">
        <f t="shared" si="127"/>
        <v>0</v>
      </c>
      <c r="Q73" s="60">
        <f t="shared" si="127"/>
        <v>1</v>
      </c>
      <c r="R73" s="60">
        <f t="shared" si="127"/>
        <v>1</v>
      </c>
      <c r="S73" s="60">
        <f t="shared" si="127"/>
        <v>1</v>
      </c>
      <c r="T73" s="60">
        <f t="shared" si="127"/>
        <v>1</v>
      </c>
      <c r="U73" s="60">
        <f t="shared" si="127"/>
        <v>1</v>
      </c>
      <c r="V73" s="60">
        <f t="shared" si="127"/>
        <v>0</v>
      </c>
      <c r="W73" s="60">
        <f t="shared" si="127"/>
        <v>0</v>
      </c>
      <c r="X73" s="60">
        <f t="shared" si="127"/>
        <v>1</v>
      </c>
      <c r="Y73" s="60">
        <f t="shared" si="127"/>
        <v>1</v>
      </c>
      <c r="Z73" s="60">
        <f t="shared" si="127"/>
        <v>1</v>
      </c>
      <c r="AA73" s="60">
        <f t="shared" si="127"/>
        <v>1</v>
      </c>
      <c r="AB73" s="60">
        <f t="shared" si="127"/>
        <v>1</v>
      </c>
      <c r="AC73" s="60">
        <f t="shared" si="127"/>
        <v>0</v>
      </c>
      <c r="AD73" s="60">
        <f t="shared" si="127"/>
        <v>0</v>
      </c>
      <c r="AE73" s="60">
        <f t="shared" si="127"/>
        <v>1</v>
      </c>
      <c r="AF73" s="60">
        <f t="shared" si="127"/>
        <v>1</v>
      </c>
      <c r="AG73" s="60">
        <f t="shared" si="127"/>
        <v>0</v>
      </c>
      <c r="AH73" s="67"/>
      <c r="AI73" s="67"/>
      <c r="AJ73" s="67"/>
      <c r="AK73" s="6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</row>
    <row r="74" ht="19.5" customHeight="1" spans="1:69">
      <c r="A74" s="67"/>
      <c r="B74" s="60" t="s">
        <v>861</v>
      </c>
      <c r="C74" s="60">
        <f t="shared" ref="C74:AG74" si="128">COUNTIF(C48:C63,"SB1")+COUNTIF(C48:C63,"SB2")</f>
        <v>1</v>
      </c>
      <c r="D74" s="60">
        <f t="shared" si="128"/>
        <v>1</v>
      </c>
      <c r="E74" s="60">
        <f t="shared" si="128"/>
        <v>1</v>
      </c>
      <c r="F74" s="60">
        <f t="shared" si="128"/>
        <v>2</v>
      </c>
      <c r="G74" s="60">
        <f t="shared" si="128"/>
        <v>1</v>
      </c>
      <c r="H74" s="60">
        <f t="shared" si="128"/>
        <v>1</v>
      </c>
      <c r="I74" s="60">
        <f t="shared" si="128"/>
        <v>1</v>
      </c>
      <c r="J74" s="60">
        <f t="shared" si="128"/>
        <v>1</v>
      </c>
      <c r="K74" s="60">
        <f t="shared" si="128"/>
        <v>1</v>
      </c>
      <c r="L74" s="60">
        <f t="shared" si="128"/>
        <v>1</v>
      </c>
      <c r="M74" s="60">
        <f t="shared" si="128"/>
        <v>1</v>
      </c>
      <c r="N74" s="60">
        <f t="shared" si="128"/>
        <v>1</v>
      </c>
      <c r="O74" s="60">
        <f t="shared" si="128"/>
        <v>1</v>
      </c>
      <c r="P74" s="60">
        <f t="shared" si="128"/>
        <v>1</v>
      </c>
      <c r="Q74" s="60">
        <f t="shared" si="128"/>
        <v>1</v>
      </c>
      <c r="R74" s="60">
        <f t="shared" si="128"/>
        <v>1</v>
      </c>
      <c r="S74" s="60">
        <f t="shared" si="128"/>
        <v>1</v>
      </c>
      <c r="T74" s="60">
        <f t="shared" si="128"/>
        <v>1</v>
      </c>
      <c r="U74" s="60">
        <f t="shared" si="128"/>
        <v>1</v>
      </c>
      <c r="V74" s="60">
        <f t="shared" si="128"/>
        <v>0</v>
      </c>
      <c r="W74" s="60">
        <f t="shared" si="128"/>
        <v>1</v>
      </c>
      <c r="X74" s="60">
        <f t="shared" si="128"/>
        <v>1</v>
      </c>
      <c r="Y74" s="60">
        <f t="shared" si="128"/>
        <v>1</v>
      </c>
      <c r="Z74" s="60">
        <f t="shared" si="128"/>
        <v>1</v>
      </c>
      <c r="AA74" s="60">
        <f t="shared" si="128"/>
        <v>1</v>
      </c>
      <c r="AB74" s="60">
        <f t="shared" si="128"/>
        <v>1</v>
      </c>
      <c r="AC74" s="60">
        <f t="shared" si="128"/>
        <v>1</v>
      </c>
      <c r="AD74" s="60">
        <f t="shared" si="128"/>
        <v>1</v>
      </c>
      <c r="AE74" s="60">
        <f t="shared" si="128"/>
        <v>1</v>
      </c>
      <c r="AF74" s="60">
        <f t="shared" si="128"/>
        <v>1</v>
      </c>
      <c r="AG74" s="60">
        <f t="shared" si="128"/>
        <v>0</v>
      </c>
      <c r="AH74" s="67"/>
      <c r="AI74" s="67"/>
      <c r="AJ74" s="67"/>
      <c r="AK74" s="6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</row>
    <row r="75" ht="19.5" customHeight="1" spans="1:69">
      <c r="A75" s="67"/>
      <c r="B75" s="60" t="s">
        <v>862</v>
      </c>
      <c r="C75" s="60">
        <f t="shared" ref="C75:AG75" si="129">COUNTIF(C48:C63,"CS1")</f>
        <v>0</v>
      </c>
      <c r="D75" s="60">
        <f t="shared" si="129"/>
        <v>1</v>
      </c>
      <c r="E75" s="60">
        <f t="shared" si="129"/>
        <v>1</v>
      </c>
      <c r="F75" s="60">
        <f t="shared" si="129"/>
        <v>1</v>
      </c>
      <c r="G75" s="60">
        <f t="shared" si="129"/>
        <v>1</v>
      </c>
      <c r="H75" s="60">
        <f t="shared" si="129"/>
        <v>0</v>
      </c>
      <c r="I75" s="60">
        <f t="shared" si="129"/>
        <v>0</v>
      </c>
      <c r="J75" s="60">
        <f t="shared" si="129"/>
        <v>1</v>
      </c>
      <c r="K75" s="60">
        <f t="shared" si="129"/>
        <v>1</v>
      </c>
      <c r="L75" s="60">
        <f t="shared" si="129"/>
        <v>1</v>
      </c>
      <c r="M75" s="60">
        <f t="shared" si="129"/>
        <v>1</v>
      </c>
      <c r="N75" s="60">
        <f t="shared" si="129"/>
        <v>1</v>
      </c>
      <c r="O75" s="60">
        <f t="shared" si="129"/>
        <v>0</v>
      </c>
      <c r="P75" s="60">
        <f t="shared" si="129"/>
        <v>0</v>
      </c>
      <c r="Q75" s="60">
        <f t="shared" si="129"/>
        <v>1</v>
      </c>
      <c r="R75" s="60">
        <f t="shared" si="129"/>
        <v>1</v>
      </c>
      <c r="S75" s="60">
        <f t="shared" si="129"/>
        <v>1</v>
      </c>
      <c r="T75" s="60">
        <f t="shared" si="129"/>
        <v>1</v>
      </c>
      <c r="U75" s="60">
        <f t="shared" si="129"/>
        <v>1</v>
      </c>
      <c r="V75" s="60">
        <f t="shared" si="129"/>
        <v>0</v>
      </c>
      <c r="W75" s="60">
        <f t="shared" si="129"/>
        <v>0</v>
      </c>
      <c r="X75" s="60">
        <f t="shared" si="129"/>
        <v>1</v>
      </c>
      <c r="Y75" s="60">
        <f t="shared" si="129"/>
        <v>1</v>
      </c>
      <c r="Z75" s="60">
        <f t="shared" si="129"/>
        <v>1</v>
      </c>
      <c r="AA75" s="60">
        <f t="shared" si="129"/>
        <v>1</v>
      </c>
      <c r="AB75" s="60">
        <f t="shared" si="129"/>
        <v>1</v>
      </c>
      <c r="AC75" s="60">
        <f t="shared" si="129"/>
        <v>0</v>
      </c>
      <c r="AD75" s="60">
        <f t="shared" si="129"/>
        <v>0</v>
      </c>
      <c r="AE75" s="60">
        <f t="shared" si="129"/>
        <v>1</v>
      </c>
      <c r="AF75" s="60">
        <f t="shared" si="129"/>
        <v>1</v>
      </c>
      <c r="AG75" s="60">
        <f t="shared" si="129"/>
        <v>0</v>
      </c>
      <c r="AH75" s="67"/>
      <c r="AI75" s="67"/>
      <c r="AJ75" s="67"/>
      <c r="AK75" s="6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Q75" s="77"/>
    </row>
    <row r="76" ht="19.5" customHeight="1" spans="1:69">
      <c r="A76" s="67"/>
      <c r="B76" s="60" t="s">
        <v>863</v>
      </c>
      <c r="C76" s="60">
        <f t="shared" ref="C76:AG76" si="130">COUNTIF(C48:C63,"AE")</f>
        <v>0</v>
      </c>
      <c r="D76" s="60">
        <f t="shared" si="130"/>
        <v>1</v>
      </c>
      <c r="E76" s="60">
        <f t="shared" si="130"/>
        <v>1</v>
      </c>
      <c r="F76" s="60">
        <f t="shared" si="130"/>
        <v>1</v>
      </c>
      <c r="G76" s="60">
        <f t="shared" si="130"/>
        <v>1</v>
      </c>
      <c r="H76" s="60">
        <f t="shared" si="130"/>
        <v>0</v>
      </c>
      <c r="I76" s="60">
        <f t="shared" si="130"/>
        <v>0</v>
      </c>
      <c r="J76" s="60">
        <f t="shared" si="130"/>
        <v>1</v>
      </c>
      <c r="K76" s="60">
        <f t="shared" si="130"/>
        <v>1</v>
      </c>
      <c r="L76" s="60">
        <f t="shared" si="130"/>
        <v>1</v>
      </c>
      <c r="M76" s="60">
        <f t="shared" si="130"/>
        <v>1</v>
      </c>
      <c r="N76" s="60">
        <f t="shared" si="130"/>
        <v>1</v>
      </c>
      <c r="O76" s="60">
        <f t="shared" si="130"/>
        <v>0</v>
      </c>
      <c r="P76" s="60">
        <f t="shared" si="130"/>
        <v>0</v>
      </c>
      <c r="Q76" s="60">
        <f t="shared" si="130"/>
        <v>1</v>
      </c>
      <c r="R76" s="60">
        <f t="shared" si="130"/>
        <v>1</v>
      </c>
      <c r="S76" s="60">
        <f t="shared" si="130"/>
        <v>1</v>
      </c>
      <c r="T76" s="60">
        <f t="shared" si="130"/>
        <v>1</v>
      </c>
      <c r="U76" s="60">
        <f t="shared" si="130"/>
        <v>1</v>
      </c>
      <c r="V76" s="60">
        <f t="shared" si="130"/>
        <v>0</v>
      </c>
      <c r="W76" s="60">
        <f t="shared" si="130"/>
        <v>0</v>
      </c>
      <c r="X76" s="60">
        <f t="shared" si="130"/>
        <v>1</v>
      </c>
      <c r="Y76" s="60">
        <f t="shared" si="130"/>
        <v>1</v>
      </c>
      <c r="Z76" s="60">
        <f t="shared" si="130"/>
        <v>1</v>
      </c>
      <c r="AA76" s="60">
        <f t="shared" si="130"/>
        <v>1</v>
      </c>
      <c r="AB76" s="60">
        <f t="shared" si="130"/>
        <v>1</v>
      </c>
      <c r="AC76" s="60">
        <f t="shared" si="130"/>
        <v>0</v>
      </c>
      <c r="AD76" s="60">
        <f t="shared" si="130"/>
        <v>0</v>
      </c>
      <c r="AE76" s="60">
        <f t="shared" si="130"/>
        <v>1</v>
      </c>
      <c r="AF76" s="60">
        <f t="shared" si="130"/>
        <v>1</v>
      </c>
      <c r="AG76" s="60">
        <f t="shared" si="130"/>
        <v>0</v>
      </c>
      <c r="AH76" s="67"/>
      <c r="AI76" s="67"/>
      <c r="AJ76" s="67"/>
      <c r="AK76" s="6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</row>
    <row r="77" ht="19.5" customHeight="1" spans="1:69">
      <c r="A77" s="67"/>
      <c r="B77" s="60" t="s">
        <v>864</v>
      </c>
      <c r="C77" s="60">
        <f t="shared" ref="C77:AG77" si="131">SUM(C73:C76)</f>
        <v>1</v>
      </c>
      <c r="D77" s="60">
        <f t="shared" si="131"/>
        <v>4</v>
      </c>
      <c r="E77" s="60">
        <f t="shared" si="131"/>
        <v>4</v>
      </c>
      <c r="F77" s="60">
        <f t="shared" si="131"/>
        <v>5</v>
      </c>
      <c r="G77" s="60">
        <f t="shared" si="131"/>
        <v>4</v>
      </c>
      <c r="H77" s="60">
        <f t="shared" si="131"/>
        <v>1</v>
      </c>
      <c r="I77" s="60">
        <f t="shared" si="131"/>
        <v>1</v>
      </c>
      <c r="J77" s="60">
        <f t="shared" si="131"/>
        <v>4</v>
      </c>
      <c r="K77" s="60">
        <f t="shared" si="131"/>
        <v>4</v>
      </c>
      <c r="L77" s="60">
        <f t="shared" si="131"/>
        <v>4</v>
      </c>
      <c r="M77" s="60">
        <f t="shared" si="131"/>
        <v>4</v>
      </c>
      <c r="N77" s="60">
        <f t="shared" si="131"/>
        <v>4</v>
      </c>
      <c r="O77" s="60">
        <f t="shared" si="131"/>
        <v>1</v>
      </c>
      <c r="P77" s="60">
        <f t="shared" si="131"/>
        <v>1</v>
      </c>
      <c r="Q77" s="60">
        <f t="shared" si="131"/>
        <v>4</v>
      </c>
      <c r="R77" s="60">
        <f t="shared" si="131"/>
        <v>4</v>
      </c>
      <c r="S77" s="60">
        <f t="shared" si="131"/>
        <v>4</v>
      </c>
      <c r="T77" s="60">
        <f t="shared" si="131"/>
        <v>4</v>
      </c>
      <c r="U77" s="60">
        <f t="shared" si="131"/>
        <v>4</v>
      </c>
      <c r="V77" s="60">
        <f t="shared" si="131"/>
        <v>0</v>
      </c>
      <c r="W77" s="60">
        <f t="shared" si="131"/>
        <v>1</v>
      </c>
      <c r="X77" s="60">
        <f t="shared" si="131"/>
        <v>4</v>
      </c>
      <c r="Y77" s="60">
        <f t="shared" si="131"/>
        <v>4</v>
      </c>
      <c r="Z77" s="60">
        <f t="shared" si="131"/>
        <v>4</v>
      </c>
      <c r="AA77" s="60">
        <f t="shared" si="131"/>
        <v>4</v>
      </c>
      <c r="AB77" s="60">
        <f t="shared" si="131"/>
        <v>4</v>
      </c>
      <c r="AC77" s="60">
        <f t="shared" si="131"/>
        <v>1</v>
      </c>
      <c r="AD77" s="60">
        <f t="shared" si="131"/>
        <v>1</v>
      </c>
      <c r="AE77" s="60">
        <f t="shared" si="131"/>
        <v>4</v>
      </c>
      <c r="AF77" s="60">
        <f t="shared" si="131"/>
        <v>4</v>
      </c>
      <c r="AG77" s="60">
        <f t="shared" si="131"/>
        <v>0</v>
      </c>
      <c r="AH77" s="67"/>
      <c r="AI77" s="67"/>
      <c r="AJ77" s="67"/>
      <c r="AK77" s="6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Q77" s="77"/>
    </row>
    <row r="78" ht="19.5" customHeight="1" spans="1:69">
      <c r="A78" s="67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7"/>
      <c r="AI78" s="67"/>
      <c r="AJ78" s="67"/>
      <c r="AK78" s="6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</row>
    <row r="79" ht="19.5" customHeight="1" spans="1:69">
      <c r="A79" s="67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7"/>
      <c r="AI79" s="67"/>
      <c r="AJ79" s="67"/>
      <c r="AK79" s="6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Q79" s="77"/>
    </row>
    <row r="80" ht="19.5" customHeight="1" spans="1:69">
      <c r="A80" s="67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7"/>
      <c r="AI80" s="67"/>
      <c r="AJ80" s="67"/>
      <c r="AK80" s="67"/>
      <c r="AL80" s="77"/>
      <c r="AM80" s="77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77"/>
      <c r="BQ80" s="77"/>
    </row>
    <row r="81" ht="19.5" customHeight="1" spans="1:69">
      <c r="A81" s="67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7"/>
      <c r="AI81" s="67"/>
      <c r="AJ81" s="67"/>
      <c r="AK81" s="6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Q81" s="77"/>
    </row>
  </sheetData>
  <mergeCells count="3">
    <mergeCell ref="C1:S1"/>
    <mergeCell ref="AQ3:AQ4"/>
    <mergeCell ref="AR3:AR4"/>
  </mergeCells>
  <conditionalFormatting sqref="Q16">
    <cfRule type="expression" dxfId="136" priority="6">
      <formula>WEEKDAY(T$3,2)&gt;5</formula>
    </cfRule>
    <cfRule type="expression" dxfId="136" priority="7">
      <formula>WEEKDAY(U$3,2)&gt;5</formula>
    </cfRule>
  </conditionalFormatting>
  <conditionalFormatting sqref="AC17">
    <cfRule type="expression" dxfId="136" priority="2">
      <formula>WEEKDAY(T$3,2)&gt;5</formula>
    </cfRule>
    <cfRule type="expression" dxfId="136" priority="3">
      <formula>WEEKDAY(U$3,2)&gt;5</formula>
    </cfRule>
  </conditionalFormatting>
  <conditionalFormatting sqref="C19:F19">
    <cfRule type="expression" dxfId="136" priority="11">
      <formula>WEEKDAY(D$3,2)&gt;5</formula>
    </cfRule>
  </conditionalFormatting>
  <conditionalFormatting sqref="G20">
    <cfRule type="expression" dxfId="136" priority="1">
      <formula>WEEKDAY(G$3,2)&gt;5</formula>
    </cfRule>
  </conditionalFormatting>
  <conditionalFormatting sqref="D21">
    <cfRule type="expression" dxfId="136" priority="8">
      <formula>WEEKDAY(G$3,2)&gt;5</formula>
    </cfRule>
    <cfRule type="expression" dxfId="136" priority="9">
      <formula>WEEKDAY(F$3,2)&gt;5</formula>
    </cfRule>
  </conditionalFormatting>
  <conditionalFormatting sqref="W56">
    <cfRule type="expression" dxfId="136" priority="4">
      <formula>WEEKDAY(V$3,2)&gt;5</formula>
    </cfRule>
  </conditionalFormatting>
  <conditionalFormatting sqref="A1:BQ81">
    <cfRule type="cellIs" dxfId="155" priority="78" operator="equal">
      <formula>"RESERVE"</formula>
    </cfRule>
  </conditionalFormatting>
  <conditionalFormatting sqref="T2:X65 C3:S65 Y3:AG65 B39:B45">
    <cfRule type="expression" dxfId="136" priority="71">
      <formula>WEEKDAY(T$3,2)&gt;5</formula>
    </cfRule>
  </conditionalFormatting>
  <conditionalFormatting sqref="J4:J81 AA4:AA81 C5:I81 K5:Z81 AB5:AG81 B39:B45">
    <cfRule type="cellIs" dxfId="137" priority="56" operator="equal">
      <formula>"B"</formula>
    </cfRule>
    <cfRule type="cellIs" dxfId="137" priority="57" operator="equal">
      <formula>"AL"</formula>
    </cfRule>
    <cfRule type="cellIs" dxfId="138" priority="58" operator="equal">
      <formula>"DM"</formula>
    </cfRule>
    <cfRule type="cellIs" dxfId="139" priority="59" operator="equal">
      <formula>"CS1"</formula>
    </cfRule>
    <cfRule type="cellIs" dxfId="140" priority="60" operator="equal">
      <formula>"CS2"</formula>
    </cfRule>
    <cfRule type="cellIs" dxfId="141" priority="61" operator="equal">
      <formula>"SB1"</formula>
    </cfRule>
    <cfRule type="cellIs" dxfId="142" priority="62" operator="equal">
      <formula>"SB2"</formula>
    </cfRule>
    <cfRule type="cellIs" dxfId="143" priority="63" operator="equal">
      <formula>"AE"</formula>
    </cfRule>
  </conditionalFormatting>
  <conditionalFormatting sqref="J4:J65 AA4:AA65 C5:I65 K5:Z65 AB5:AG65 B39:B45">
    <cfRule type="cellIs" dxfId="137" priority="65" operator="equal">
      <formula>"DB"</formula>
    </cfRule>
    <cfRule type="containsText" dxfId="144" priority="66" operator="between" text="$AM">
      <formula>NOT(ISERROR(SEARCH("$AM",B4)))</formula>
    </cfRule>
    <cfRule type="containsText" dxfId="145" priority="67" operator="between" text="$PM">
      <formula>NOT(ISERROR(SEARCH("$PM",B4)))</formula>
    </cfRule>
    <cfRule type="containsText" dxfId="146" priority="68" operator="between" text="$L">
      <formula>NOT(ISERROR(SEARCH("$L",B4)))</formula>
    </cfRule>
    <cfRule type="containsText" dxfId="147" priority="69" operator="between" text="$BTP">
      <formula>NOT(ISERROR(SEARCH("$BTP",B4)))</formula>
    </cfRule>
    <cfRule type="containsText" dxfId="148" priority="70" operator="between" text="$M">
      <formula>NOT(ISERROR(SEARCH("$M",B4)))</formula>
    </cfRule>
    <cfRule type="containsText" dxfId="149" priority="72" operator="between" text="$N">
      <formula>NOT(ISERROR(SEARCH("$N",B4)))</formula>
    </cfRule>
    <cfRule type="containsText" dxfId="150" priority="73" operator="between" text="$FC">
      <formula>NOT(ISERROR(SEARCH("$FC",B4)))</formula>
    </cfRule>
    <cfRule type="containsText" dxfId="151" priority="74" operator="between" text="OAL">
      <formula>NOT(ISERROR(SEARCH("OAL",B4)))</formula>
    </cfRule>
    <cfRule type="containsText" dxfId="152" priority="75" operator="between" text="S+">
      <formula>NOT(ISERROR(SEARCH("S+",B4)))</formula>
    </cfRule>
    <cfRule type="containsText" dxfId="153" priority="76" operator="between" text="EX-D">
      <formula>NOT(ISERROR(SEARCH("EX-D",B4)))</formula>
    </cfRule>
  </conditionalFormatting>
  <conditionalFormatting sqref="J4:J5 C5:C8 D5 E5:E10 F5:F13 G5:G12 I5:I8 K5 L5:L7 M5:M10 O5:O7 T5:T7 V5:V6 W5:W8 Y5:Y24 Z5:Z63 AA5:AA58 AB5:AB63 AC5 AD5:AD26 AF5:AF13 AG5:AG26 H6 N6 P6 Q6:S7 U6:U7 X6 K7:K10 AC7:AC29 AE7:AE15 H8:H21 J8:J14 N8 V8:V11 X8:X20 O9 Q9:Q20 S9:S10 U9:U10 C10:C22 D10:D13 L10 N10 R10:R14 W10:W20 I11:I20 T11:T13 E12:E19 K12:K14 L12:L13 M12:M21 N12:N13 O12:O16 P12 U12:U15 S13:S25 V13:V31 G14 P14:P21 D15:D22 F15:F20 L15:L23 N15:N18 AF15:AF22 J16 K16:K21 R16:R25 T16 G17:G23 U17:U21 AE17:AE27 J18 O18 T18 J20:J22 N20:N22 O20:O25 T20:T23 E22 F22:F24 I22 Q22:Q23 W22 X22:X25 M23:M27 P23 U23 E24:E25 H24:J25 W24:W28 AF24:AF27 D25:D27 G25 K25:L25 N25 P25:P26 T26 U26:U27 C27 F27 G27:G28 O27:O28 Q27 R27:R30 S27 X27:X31 Y27:Y47 I28 J28:J49 K28 T28 E29:E47 F29 H29 L29:M29 S29 K30:K35 N30:O33 AD30:AE30 F31:F32 G31:G33 P31:P33 T31:T33 U31 AC31:AC63 AF31 D32 H32:I32 L32:M47 S32:S33 W32:W51 AD32 AE32:AE37 C33:C51 V33:V50 X33:X51 H34:H36 R34 AD34:AD63 AF34:AF35 D35 F35:F36 O35 T35:T36 U35 AG35 P36:Q36 R36:R47 S36 K37:K48 O37:O46 H38:H50 Q38:Q47 B39:B45 D39:D46 F39:G46 I39:I46 N39:N46 P39:P46 S39:U46 AE39:AG46 N48 E49:E50 M49:M51 U49 Y49:Y51 AE49:AF50 K50:L51 Q50:R51 AG50 J51 U52:U55 F54 H54:H56 R55 W56 T57:U57 H58:H61 L58 AE58:AG58 U59:U65 Y59 K60 AA60:AA63 Q61 L63">
    <cfRule type="containsText" dxfId="154" priority="77" operator="between" text="VACC">
      <formula>NOT(ISERROR(SEARCH("VACC",B4)))</formula>
    </cfRule>
  </conditionalFormatting>
  <conditionalFormatting sqref="C5:C8 D5 E5:E10 F5:F13 G5:G12 I5:I8 J5:K5 L5:L7 M5:M10 O5:O7 R5:R25 V5 W5:W8 Y5:Z5 AB5:AB6 AC5 AD5:AD9 H6 N6 P6 T6 K7 S7 U7 AC7:AC8 AF7:AF9 AG7:AG11 H8:H21 J8:J13 N8 Y8:Y9 AE8:AE9 K9:K10 S9 U9:U10 V9 X9:X12 Z9:Z10 C10:C25 D10:D13 L10 N10 Q10:Q20 W10:W20 I11:I20 T11 V11 Y11:Y13 AB11 AC11:AC13 AE11:AF11 E12:E14 K12:K14 L12:L13 M12:M14 N12:N13 O12:O16 P12 S13:T13 U13:U15 V13 AA13:AA15 AB13 AD13:AE15 AG13:AG14 G14 P14 X14:X20 Z14:Z15 D15:D22 F15:F20 L15:L17 S15:S18 V15:V16 Y15:Y19 AB15:AB18 E16:E19 K16:K18 M16:M21 N16:N17 P16:P18 T16 AF16:AF17 AG16:AG19 G17:G23 U17:U20 AA17 AC17 AD17:AE18 J18 T18 V18:V19 L19:L21 AA19 AC19:AC20 J20:J21 O20:O23 P20:P21 S20:T21 AB20 AF20 Z21:Z22 AE21:AE23 E22 F22:F24 I22 N22 V22:V25 W22 AC22 L23:M23 P23:Q23 S23:S25 T23:U23 X23:X24 E24:E25 H24:J25 W24:W28 Y24:Z24 AB24 AC24:AC25 AF24:AF27 AG24 D25:D27 G25 K25:L25 M25:M27 N25:P25 AA25 AE25 Q26:Q27 C27 F27 G27:G28 O27 R27:R31 S27 U27 V27:V28 X27 AB27 AC27:AC28 AE27 I28:K28 T28 E29:E47 F29 H29 L29:M29 S29 X29:X31 K30 N30:O33 V30:V31 Z30 AE30 F31:F32 G31:G33 J31:J34 P31:P33 T31:T33 U31 AF31 D32 H32:I32 K32:K35 L32:M47 S32 W32:W51 AE32 C33:C51 R33:R48 X33:X51 AB33 H34:H36 V34 Z34 AC34:AD63 AE34 D35 F35:F36 O35 T35:T36 U35 AA35:AB35 P36:Q36 S36 AE36:AE37 K37:K48 O37:O46 Z37:Z63 AB37:AB63 H38:H50 Q38:Q47 AA38:AA47 B39:B45 D39:D46 F39:G46 I39:J46 N39:N46 P39:P46 S39:V46 Y39:Y46 AE39:AG46 E49:E50 M49:M51 AA49:AA58 AE49:AF50 K50:L51 Q50:R51 Y50 AG50 F54 H54:H56 R55 T57 H58:H61 L58 AE58:AG58 Y59 K60 AA60:AA61 Q61 L63">
    <cfRule type="cellIs" dxfId="137" priority="12" operator="equal">
      <formula>"B"</formula>
    </cfRule>
    <cfRule type="cellIs" dxfId="137" priority="13" operator="equal">
      <formula>"AL"</formula>
    </cfRule>
    <cfRule type="cellIs" dxfId="138" priority="14" operator="equal">
      <formula>"DM"</formula>
    </cfRule>
    <cfRule type="cellIs" dxfId="139" priority="15" operator="equal">
      <formula>"CS1"</formula>
    </cfRule>
    <cfRule type="cellIs" dxfId="140" priority="16" operator="equal">
      <formula>"CS2"</formula>
    </cfRule>
    <cfRule type="cellIs" dxfId="141" priority="17" operator="equal">
      <formula>"SB1"</formula>
    </cfRule>
    <cfRule type="cellIs" dxfId="142" priority="18" operator="equal">
      <formula>"SB2"</formula>
    </cfRule>
    <cfRule type="cellIs" dxfId="143" priority="19" operator="equal">
      <formula>"AE"</formula>
    </cfRule>
    <cfRule type="cellIs" dxfId="137" priority="20" operator="equal">
      <formula>"DB"</formula>
    </cfRule>
    <cfRule type="containsText" dxfId="144" priority="21" operator="between" text="$AM">
      <formula>NOT(ISERROR(SEARCH("$AM",B5)))</formula>
    </cfRule>
    <cfRule type="containsText" dxfId="145" priority="22" operator="between" text="$PM">
      <formula>NOT(ISERROR(SEARCH("$PM",B5)))</formula>
    </cfRule>
    <cfRule type="containsText" dxfId="146" priority="23" operator="between" text="$L">
      <formula>NOT(ISERROR(SEARCH("$L",B5)))</formula>
    </cfRule>
    <cfRule type="containsText" dxfId="147" priority="24" operator="between" text="$BTP">
      <formula>NOT(ISERROR(SEARCH("$BTP",B5)))</formula>
    </cfRule>
    <cfRule type="containsText" dxfId="148" priority="25" operator="between" text="$M">
      <formula>NOT(ISERROR(SEARCH("$M",B5)))</formula>
    </cfRule>
    <cfRule type="containsText" dxfId="149" priority="26" operator="between" text="$N">
      <formula>NOT(ISERROR(SEARCH("$N",B5)))</formula>
    </cfRule>
    <cfRule type="containsText" dxfId="150" priority="27" operator="between" text="$FC">
      <formula>NOT(ISERROR(SEARCH("$FC",B5)))</formula>
    </cfRule>
    <cfRule type="containsText" dxfId="151" priority="28" operator="between" text="OAL">
      <formula>NOT(ISERROR(SEARCH("OAL",B5)))</formula>
    </cfRule>
    <cfRule type="containsText" dxfId="152" priority="29" operator="between" text="S+">
      <formula>NOT(ISERROR(SEARCH("S+",B5)))</formula>
    </cfRule>
    <cfRule type="containsText" dxfId="153" priority="30" operator="between" text="EX-D">
      <formula>NOT(ISERROR(SEARCH("EX-D",B5)))</formula>
    </cfRule>
  </conditionalFormatting>
  <conditionalFormatting sqref="C5:C8 D5 E5:E10 F5:F13 G5:G12 I5:I8 J5:L5 M5:M10 O5:O7 V5 W5:W8 Y5:AA5 AB5:AB7 AC5 AD5:AD15 H6 N6 P6 T6 J7:J13 K7:L7 Q7:S7 U7 AC7:AC8 AE7:AG11 H8:H21 N8 Z8:Z10 AA8:AA15 K9:K10 S9 U9:U10 V9 X9:X12 Y9:Y13 AB9 C10:C22 D10:D13 L10 N10 Q10:Q20 R10:R14 W10:W20 AC10:AC13 I11:I20 T11 V11 AB11:AB13 E12:E14 K12:K14 L12:L13 M12:M14 N12:N13 O12:O15 P12 Z12:Z15 S13:T13 U13:U15 V13:V16 AE13:AE15 AF13 AG13:AG14 G14 P14 X14:X20 D15:D22 F15:F20 L15:L23 S15:S18 Y15:Y19 AB15:AB20 E16:E19 K16:K19 M16:M21 N16:N18 P16:P21 R16:R25 T16 AF16:AF17 AG16:AG19 G17:G23 U17:U20 AA17:AA20 AC17:AC28 AD17:AE18 J18 T18 V18:V19 J20:J21 O20:O23 S20 T20:T23 AD20 AF20 E21:E22 Z21:Z22 AE21:AE23 F22:F24 I22 N22 V22:V28 W22 AA22 AF22:AG22 M23:M27 P23:Q23 S23:S25 U23 X23:X24 AB23:AB25 AD23 E24:E25 H24:J25 W24:W28 Z24:Z25 AF24:AF27 AG24 D25:D27 G25 K25:L25 N25:P25 AA25 AD25:AE25 C27 F27 G27:G28 O27 Q27 R27:R30 S27 U27 X27 AB27 AE27 I28 J28:J34 K28 T28 E29:E47 F29 H29 L29:M29 S29 X29:X31 Z29:Z31 AA29:AA35 AB29:AB63 K30 N30:O33 V30:V31 Y30 AD30:AE30 F31:F32 G31:G33 P31:P33 T31:T33 U31 AF31 D32 H32:I32 K32:K35 L32:M47 S32 W32:W51 AE32:AE37 C33:C51 V33:V35 X33:X51 Z33:Z35 AC33:AC63 H34:H36 R34 AD34:AD63 D35 F35:F36 O35 T35:T36 U35 Y35 AF35:AG35 P36:Q36 R36:R47 S36 K37:K48 V37:V50 Z37:Z63 H38:H50 Q38:Q47 AA38:AA47 B39:B45 D39:D46 F39:G46 I39:J46 N39:P46 S39:U46 Y39:Y46 AE39:AG46 E49:E50 M49:M51 AA49:AA58 AE49:AF50 K50:L51 Q50:R51 Y50 AG50 F54 H54:H56 R55 T57 H58:H61 L58 AE58:AG58 Y59 K60 AA60:AA61 Q61 L63">
    <cfRule type="expression" dxfId="136" priority="31">
      <formula>WEEKDAY(#REF!,2)&gt;5</formula>
    </cfRule>
  </conditionalFormatting>
  <conditionalFormatting sqref="C5:C8 D5 E5:E10 F5:F13 G5:G12 I5:I8 J5:K5 L5:L7 M5:M10 O5:O7 T5:T7 V5:V6 W5:W8 Y5:Y24 Z5:Z63 AA5:AA58 AB5:AB63 AC5 AD5:AD26 AF5:AF13 AG5:AG26 H6 N6 P6 Q6:Q7 R6 S6:S7 U6:U7 X6 K7:K10 AC7:AC29 AE7:AE15 H8:H21 J8:J14 N8 V8:V11 X8:X20 O9 Q9:Q20 S9:S10 U9:U10 C10:C22 D10:D13 L10 N10 R10:R14 W10:W20 I11:I20 T11:T13 E12:E19 K12:K14 L12:L13 M12:M21 N12:N13 O12:O16 P12 U12:U15 S13:S25 V13:V31 G14 P14:P21 D15:D22 F15:F20 L15:L23 N15:N18 AF15:AF22 J16 K16:K21 R16:R25 T16 G17:G23 U17:U21 AE17:AE27 J18 O18 T18 J20:J22 N20:N22 O20:O25 T20:T23 E22 F22:F24 I22 Q22:Q23 W22 X22:X25 M23:M27 P23 U23 E24:E25 H24:J25 W24:W28 AF24:AF27 D25:D27 G25 K25:L25 N25 P25:P26 T26 U26:U27 C27 F27 G27:G28 O27:O28 Q27:S27 X27:X31 Y27:Y47 I28 J28:J49 K28 T28 E29:E47 F29 H29 L29:M29 R29:R30 S29 K30:K35 N30:O33 AD30:AE30 F31:F32 G31:G33 P31:P33 T31:T33 U31 AC31:AC63 AF31 D32 H32:I32 L32:M47 S32:S33 W32:W51 AD32 AE32:AE37 C33:C51 V33:V50 X33:X51 H34:H36 R34 AD34:AD63 AF34:AF35 D35 F35:F36 O35 T35:T36 U35 AG35 P36:Q36 R36:R47 S36 K37:K48 O37:O46 H38:H50 Q38:Q47 B39:B45 D39:D46 F39:G46 I39:I46 N39:N46 P39:P46 S39:U46 AE39:AG46 N48 E49:E50 M49:M51 U49 Y49:Y51 AE49:AF50 K50:L51 Q50:R51 AG50 J51 U52:U55 F54 H54:H56 R55 W56 T57:U57 H58:H61 L58 AE58:AG58 U59:U65 Y59 K60 AA60:AA63 Q61 L63">
    <cfRule type="cellIs" dxfId="137" priority="35" operator="equal">
      <formula>"B"</formula>
    </cfRule>
    <cfRule type="cellIs" dxfId="137" priority="36" operator="equal">
      <formula>"AL"</formula>
    </cfRule>
    <cfRule type="cellIs" dxfId="138" priority="37" operator="equal">
      <formula>"DM"</formula>
    </cfRule>
    <cfRule type="cellIs" dxfId="139" priority="38" operator="equal">
      <formula>"CS1"</formula>
    </cfRule>
    <cfRule type="cellIs" dxfId="140" priority="39" operator="equal">
      <formula>"CS2"</formula>
    </cfRule>
    <cfRule type="cellIs" dxfId="141" priority="40" operator="equal">
      <formula>"SB1"</formula>
    </cfRule>
    <cfRule type="cellIs" dxfId="142" priority="41" operator="equal">
      <formula>"SB2"</formula>
    </cfRule>
    <cfRule type="cellIs" dxfId="143" priority="42" operator="equal">
      <formula>"AE"</formula>
    </cfRule>
    <cfRule type="cellIs" dxfId="137" priority="44" operator="equal">
      <formula>"DB"</formula>
    </cfRule>
    <cfRule type="containsText" dxfId="144" priority="45" operator="between" text="$AM">
      <formula>NOT(ISERROR(SEARCH("$AM",B5)))</formula>
    </cfRule>
    <cfRule type="containsText" dxfId="145" priority="46" operator="between" text="$PM">
      <formula>NOT(ISERROR(SEARCH("$PM",B5)))</formula>
    </cfRule>
    <cfRule type="containsText" dxfId="146" priority="47" operator="between" text="$L">
      <formula>NOT(ISERROR(SEARCH("$L",B5)))</formula>
    </cfRule>
    <cfRule type="containsText" dxfId="147" priority="48" operator="between" text="$BTP">
      <formula>NOT(ISERROR(SEARCH("$BTP",B5)))</formula>
    </cfRule>
    <cfRule type="containsText" dxfId="148" priority="49" operator="between" text="$M">
      <formula>NOT(ISERROR(SEARCH("$M",B5)))</formula>
    </cfRule>
    <cfRule type="containsText" dxfId="149" priority="50" operator="between" text="$N">
      <formula>NOT(ISERROR(SEARCH("$N",B5)))</formula>
    </cfRule>
    <cfRule type="containsText" dxfId="150" priority="51" operator="between" text="$FC">
      <formula>NOT(ISERROR(SEARCH("$FC",B5)))</formula>
    </cfRule>
    <cfRule type="containsText" dxfId="151" priority="52" operator="between" text="OAL">
      <formula>NOT(ISERROR(SEARCH("OAL",B5)))</formula>
    </cfRule>
    <cfRule type="containsText" dxfId="152" priority="53" operator="between" text="S+">
      <formula>NOT(ISERROR(SEARCH("S+",B5)))</formula>
    </cfRule>
    <cfRule type="containsText" dxfId="153" priority="54" operator="between" text="EX-D">
      <formula>NOT(ISERROR(SEARCH("EX-D",B5)))</formula>
    </cfRule>
    <cfRule type="expression" dxfId="136" priority="55">
      <formula>WEEKDAY(#REF!,2)&gt;5</formula>
    </cfRule>
  </conditionalFormatting>
  <conditionalFormatting sqref="C5:AG81 B39:B45">
    <cfRule type="containsText" dxfId="1388" priority="43" operator="between" text="CS/B">
      <formula>NOT(ISERROR(SEARCH("CS/B",B5)))</formula>
    </cfRule>
  </conditionalFormatting>
  <conditionalFormatting sqref="BP5:BQ65">
    <cfRule type="cellIs" dxfId="155" priority="64" operator="lessThan">
      <formula>1</formula>
    </cfRule>
  </conditionalFormatting>
  <conditionalFormatting sqref="W6 S7 W8 AD8 S9 U9 Y9:Z9 C10 G10 W10 T11 Y11 AA13 AG13 Z14 V15 V18 X18 W20 W22 AC24 AE25 X27 AB27 V30 X31 S32">
    <cfRule type="expression" dxfId="136" priority="32">
      <formula>WEEKDAY(Y$3,2)&gt;5</formula>
    </cfRule>
  </conditionalFormatting>
  <conditionalFormatting sqref="W6 W8 AD8 S9 U9 Y9 Z9:Z10 W10 T11 Y11 AA13 AG13 Z14 V15 V18 X18 W20 W22 AC24 AE25 X27 AB27 V30 X31 S32 U49 U52:U55 U57 U59:U65">
    <cfRule type="expression" dxfId="136" priority="33">
      <formula>WEEKDAY(X$3,2)&gt;5</formula>
    </cfRule>
  </conditionalFormatting>
  <conditionalFormatting sqref="R7 C10:D10 E18 F24 G28">
    <cfRule type="expression" dxfId="136" priority="5">
      <formula>WEEKDAY(T$3,2)&gt;5</formula>
    </cfRule>
  </conditionalFormatting>
  <conditionalFormatting sqref="R7 C10:D10 H16 E18 T20 C21 G21:H21 M21 R22 F24 H25 G28">
    <cfRule type="expression" dxfId="136" priority="10">
      <formula>WEEKDAY(S$3,2)&gt;5</formula>
    </cfRule>
  </conditionalFormatting>
  <conditionalFormatting sqref="C7 S7 C10 G10 C16:F16 R16:S16 R18:R19 C27:D27 F27:G27 R28">
    <cfRule type="expression" dxfId="136" priority="34">
      <formula>WEEKDAY(U$3,2)&gt;5</formula>
    </cfRule>
  </conditionalFormatting>
  <conditionalFormatting sqref="AC48:AD48 AB54">
    <cfRule type="cellIs" dxfId="1735" priority="79" operator="equal">
      <formula>"CS"</formula>
    </cfRule>
  </conditionalFormatting>
  <dataValidations count="4">
    <dataValidation type="custom" allowBlank="1" sqref="J5:K5 U5:AG5 Z6 AB6 AG6 C7 I7 V7 Y7:Z7 AF7:AG7 F8:I8 N8 W8 Y8 AD8:AG8 C9 M9 O9 S9 V9 X9 Z9:AA9 AC9:AG9 E10:G10 J10:N10 Q10:S10 W10:Y10 C11:E11 L11 Q11:R11 T11 X11:Y11 AF11:AG11 C12:Q12 T12:V12 Y12 AF12 C13:E13 J13:L13 N13:P13 R13:T13 V13 Z13 C14 E14 J14:K14 N14:O14 Q14:S14 U14:Y14 AF14 C15:F15 J15 L15:Q15 S15 V15:W15 Y15 AF15:AG15 C16:I16 M16 O16 Q16:T16 Y16:AB16 AD16:AG16 C17:N17 P17 S17 AA17:AG17 C18:D18 G18 O18:AE18 AG18 C19:G19 L19:M19 O19:Q19 U19:AA19 AC19:AE19 C20:D20 G20:I20 K20 M20:O20 Q20:U20 W20:X20 Z20:AA20 AE20:AG20 C21:H21 J21:L21 N21:AG21 C22:E22 G22 N22:O22 Q22:R22 T22 W22:Z22 AB22:AD22 AF22:AG22 C23 E23:G23 I23 P23:Q23 S23:W23 AG23 C24:E24 I24:J24 M24 X24 Z24 AC24 AE24 C25:H25 K25:O25 Z25:AB25 AE25:AG25 C26:D26 G26:H26 J26:N26 P26:Q26 S26 U26:V26 Z26:AE26 AG26 C27 E27:H27 J27 N27 U27 AA27 AF27:AG27 C28:E28 I28:M28 O28:P28 S28:T28 W28 AA28:AB28 AF28 C29:I29 L29:M29 O29 Q29 T29:U29 AA29 AC29:AD29 AF29:AG29 C30:G30 N30 Q30:S30 X30:Y30 C31:F31 Q31:R31 T31:W31 Y31:Z31 AE31 C32:H32 J32:M32 O32:P32 R32 AE32:AG32 D33:F33 H33 K33 M33:Q33 T33 W33:Z33 AF33:AG33 C34:G34 L34:N34 S34 AG34 C35:J35 P35 T35 H36 J36:K36 O36 Q36:T36 W36:Y36 I37 K37:N37 S37:T37 V37 Y37 AA37 C47:O47 S47:W47 Y47 AE47:AG47 O48 S48 U48:W48 AF48 E49 M49:O49 T49 V49 Y49 AG49 C50:F50 H50 K50:Q50 U50:W50 C51:D51 I51 K51:N51 U51 AE51:AG51 F54 I54 AG55 AE56 T57 L58 Y59 K60 O60 Q61 L63 C48:C49 J18:J19 L6:L7 M35:M36 O5:O7 S50:S51 T63:T65 V24:V25 X26:X27 Y28:Y29 AD6:AD7 AG30:AG31 AG36:AG38 C5:D6 C36:F37 G48:J49 J30:L31">
      <formula1>NOT(ISERROR(SEARCH((#REF!),(C5))))</formula1>
    </dataValidation>
    <dataValidation type="list" allowBlank="1" sqref="S7 AA7 J8 D9 U9 Y9 C10:D10 T10 AG10 K11 Q13 AA13:AE13 M14 Z14:AA14 AD14 AA15:AB15 AD15:AE15 K16:L16 N16 P16 V16 E18 R19:S19 P20 AC20 M23 F24 AF24:AG24 R25 W25 O26 AF26 M27 S27 AB27:AC27 AE27 G28 Z29 AE30:AF30 X31 AF31 I32 N32 S32 L33 AB33 V34:X34 Z34:AA34 AC34:AE34 O35 Y35 AA35 P36 AB37:AE37 Q47 Z47:AD47 AC48:AD48 AB49:AF49 AA50:AG50 Q51 AC53 AB54 X15:X16 Z48:Z49 AE22:AE23 AG13:AG14" showDropDown="1">
      <formula1>'Setting key Duty'!$B$7:$B$54</formula1>
    </dataValidation>
    <dataValidation type="list" allowBlank="1" sqref="B25 J33 K35 E48 F49 S49 U49 T50 E51 C52:U52 C53 E53 I53:J53 L53 N53:O53 S53:U53 C54:E54 G54:H54 K54:L54 N54 P54 AF54:AG54 C55 E55 H55:L55 N55:P55 S55:U55 X55:AF55 C56:E56 G56:H56 J56:K56 M56:P56 AF56 C57:G57 I57:L57 N57:P57 U57 X57 AF57:AG57 C58:K58 N58:O58 X58:Y58 E59:L59 N59:P59 X59 AE59:AG59 G60:J60 L60 S60 AE60 AG60 G61:L61 S61:U61 I62:L62 N62:Q62 S62:Z62 C63:G63 I63:K63 N63 P63 U63 X63:Z63 AC63:AD63 AF63:AG63 B5:B9 B11:B16 B18:B19 B21:B23 C59:C62 E60:E62 J50:J51 N60:N61 P60:P61 S56:S57 S63:S65 T58:T59 AE52:AG53 C64:L65 N64:P65 U64:AG65 X52:Y53 X60:Y61 AE61:AG62" showDropDown="1">
      <formula1>'Setting key Duty'!$B$7:$B$56</formula1>
    </dataValidation>
    <dataValidation type="list" allowBlank="1" sqref="C38:AF38 C39:AG46 C66:AG71" showDropDown="1">
      <formula1>'Setting key Duty'!$B$7:$B$23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BP95"/>
  <sheetViews>
    <sheetView showGridLines="0" zoomScale="70" zoomScaleNormal="70" workbookViewId="0">
      <pane xSplit="2" ySplit="4" topLeftCell="C31" activePane="bottomRight" state="frozen"/>
      <selection/>
      <selection pane="topRight"/>
      <selection pane="bottomLeft"/>
      <selection pane="bottomRight" activeCell="C46" sqref="C46"/>
    </sheetView>
  </sheetViews>
  <sheetFormatPr defaultColWidth="12.6285714285714" defaultRowHeight="15.75" customHeight="1"/>
  <cols>
    <col min="1" max="1" width="2.13333333333333" customWidth="1"/>
    <col min="2" max="2" width="29.752380952381" customWidth="1"/>
    <col min="3" max="8" width="9.24761904761905" customWidth="1"/>
    <col min="9" max="9" width="10.1333333333333" customWidth="1"/>
    <col min="10" max="11" width="9.24761904761905" customWidth="1"/>
    <col min="12" max="12" width="9.38095238095238" customWidth="1"/>
    <col min="13" max="13" width="9.75238095238095" customWidth="1"/>
    <col min="14" max="14" width="9.24761904761905" customWidth="1"/>
    <col min="15" max="15" width="10" customWidth="1"/>
    <col min="16" max="16" width="10.752380952381" customWidth="1"/>
    <col min="17" max="17" width="10.247619047619" customWidth="1"/>
    <col min="18" max="18" width="10.1333333333333" customWidth="1"/>
    <col min="19" max="19" width="9.5047619047619" customWidth="1"/>
    <col min="20" max="20" width="10" customWidth="1"/>
    <col min="21" max="23" width="9.24761904761905" customWidth="1"/>
    <col min="24" max="24" width="12.8761904761905" customWidth="1"/>
    <col min="25" max="26" width="9.24761904761905" customWidth="1"/>
    <col min="27" max="27" width="10.5047619047619" customWidth="1"/>
    <col min="28" max="30" width="9.24761904761905" customWidth="1"/>
    <col min="31" max="31" width="10.5047619047619" customWidth="1"/>
    <col min="32" max="33" width="9.38095238095238" customWidth="1"/>
    <col min="34" max="40" width="9.38095238095238" hidden="1" customWidth="1" outlineLevel="1"/>
    <col min="41" max="41" width="12" hidden="1" customWidth="1" outlineLevel="1"/>
    <col min="42" max="42" width="9.38095238095238" hidden="1" customWidth="1" outlineLevel="1"/>
    <col min="43" max="43" width="6.75238095238095" customWidth="1" collapsed="1"/>
    <col min="44" max="44" width="6.75238095238095" customWidth="1"/>
    <col min="45" max="45" width="8.87619047619048" customWidth="1" outlineLevel="1"/>
    <col min="46" max="47" width="7.87619047619048" customWidth="1" outlineLevel="1"/>
    <col min="48" max="48" width="9.13333333333333" customWidth="1" outlineLevel="1"/>
    <col min="49" max="49" width="8.24761904761905" customWidth="1" outlineLevel="1"/>
    <col min="50" max="50" width="5.5047619047619" customWidth="1" outlineLevel="1"/>
    <col min="51" max="53" width="9.38095238095238" customWidth="1"/>
    <col min="54" max="64" width="9.38095238095238" hidden="1" customWidth="1" outlineLevel="1"/>
    <col min="65" max="65" width="9.38095238095238" customWidth="1" collapsed="1"/>
    <col min="66" max="66" width="9.5047619047619" customWidth="1"/>
    <col min="67" max="68" width="9.38095238095238" customWidth="1"/>
  </cols>
  <sheetData>
    <row r="1" ht="3" customHeight="1" spans="1:68">
      <c r="A1" s="44" t="s">
        <v>865</v>
      </c>
      <c r="B1" s="45" t="s">
        <v>0</v>
      </c>
      <c r="C1" s="46" t="str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>
  Enter DM for DM, CS1 for CS1, CS2 for CS2, and SB1 for SB1. Use the 'Setting key' tab to customise. Change Date on highlighted cell
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</row>
    <row r="2" ht="26.25" customHeight="1" spans="1:68">
      <c r="A2" s="51"/>
      <c r="B2" s="52" t="s">
        <v>1</v>
      </c>
      <c r="C2" s="52"/>
      <c r="D2" s="53" t="s">
        <v>925</v>
      </c>
      <c r="E2" s="54" t="s">
        <v>926</v>
      </c>
      <c r="F2" s="52"/>
      <c r="G2" s="55"/>
      <c r="H2" s="52"/>
      <c r="I2" s="52"/>
      <c r="J2" s="52"/>
      <c r="K2" s="52"/>
      <c r="L2" s="52"/>
      <c r="M2" s="52"/>
      <c r="N2" s="55"/>
      <c r="O2" s="52"/>
      <c r="P2" s="52"/>
      <c r="Q2" s="52"/>
      <c r="R2" s="52"/>
      <c r="S2" s="52"/>
      <c r="T2" s="56"/>
      <c r="U2" s="57"/>
      <c r="V2" s="58"/>
      <c r="W2" s="52"/>
      <c r="X2" s="52"/>
      <c r="Y2" s="52"/>
      <c r="Z2" s="52"/>
      <c r="AA2" s="52"/>
      <c r="AB2" s="55"/>
      <c r="AC2" s="52"/>
      <c r="AD2" s="52"/>
      <c r="AE2" s="52"/>
      <c r="AF2" s="52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60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</row>
    <row r="3" ht="26.25" customHeight="1" spans="1:68">
      <c r="A3" s="51"/>
      <c r="B3" s="52" t="s">
        <v>21</v>
      </c>
      <c r="C3" s="61">
        <v>46204</v>
      </c>
      <c r="D3" s="62">
        <f t="shared" ref="D3:AG3" si="0">C3+1</f>
        <v>46205</v>
      </c>
      <c r="E3" s="62">
        <f t="shared" si="0"/>
        <v>46206</v>
      </c>
      <c r="F3" s="62">
        <f t="shared" si="0"/>
        <v>46207</v>
      </c>
      <c r="G3" s="62">
        <f t="shared" si="0"/>
        <v>46208</v>
      </c>
      <c r="H3" s="62">
        <f t="shared" si="0"/>
        <v>46209</v>
      </c>
      <c r="I3" s="62">
        <f t="shared" si="0"/>
        <v>46210</v>
      </c>
      <c r="J3" s="62">
        <f t="shared" si="0"/>
        <v>46211</v>
      </c>
      <c r="K3" s="62">
        <f t="shared" si="0"/>
        <v>46212</v>
      </c>
      <c r="L3" s="62">
        <f t="shared" si="0"/>
        <v>46213</v>
      </c>
      <c r="M3" s="62">
        <f t="shared" si="0"/>
        <v>46214</v>
      </c>
      <c r="N3" s="62">
        <f t="shared" si="0"/>
        <v>46215</v>
      </c>
      <c r="O3" s="62">
        <f t="shared" si="0"/>
        <v>46216</v>
      </c>
      <c r="P3" s="62">
        <f t="shared" si="0"/>
        <v>46217</v>
      </c>
      <c r="Q3" s="62">
        <f t="shared" si="0"/>
        <v>46218</v>
      </c>
      <c r="R3" s="62">
        <f t="shared" si="0"/>
        <v>46219</v>
      </c>
      <c r="S3" s="62">
        <f t="shared" si="0"/>
        <v>46220</v>
      </c>
      <c r="T3" s="63">
        <f t="shared" si="0"/>
        <v>46221</v>
      </c>
      <c r="U3" s="62">
        <f t="shared" si="0"/>
        <v>46222</v>
      </c>
      <c r="V3" s="64">
        <f t="shared" si="0"/>
        <v>46223</v>
      </c>
      <c r="W3" s="62">
        <f t="shared" si="0"/>
        <v>46224</v>
      </c>
      <c r="X3" s="62">
        <f t="shared" si="0"/>
        <v>46225</v>
      </c>
      <c r="Y3" s="62">
        <f t="shared" si="0"/>
        <v>46226</v>
      </c>
      <c r="Z3" s="62">
        <f t="shared" si="0"/>
        <v>46227</v>
      </c>
      <c r="AA3" s="62">
        <f t="shared" si="0"/>
        <v>46228</v>
      </c>
      <c r="AB3" s="62">
        <f t="shared" si="0"/>
        <v>46229</v>
      </c>
      <c r="AC3" s="62">
        <f t="shared" si="0"/>
        <v>46230</v>
      </c>
      <c r="AD3" s="62">
        <f t="shared" si="0"/>
        <v>46231</v>
      </c>
      <c r="AE3" s="62">
        <f t="shared" si="0"/>
        <v>46232</v>
      </c>
      <c r="AF3" s="62">
        <f t="shared" si="0"/>
        <v>46233</v>
      </c>
      <c r="AG3" s="62">
        <f t="shared" si="0"/>
        <v>46234</v>
      </c>
      <c r="AH3" s="59" t="str">
        <f>'Setting key Duty'!$C7</f>
        <v>DM</v>
      </c>
      <c r="AI3" s="59" t="str">
        <f>'Setting key Duty'!$C8</f>
        <v>CS1</v>
      </c>
      <c r="AJ3" s="59" t="str">
        <f>'Setting key Duty'!$C9</f>
        <v>CS2</v>
      </c>
      <c r="AK3" s="59" t="str">
        <f>'Setting key Duty'!$C10</f>
        <v>CS/B</v>
      </c>
      <c r="AL3" s="59" t="str">
        <f>'Setting key Duty'!$C11</f>
        <v>SB1</v>
      </c>
      <c r="AM3" s="59" t="str">
        <f>'Setting key Duty'!$C12</f>
        <v>SB2</v>
      </c>
      <c r="AN3" s="59" t="str">
        <f>'Setting key Duty'!$C13</f>
        <v>AE</v>
      </c>
      <c r="AO3" s="59" t="str">
        <f>'Setting key Duty'!$C16</f>
        <v>Outfield Reserve</v>
      </c>
      <c r="AP3" s="59" t="str">
        <f>'Setting key Duty'!C14</f>
        <v>EM</v>
      </c>
      <c r="AQ3" s="65" t="s">
        <v>559</v>
      </c>
      <c r="AR3" s="65" t="s">
        <v>560</v>
      </c>
      <c r="AS3" s="59" t="s">
        <v>22</v>
      </c>
      <c r="AT3" s="59" t="s">
        <v>23</v>
      </c>
      <c r="AU3" s="59" t="s">
        <v>561</v>
      </c>
      <c r="AV3" s="59" t="s">
        <v>24</v>
      </c>
      <c r="AW3" s="59" t="s">
        <v>25</v>
      </c>
      <c r="AX3" s="59" t="s">
        <v>26</v>
      </c>
      <c r="AY3" s="59" t="s">
        <v>27</v>
      </c>
      <c r="AZ3" s="59" t="s">
        <v>28</v>
      </c>
      <c r="BA3" s="66" t="s">
        <v>29</v>
      </c>
      <c r="BB3" s="59" t="s">
        <v>30</v>
      </c>
      <c r="BC3" s="59" t="s">
        <v>32</v>
      </c>
      <c r="BD3" s="59" t="s">
        <v>33</v>
      </c>
      <c r="BE3" s="59" t="s">
        <v>36</v>
      </c>
      <c r="BF3" s="59" t="s">
        <v>37</v>
      </c>
      <c r="BG3" s="59" t="s">
        <v>39</v>
      </c>
      <c r="BH3" s="59" t="s">
        <v>40</v>
      </c>
      <c r="BI3" s="59" t="s">
        <v>41</v>
      </c>
      <c r="BJ3" s="59" t="s">
        <v>42</v>
      </c>
      <c r="BK3" s="59" t="str">
        <f>'Setting key Duty'!C52</f>
        <v>Field Camp</v>
      </c>
      <c r="BL3" s="59" t="s">
        <v>43</v>
      </c>
      <c r="BM3" s="59" t="str">
        <f>'Setting key Duty'!$C15</f>
        <v>Block</v>
      </c>
      <c r="BN3" s="59" t="str">
        <f>'Setting key Duty'!C17</f>
        <v>Reserve</v>
      </c>
      <c r="BO3" s="59" t="str">
        <f>'Setting key Duty'!$C22</f>
        <v>AL</v>
      </c>
      <c r="BP3" s="59"/>
    </row>
    <row r="4" ht="18" customHeight="1" spans="1:68">
      <c r="A4" s="67"/>
      <c r="B4" s="68" t="s">
        <v>156</v>
      </c>
      <c r="C4" s="69" t="str">
        <f t="shared" ref="C4:AG4" si="1">TEXT(C3,"ddd")</f>
        <v>Wed</v>
      </c>
      <c r="D4" s="70" t="str">
        <f t="shared" si="1"/>
        <v>Thu</v>
      </c>
      <c r="E4" s="70" t="str">
        <f t="shared" si="1"/>
        <v>Fri</v>
      </c>
      <c r="F4" s="70" t="str">
        <f t="shared" si="1"/>
        <v>Sat</v>
      </c>
      <c r="G4" s="70" t="str">
        <f t="shared" si="1"/>
        <v>Sun</v>
      </c>
      <c r="H4" s="70" t="str">
        <f t="shared" si="1"/>
        <v>Mon</v>
      </c>
      <c r="I4" s="70" t="str">
        <f t="shared" si="1"/>
        <v>Tue</v>
      </c>
      <c r="J4" s="70" t="str">
        <f t="shared" si="1"/>
        <v>Wed</v>
      </c>
      <c r="K4" s="70" t="str">
        <f t="shared" si="1"/>
        <v>Thu</v>
      </c>
      <c r="L4" s="70" t="str">
        <f t="shared" si="1"/>
        <v>Fri</v>
      </c>
      <c r="M4" s="70" t="str">
        <f t="shared" si="1"/>
        <v>Sat</v>
      </c>
      <c r="N4" s="70" t="str">
        <f t="shared" si="1"/>
        <v>Sun</v>
      </c>
      <c r="O4" s="70" t="str">
        <f t="shared" si="1"/>
        <v>Mon</v>
      </c>
      <c r="P4" s="70" t="str">
        <f t="shared" si="1"/>
        <v>Tue</v>
      </c>
      <c r="Q4" s="70" t="str">
        <f t="shared" si="1"/>
        <v>Wed</v>
      </c>
      <c r="R4" s="70" t="str">
        <f t="shared" si="1"/>
        <v>Thu</v>
      </c>
      <c r="S4" s="70" t="str">
        <f t="shared" si="1"/>
        <v>Fri</v>
      </c>
      <c r="T4" s="69" t="str">
        <f t="shared" si="1"/>
        <v>Sat</v>
      </c>
      <c r="U4" s="70" t="str">
        <f t="shared" si="1"/>
        <v>Sun</v>
      </c>
      <c r="V4" s="71" t="str">
        <f t="shared" si="1"/>
        <v>Mon</v>
      </c>
      <c r="W4" s="70" t="str">
        <f t="shared" si="1"/>
        <v>Tue</v>
      </c>
      <c r="X4" s="70" t="str">
        <f t="shared" si="1"/>
        <v>Wed</v>
      </c>
      <c r="Y4" s="70" t="str">
        <f t="shared" si="1"/>
        <v>Thu</v>
      </c>
      <c r="Z4" s="70" t="str">
        <f t="shared" si="1"/>
        <v>Fri</v>
      </c>
      <c r="AA4" s="70" t="str">
        <f t="shared" si="1"/>
        <v>Sat</v>
      </c>
      <c r="AB4" s="70" t="str">
        <f t="shared" si="1"/>
        <v>Sun</v>
      </c>
      <c r="AC4" s="70" t="str">
        <f t="shared" si="1"/>
        <v>Mon</v>
      </c>
      <c r="AD4" s="70" t="str">
        <f t="shared" si="1"/>
        <v>Tue</v>
      </c>
      <c r="AE4" s="70" t="str">
        <f t="shared" si="1"/>
        <v>Wed</v>
      </c>
      <c r="AF4" s="70" t="str">
        <f t="shared" si="1"/>
        <v>Thu</v>
      </c>
      <c r="AG4" s="70" t="str">
        <f t="shared" si="1"/>
        <v>Fri</v>
      </c>
      <c r="AH4" s="68" t="str">
        <f>'Setting key Duty'!$B7</f>
        <v>DM</v>
      </c>
      <c r="AI4" s="68" t="str">
        <f>'Setting key Duty'!$B8</f>
        <v>CS1</v>
      </c>
      <c r="AJ4" s="68" t="str">
        <f>'Setting key Duty'!$B9</f>
        <v>CS2</v>
      </c>
      <c r="AK4" s="68" t="str">
        <f>'Setting key Duty'!$B10</f>
        <v>CS/B</v>
      </c>
      <c r="AL4" s="68" t="str">
        <f>'Setting key Duty'!$B11</f>
        <v>SB1</v>
      </c>
      <c r="AM4" s="68" t="str">
        <f>'Setting key Duty'!$B12</f>
        <v>SB2</v>
      </c>
      <c r="AN4" s="68" t="str">
        <f>'Setting key Duty'!$B13</f>
        <v>AE</v>
      </c>
      <c r="AO4" s="68" t="str">
        <f>'Setting key Duty'!$B16</f>
        <v>Outfield Reserve</v>
      </c>
      <c r="AP4" s="68" t="str">
        <f>'Setting key Duty'!B14</f>
        <v>EM</v>
      </c>
      <c r="AQ4" s="72"/>
      <c r="AR4" s="72"/>
      <c r="AS4" s="68"/>
      <c r="AT4" s="68"/>
      <c r="AU4" s="68"/>
      <c r="AV4" s="68"/>
      <c r="AW4" s="68"/>
      <c r="AX4" s="68"/>
      <c r="AY4" s="68"/>
      <c r="AZ4" s="68"/>
      <c r="BA4" s="73"/>
      <c r="BB4" s="68"/>
      <c r="BC4" s="68" t="s">
        <v>46</v>
      </c>
      <c r="BD4" s="68"/>
      <c r="BE4" s="68" t="s">
        <v>48</v>
      </c>
      <c r="BF4" s="68"/>
      <c r="BG4" s="68" t="s">
        <v>50</v>
      </c>
      <c r="BH4" s="68"/>
      <c r="BI4" s="68" t="s">
        <v>51</v>
      </c>
      <c r="BJ4" s="68"/>
      <c r="BK4" s="68" t="str">
        <f>'Setting key Duty'!B52</f>
        <v>$FC</v>
      </c>
      <c r="BL4" s="68"/>
      <c r="BM4" s="68">
        <f>'Setting key Duty'!$B15</f>
        <v>0</v>
      </c>
      <c r="BN4" s="68" t="str">
        <f>'Setting key Duty'!B17</f>
        <v>RESERVE</v>
      </c>
      <c r="BO4" s="68" t="str">
        <f>'Setting key Duty'!$B22</f>
        <v>AL</v>
      </c>
      <c r="BP4" s="68"/>
    </row>
    <row r="5" ht="87" customHeight="1" spans="1:68">
      <c r="A5" s="67"/>
      <c r="B5" s="74" t="s">
        <v>927</v>
      </c>
      <c r="C5" s="53"/>
      <c r="D5" s="60"/>
      <c r="E5" s="53" t="s">
        <v>770</v>
      </c>
      <c r="F5" s="60"/>
      <c r="G5" s="60" t="s">
        <v>56</v>
      </c>
      <c r="H5" s="53"/>
      <c r="I5" s="60"/>
      <c r="J5" s="60" t="s">
        <v>69</v>
      </c>
      <c r="K5" s="60" t="s">
        <v>707</v>
      </c>
      <c r="L5" s="53"/>
      <c r="M5" s="53"/>
      <c r="N5" s="60"/>
      <c r="O5" s="60" t="s">
        <v>380</v>
      </c>
      <c r="P5" s="60" t="s">
        <v>380</v>
      </c>
      <c r="Q5" s="60" t="s">
        <v>57</v>
      </c>
      <c r="R5" s="53"/>
      <c r="S5" s="53" t="s">
        <v>162</v>
      </c>
      <c r="T5" s="53"/>
      <c r="U5" s="57"/>
      <c r="V5" s="53"/>
      <c r="W5" s="53"/>
      <c r="X5" s="53" t="s">
        <v>56</v>
      </c>
      <c r="Y5" s="53"/>
      <c r="Z5" s="53"/>
      <c r="AA5" s="60"/>
      <c r="AB5" s="60"/>
      <c r="AC5" s="60" t="s">
        <v>93</v>
      </c>
      <c r="AD5" s="60" t="s">
        <v>764</v>
      </c>
      <c r="AE5" s="75" t="s">
        <v>672</v>
      </c>
      <c r="AF5" s="53" t="s">
        <v>71</v>
      </c>
      <c r="AG5" s="53" t="s">
        <v>71</v>
      </c>
      <c r="AH5" s="67">
        <f t="shared" ref="AH5:AP5" si="2">COUNTIF($C5:$AF5,AH$4)</f>
        <v>1</v>
      </c>
      <c r="AI5" s="67">
        <f t="shared" si="2"/>
        <v>2</v>
      </c>
      <c r="AJ5" s="67">
        <f t="shared" si="2"/>
        <v>0</v>
      </c>
      <c r="AK5" s="67">
        <f t="shared" si="2"/>
        <v>0</v>
      </c>
      <c r="AL5" s="67">
        <f t="shared" si="2"/>
        <v>0</v>
      </c>
      <c r="AM5" s="67">
        <f t="shared" si="2"/>
        <v>1</v>
      </c>
      <c r="AN5" s="67">
        <f t="shared" si="2"/>
        <v>0</v>
      </c>
      <c r="AO5" s="67">
        <f t="shared" si="2"/>
        <v>0</v>
      </c>
      <c r="AP5" s="67">
        <f t="shared" si="2"/>
        <v>0</v>
      </c>
      <c r="AQ5" s="76"/>
      <c r="AR5" s="76">
        <v>1</v>
      </c>
      <c r="AS5" s="77">
        <f>SUMPRODUCT(--(WEEKDAY(C$3:AG$3,2)&lt;5),--ISNUMBER(MATCH(C5:AG5,{"DM","CS1","CS2","SB1","AE","CS/B"},0)))</f>
        <v>2</v>
      </c>
      <c r="AT5" s="77"/>
      <c r="AU5" s="77">
        <f>SUMPRODUCT(--(WEEKDAY(C$3:AG$3,2)=5),--ISNUMBER(MATCH(C5:AG5,{"DM","CS1","CS2","SB1","AE","CS/B","WEEKEND OUTFIELD RESERVE"},0)))</f>
        <v>0</v>
      </c>
      <c r="AV5" s="77">
        <f>SUMPRODUCT(--(WEEKDAY(C$3:AG$3,2)&gt;5),--ISNUMBER(MATCH(C5:AG5,{"DM","CS1","CS2","SB1","AE","CS/B","WEEKEND OUTFIELD RESERVE"},0)))</f>
        <v>1</v>
      </c>
      <c r="AW5" s="77"/>
      <c r="AX5" s="77">
        <f t="shared" ref="AX5:AX46" si="3">(AS5-AT5)+AU5*1.5+(AV5-AW5)*2+AM5*0.5+AO5*0.5+AQ5-AR5</f>
        <v>3.5</v>
      </c>
      <c r="AY5" s="77">
        <f t="shared" ref="AY5:AY46" si="4">AS5+AU5+AV5</f>
        <v>3</v>
      </c>
      <c r="AZ5" s="77">
        <f t="shared" ref="AZ5:AZ46" si="5">BC5+BE5+BG5+BI5+BK5</f>
        <v>0</v>
      </c>
      <c r="BA5" s="76">
        <f t="shared" ref="BA5:BA46" si="6">AX5+BB5</f>
        <v>3.5</v>
      </c>
      <c r="BB5" s="77">
        <f t="shared" ref="BB5:BB46" si="7">BD5+BF5+BH5+BJ5+BL5</f>
        <v>0</v>
      </c>
      <c r="BC5" s="77">
        <f t="shared" ref="BC5:BC46" si="8">COUNTIF(A5:AH5,"*$BTP*")</f>
        <v>0</v>
      </c>
      <c r="BD5" s="77">
        <f t="shared" ref="BD5:BD46" si="9">BC5*1.5</f>
        <v>0</v>
      </c>
      <c r="BE5" s="77">
        <f t="shared" ref="BE5:BE46" si="10">COUNTIF(A5:AH5,"*$M*")</f>
        <v>0</v>
      </c>
      <c r="BF5" s="77">
        <f t="shared" ref="BF5:BF46" si="11">BE5*1</f>
        <v>0</v>
      </c>
      <c r="BG5" s="77">
        <f t="shared" ref="BG5:BG46" si="12">COUNTIF(A5:AH5,"*$PM*")</f>
        <v>0</v>
      </c>
      <c r="BH5" s="77">
        <f t="shared" ref="BH5:BH46" si="13">BG5*0.5</f>
        <v>0</v>
      </c>
      <c r="BI5" s="77">
        <f t="shared" ref="BI5:BI46" si="14">COUNTIF(A5:AH5,"*$AM*")</f>
        <v>0</v>
      </c>
      <c r="BJ5" s="77">
        <f t="shared" ref="BJ5:BJ46" si="15">BI5*0.5</f>
        <v>0</v>
      </c>
      <c r="BK5" s="77">
        <f t="shared" ref="BK5:BK46" si="16">COUNTIF(A5:AH5,"*$FC*")</f>
        <v>0</v>
      </c>
      <c r="BL5" s="77">
        <f t="shared" ref="BL5:BL46" si="17">BK5*1</f>
        <v>0</v>
      </c>
      <c r="BM5" s="77">
        <f>COUNTIF($D5:$Z5,BM$4)</f>
        <v>0</v>
      </c>
      <c r="BN5" s="77">
        <f>COUNTIF($D5:$Z5,BN$4)</f>
        <v>0</v>
      </c>
      <c r="BO5" s="77">
        <f>COUNTIF($D5:$Z5,BO$4)</f>
        <v>0</v>
      </c>
      <c r="BP5" s="77"/>
    </row>
    <row r="6" ht="73.5" customHeight="1" spans="1:68">
      <c r="A6" s="67"/>
      <c r="B6" s="77" t="s">
        <v>567</v>
      </c>
      <c r="C6" s="53"/>
      <c r="E6" s="53"/>
      <c r="F6" s="60" t="s">
        <v>350</v>
      </c>
      <c r="G6" s="60"/>
      <c r="H6" s="60" t="s">
        <v>770</v>
      </c>
      <c r="I6" s="53"/>
      <c r="J6" s="53"/>
      <c r="K6" s="60" t="s">
        <v>707</v>
      </c>
      <c r="L6" s="60" t="s">
        <v>928</v>
      </c>
      <c r="M6" s="53" t="s">
        <v>57</v>
      </c>
      <c r="N6" s="60"/>
      <c r="O6" s="60" t="s">
        <v>380</v>
      </c>
      <c r="P6" s="60" t="s">
        <v>380</v>
      </c>
      <c r="Q6" s="53" t="s">
        <v>56</v>
      </c>
      <c r="R6" s="53"/>
      <c r="S6" s="53" t="s">
        <v>162</v>
      </c>
      <c r="T6" s="53" t="s">
        <v>59</v>
      </c>
      <c r="U6" s="53"/>
      <c r="V6" s="53" t="s">
        <v>55</v>
      </c>
      <c r="W6" s="53" t="s">
        <v>929</v>
      </c>
      <c r="X6" s="53"/>
      <c r="Y6" s="53"/>
      <c r="Z6" s="53"/>
      <c r="AA6" s="53"/>
      <c r="AB6" s="60"/>
      <c r="AC6" s="53" t="s">
        <v>55</v>
      </c>
      <c r="AD6" s="53"/>
      <c r="AE6" s="78" t="s">
        <v>764</v>
      </c>
      <c r="AF6" s="53" t="s">
        <v>56</v>
      </c>
      <c r="AG6" s="53"/>
      <c r="AH6" s="67">
        <f t="shared" ref="AH6:AP6" si="18">COUNTIF($C6:$AF6,AH$4)</f>
        <v>1</v>
      </c>
      <c r="AI6" s="67">
        <f t="shared" si="18"/>
        <v>2</v>
      </c>
      <c r="AJ6" s="67">
        <f t="shared" si="18"/>
        <v>1</v>
      </c>
      <c r="AK6" s="67">
        <f t="shared" si="18"/>
        <v>0</v>
      </c>
      <c r="AL6" s="67">
        <f t="shared" si="18"/>
        <v>0</v>
      </c>
      <c r="AM6" s="67">
        <f t="shared" si="18"/>
        <v>0</v>
      </c>
      <c r="AN6" s="67">
        <f t="shared" si="18"/>
        <v>0</v>
      </c>
      <c r="AO6" s="67">
        <f t="shared" si="18"/>
        <v>0</v>
      </c>
      <c r="AP6" s="67">
        <f t="shared" si="18"/>
        <v>0</v>
      </c>
      <c r="AQ6" s="76"/>
      <c r="AR6" s="76">
        <v>2.5</v>
      </c>
      <c r="AS6" s="77">
        <f>SUMPRODUCT(--(WEEKDAY(C$3:AG$3,2)&lt;5),--ISNUMBER(MATCH(C6:AG6,{"DM","CS1","CS2","SB1","AE","CS/B"},0)))</f>
        <v>2</v>
      </c>
      <c r="AT6" s="77"/>
      <c r="AU6" s="77">
        <f>SUMPRODUCT(--(WEEKDAY(C$3:AG$3,2)=5),--ISNUMBER(MATCH(C6:AG6,{"DM","CS1","CS2","SB1","AE","CS/B","WEEKEND OUTFIELD RESERVE"},0)))</f>
        <v>0</v>
      </c>
      <c r="AV6" s="77">
        <f>SUMPRODUCT(--(WEEKDAY(C$3:AG$3,2)&gt;5),--ISNUMBER(MATCH(C6:AG6,{"DM","CS1","CS2","SB1","AE","CS/B","WEEKEND OUTFIELD RESERVE"},0)))</f>
        <v>2</v>
      </c>
      <c r="AW6" s="77"/>
      <c r="AX6" s="77">
        <f t="shared" si="3"/>
        <v>3.5</v>
      </c>
      <c r="AY6" s="77">
        <f t="shared" si="4"/>
        <v>4</v>
      </c>
      <c r="AZ6" s="77">
        <f t="shared" si="5"/>
        <v>1</v>
      </c>
      <c r="BA6" s="76">
        <f t="shared" si="6"/>
        <v>4</v>
      </c>
      <c r="BB6" s="77">
        <f t="shared" si="7"/>
        <v>0.5</v>
      </c>
      <c r="BC6" s="77">
        <f t="shared" si="8"/>
        <v>0</v>
      </c>
      <c r="BD6" s="77">
        <f t="shared" si="9"/>
        <v>0</v>
      </c>
      <c r="BE6" s="77">
        <f t="shared" si="10"/>
        <v>0</v>
      </c>
      <c r="BF6" s="77">
        <f t="shared" si="11"/>
        <v>0</v>
      </c>
      <c r="BG6" s="77">
        <f t="shared" si="12"/>
        <v>1</v>
      </c>
      <c r="BH6" s="77">
        <f t="shared" si="13"/>
        <v>0.5</v>
      </c>
      <c r="BI6" s="77">
        <f t="shared" si="14"/>
        <v>0</v>
      </c>
      <c r="BJ6" s="77">
        <f t="shared" si="15"/>
        <v>0</v>
      </c>
      <c r="BK6" s="77">
        <f t="shared" si="16"/>
        <v>0</v>
      </c>
      <c r="BL6" s="77">
        <f t="shared" si="17"/>
        <v>0</v>
      </c>
      <c r="BM6" s="77">
        <f>COUNTIF($D6:$AA6,BM$4)</f>
        <v>0</v>
      </c>
      <c r="BN6" s="77">
        <f>COUNTIF($D6:$AA6,BN$4)</f>
        <v>1</v>
      </c>
      <c r="BO6" s="77">
        <f>COUNTIF($D6:$AA6,BO$4)</f>
        <v>1</v>
      </c>
      <c r="BP6" s="77"/>
    </row>
    <row r="7" ht="19.5" customHeight="1" spans="1:68">
      <c r="A7" s="67"/>
      <c r="B7" s="74" t="s">
        <v>930</v>
      </c>
      <c r="C7" s="53" t="s">
        <v>57</v>
      </c>
      <c r="D7" s="53"/>
      <c r="E7" s="53"/>
      <c r="F7" s="60" t="s">
        <v>59</v>
      </c>
      <c r="G7" s="60"/>
      <c r="H7" s="60"/>
      <c r="I7" s="53" t="s">
        <v>350</v>
      </c>
      <c r="J7" s="60"/>
      <c r="K7" s="60" t="s">
        <v>881</v>
      </c>
      <c r="L7" s="53"/>
      <c r="M7" s="53"/>
      <c r="N7" s="53"/>
      <c r="O7" s="53" t="s">
        <v>350</v>
      </c>
      <c r="P7" s="60" t="s">
        <v>931</v>
      </c>
      <c r="Q7" s="53"/>
      <c r="R7" s="53" t="s">
        <v>57</v>
      </c>
      <c r="S7" s="53"/>
      <c r="T7" s="53"/>
      <c r="U7" s="53"/>
      <c r="V7" s="60"/>
      <c r="W7" s="60" t="s">
        <v>54</v>
      </c>
      <c r="X7" s="60" t="s">
        <v>54</v>
      </c>
      <c r="Y7" s="60" t="s">
        <v>54</v>
      </c>
      <c r="Z7" s="60" t="s">
        <v>54</v>
      </c>
      <c r="AA7" s="53"/>
      <c r="AB7" s="53"/>
      <c r="AC7" s="53"/>
      <c r="AD7" s="53" t="s">
        <v>57</v>
      </c>
      <c r="AE7" s="79"/>
      <c r="AF7" s="60" t="s">
        <v>767</v>
      </c>
      <c r="AG7" s="60"/>
      <c r="AH7" s="67">
        <f t="shared" ref="AH7:AP7" si="19">COUNTIF($C7:$AF7,AH$4)</f>
        <v>3</v>
      </c>
      <c r="AI7" s="67">
        <f t="shared" si="19"/>
        <v>0</v>
      </c>
      <c r="AJ7" s="67">
        <f t="shared" si="19"/>
        <v>1</v>
      </c>
      <c r="AK7" s="67">
        <f t="shared" si="19"/>
        <v>0</v>
      </c>
      <c r="AL7" s="67">
        <f t="shared" si="19"/>
        <v>0</v>
      </c>
      <c r="AM7" s="67">
        <f t="shared" si="19"/>
        <v>0</v>
      </c>
      <c r="AN7" s="67">
        <f t="shared" si="19"/>
        <v>0</v>
      </c>
      <c r="AO7" s="67">
        <f t="shared" si="19"/>
        <v>1</v>
      </c>
      <c r="AP7" s="67">
        <f t="shared" si="19"/>
        <v>0</v>
      </c>
      <c r="AQ7" s="76">
        <v>1</v>
      </c>
      <c r="AR7" s="76"/>
      <c r="AS7" s="77">
        <f>SUMPRODUCT(--(WEEKDAY(C$3:AG$3,2)&lt;5),--ISNUMBER(MATCH(C7:AG7,{"DM","CS1","CS2","SB1","AE","CS/B"},0)))</f>
        <v>3</v>
      </c>
      <c r="AT7" s="77"/>
      <c r="AU7" s="77">
        <f>SUMPRODUCT(--(WEEKDAY(C$3:AG$3,2)=5),--ISNUMBER(MATCH(C7:AG7,{"DM","CS1","CS2","SB1","AE","CS/B","WEEKEND OUTFIELD RESERVE"},0)))</f>
        <v>0</v>
      </c>
      <c r="AV7" s="77">
        <f>SUMPRODUCT(--(WEEKDAY(C$3:AG$3,2)&gt;5),--ISNUMBER(MATCH(C7:AG7,{"DM","CS1","CS2","SB1","AE","CS/B","WEEKEND OUTFIELD RESERVE"},0)))</f>
        <v>1</v>
      </c>
      <c r="AW7" s="77"/>
      <c r="AX7" s="77">
        <f t="shared" si="3"/>
        <v>6.5</v>
      </c>
      <c r="AY7" s="77">
        <f t="shared" si="4"/>
        <v>4</v>
      </c>
      <c r="AZ7" s="77">
        <f t="shared" si="5"/>
        <v>2</v>
      </c>
      <c r="BA7" s="76">
        <f t="shared" si="6"/>
        <v>7.5</v>
      </c>
      <c r="BB7" s="77">
        <f t="shared" si="7"/>
        <v>1</v>
      </c>
      <c r="BC7" s="77">
        <f t="shared" si="8"/>
        <v>0</v>
      </c>
      <c r="BD7" s="77">
        <f t="shared" si="9"/>
        <v>0</v>
      </c>
      <c r="BE7" s="77">
        <f t="shared" si="10"/>
        <v>0</v>
      </c>
      <c r="BF7" s="77">
        <f t="shared" si="11"/>
        <v>0</v>
      </c>
      <c r="BG7" s="77">
        <f t="shared" si="12"/>
        <v>0</v>
      </c>
      <c r="BH7" s="77">
        <f t="shared" si="13"/>
        <v>0</v>
      </c>
      <c r="BI7" s="77">
        <f t="shared" si="14"/>
        <v>2</v>
      </c>
      <c r="BJ7" s="77">
        <f t="shared" si="15"/>
        <v>1</v>
      </c>
      <c r="BK7" s="77">
        <f t="shared" si="16"/>
        <v>0</v>
      </c>
      <c r="BL7" s="77">
        <f t="shared" si="17"/>
        <v>0</v>
      </c>
      <c r="BM7" s="77">
        <f>COUNTIF($D7:$X7,BM$4)</f>
        <v>0</v>
      </c>
      <c r="BN7" s="77">
        <f>COUNTIF($D7:$X7,BN$4)</f>
        <v>2</v>
      </c>
      <c r="BO7" s="77">
        <f>COUNTIF($D7:$X7,BO$4)</f>
        <v>0</v>
      </c>
      <c r="BP7" s="77"/>
    </row>
    <row r="8" ht="56.25" customHeight="1" spans="1:68">
      <c r="A8" s="67"/>
      <c r="B8" s="77" t="s">
        <v>714</v>
      </c>
      <c r="C8" s="67" t="s">
        <v>57</v>
      </c>
      <c r="D8" s="60"/>
      <c r="E8" s="53"/>
      <c r="F8" s="60"/>
      <c r="G8" s="60"/>
      <c r="H8" s="53" t="s">
        <v>57</v>
      </c>
      <c r="I8" s="60"/>
      <c r="J8" s="60"/>
      <c r="K8" s="53"/>
      <c r="L8" s="53" t="s">
        <v>59</v>
      </c>
      <c r="M8" s="53"/>
      <c r="N8" s="60"/>
      <c r="P8" s="53" t="s">
        <v>57</v>
      </c>
      <c r="Q8" s="53"/>
      <c r="R8" s="53"/>
      <c r="S8" s="60" t="s">
        <v>573</v>
      </c>
      <c r="T8" s="53"/>
      <c r="U8" s="60" t="s">
        <v>350</v>
      </c>
      <c r="V8" s="60"/>
      <c r="W8" s="53"/>
      <c r="X8" s="53" t="s">
        <v>61</v>
      </c>
      <c r="Y8" s="53"/>
      <c r="Z8" s="53"/>
      <c r="AB8" s="60" t="s">
        <v>56</v>
      </c>
      <c r="AC8" s="60"/>
      <c r="AE8" s="80" t="s">
        <v>350</v>
      </c>
      <c r="AF8" s="60"/>
      <c r="AG8" s="60"/>
      <c r="AH8" s="67">
        <f t="shared" ref="AH8:AP8" si="20">COUNTIF($C8:$AF8,AH$4)</f>
        <v>3</v>
      </c>
      <c r="AI8" s="67">
        <f t="shared" si="20"/>
        <v>1</v>
      </c>
      <c r="AJ8" s="67">
        <f t="shared" si="20"/>
        <v>1</v>
      </c>
      <c r="AK8" s="67">
        <f t="shared" si="20"/>
        <v>0</v>
      </c>
      <c r="AL8" s="67">
        <f t="shared" si="20"/>
        <v>0</v>
      </c>
      <c r="AM8" s="67">
        <f t="shared" si="20"/>
        <v>0</v>
      </c>
      <c r="AN8" s="67">
        <f t="shared" si="20"/>
        <v>0</v>
      </c>
      <c r="AO8" s="67">
        <f t="shared" si="20"/>
        <v>0</v>
      </c>
      <c r="AP8" s="67">
        <f t="shared" si="20"/>
        <v>0</v>
      </c>
      <c r="AQ8" s="76">
        <v>2</v>
      </c>
      <c r="AR8" s="76"/>
      <c r="AS8" s="77">
        <f>SUMPRODUCT(--(WEEKDAY(C$3:AG$3,2)&lt;5),--ISNUMBER(MATCH(C8:AG8,{"DM","CS1","CS2","SB1","AE","CS/B"},0)))</f>
        <v>3</v>
      </c>
      <c r="AT8" s="77"/>
      <c r="AU8" s="77">
        <f>SUMPRODUCT(--(WEEKDAY(C$3:AG$3,2)=5),--ISNUMBER(MATCH(C8:AG8,{"DM","CS1","CS2","SB1","AE","CS/B","WEEKEND OUTFIELD RESERVE"},0)))</f>
        <v>1</v>
      </c>
      <c r="AV8" s="77">
        <f>SUMPRODUCT(--(WEEKDAY(C$3:AG$3,2)&gt;5),--ISNUMBER(MATCH(C8:AG8,{"DM","CS1","CS2","SB1","AE","CS/B","WEEKEND OUTFIELD RESERVE"},0)))</f>
        <v>1</v>
      </c>
      <c r="AW8" s="77"/>
      <c r="AX8" s="77">
        <f t="shared" si="3"/>
        <v>8.5</v>
      </c>
      <c r="AY8" s="77">
        <f t="shared" si="4"/>
        <v>5</v>
      </c>
      <c r="AZ8" s="77">
        <f t="shared" si="5"/>
        <v>0</v>
      </c>
      <c r="BA8" s="76">
        <f t="shared" si="6"/>
        <v>8.5</v>
      </c>
      <c r="BB8" s="77">
        <f t="shared" si="7"/>
        <v>0</v>
      </c>
      <c r="BC8" s="77">
        <f t="shared" si="8"/>
        <v>0</v>
      </c>
      <c r="BD8" s="77">
        <f t="shared" si="9"/>
        <v>0</v>
      </c>
      <c r="BE8" s="77">
        <f t="shared" si="10"/>
        <v>0</v>
      </c>
      <c r="BF8" s="77">
        <f t="shared" si="11"/>
        <v>0</v>
      </c>
      <c r="BG8" s="77">
        <f t="shared" si="12"/>
        <v>0</v>
      </c>
      <c r="BH8" s="77">
        <f t="shared" si="13"/>
        <v>0</v>
      </c>
      <c r="BI8" s="77">
        <f t="shared" si="14"/>
        <v>0</v>
      </c>
      <c r="BJ8" s="77">
        <f t="shared" si="15"/>
        <v>0</v>
      </c>
      <c r="BK8" s="77">
        <f t="shared" si="16"/>
        <v>0</v>
      </c>
      <c r="BL8" s="77">
        <f t="shared" si="17"/>
        <v>0</v>
      </c>
      <c r="BM8" s="77">
        <f>COUNTIF($D8:$AA8,BM$4)</f>
        <v>0</v>
      </c>
      <c r="BN8" s="77">
        <f>COUNTIF($D8:$AA8,BN$4)</f>
        <v>1</v>
      </c>
      <c r="BO8" s="77">
        <f>COUNTIF($D8:$AA8,BO$4)</f>
        <v>0</v>
      </c>
      <c r="BP8" s="77"/>
    </row>
    <row r="9" ht="19.5" customHeight="1" spans="1:68">
      <c r="A9" s="67"/>
      <c r="B9" s="77" t="s">
        <v>715</v>
      </c>
      <c r="C9" s="60" t="s">
        <v>58</v>
      </c>
      <c r="D9" s="60"/>
      <c r="E9" s="60"/>
      <c r="F9" s="60"/>
      <c r="G9" s="60"/>
      <c r="H9" s="60" t="s">
        <v>350</v>
      </c>
      <c r="I9" s="53"/>
      <c r="J9" s="53" t="s">
        <v>57</v>
      </c>
      <c r="K9" s="53"/>
      <c r="L9" s="53"/>
      <c r="N9" s="60"/>
      <c r="O9" s="53" t="s">
        <v>57</v>
      </c>
      <c r="Q9" s="60"/>
      <c r="R9" s="60" t="s">
        <v>566</v>
      </c>
      <c r="S9" s="53"/>
      <c r="T9" s="60"/>
      <c r="U9" s="53"/>
      <c r="V9" s="60" t="s">
        <v>573</v>
      </c>
      <c r="W9" s="53"/>
      <c r="X9" s="53" t="s">
        <v>59</v>
      </c>
      <c r="Y9" s="60"/>
      <c r="Z9" s="60" t="s">
        <v>350</v>
      </c>
      <c r="AA9" s="60" t="s">
        <v>58</v>
      </c>
      <c r="AB9" s="53"/>
      <c r="AC9" s="53" t="s">
        <v>350</v>
      </c>
      <c r="AD9" s="53"/>
      <c r="AE9" s="81" t="s">
        <v>56</v>
      </c>
      <c r="AF9" s="53"/>
      <c r="AG9" s="60"/>
      <c r="AH9" s="67">
        <f t="shared" ref="AH9:AP9" si="21">COUNTIF($C9:$AF9,AH$4)</f>
        <v>2</v>
      </c>
      <c r="AI9" s="67">
        <f t="shared" si="21"/>
        <v>1</v>
      </c>
      <c r="AJ9" s="67">
        <f t="shared" si="21"/>
        <v>1</v>
      </c>
      <c r="AK9" s="67">
        <f t="shared" si="21"/>
        <v>1</v>
      </c>
      <c r="AL9" s="67">
        <f t="shared" si="21"/>
        <v>2</v>
      </c>
      <c r="AM9" s="67">
        <f t="shared" si="21"/>
        <v>0</v>
      </c>
      <c r="AN9" s="67">
        <f t="shared" si="21"/>
        <v>0</v>
      </c>
      <c r="AO9" s="67">
        <f t="shared" si="21"/>
        <v>0</v>
      </c>
      <c r="AP9" s="67">
        <f t="shared" si="21"/>
        <v>0</v>
      </c>
      <c r="AQ9" s="76">
        <v>2.5</v>
      </c>
      <c r="AR9" s="76"/>
      <c r="AS9" s="77">
        <f>SUMPRODUCT(--(WEEKDAY(C$3:AG$3,2)&lt;5),--ISNUMBER(MATCH(C9:AG9,{"DM","CS1","CS2","SB1","AE","CS/B"},0)))</f>
        <v>6</v>
      </c>
      <c r="AT9" s="77">
        <v>0</v>
      </c>
      <c r="AU9" s="77">
        <f>SUMPRODUCT(--(WEEKDAY(C$3:AG$3,2)=5),--ISNUMBER(MATCH(C9:AG9,{"DM","CS1","CS2","SB1","AE","CS/B","WEEKEND OUTFIELD RESERVE"},0)))</f>
        <v>0</v>
      </c>
      <c r="AV9" s="77">
        <f>SUMPRODUCT(--(WEEKDAY(C$3:AG$3,2)&gt;5),--ISNUMBER(MATCH(C9:AG9,{"DM","CS1","CS2","SB1","AE","CS/B","WEEKEND OUTFIELD RESERVE"},0)))</f>
        <v>1</v>
      </c>
      <c r="AW9" s="77"/>
      <c r="AX9" s="77">
        <f t="shared" si="3"/>
        <v>10.5</v>
      </c>
      <c r="AY9" s="77">
        <f t="shared" si="4"/>
        <v>7</v>
      </c>
      <c r="AZ9" s="77">
        <f t="shared" si="5"/>
        <v>0</v>
      </c>
      <c r="BA9" s="76">
        <f t="shared" si="6"/>
        <v>10.5</v>
      </c>
      <c r="BB9" s="77">
        <f t="shared" si="7"/>
        <v>0</v>
      </c>
      <c r="BC9" s="77">
        <f t="shared" si="8"/>
        <v>0</v>
      </c>
      <c r="BD9" s="77">
        <f t="shared" si="9"/>
        <v>0</v>
      </c>
      <c r="BE9" s="77">
        <f t="shared" si="10"/>
        <v>0</v>
      </c>
      <c r="BF9" s="77">
        <f t="shared" si="11"/>
        <v>0</v>
      </c>
      <c r="BG9" s="77">
        <f t="shared" si="12"/>
        <v>0</v>
      </c>
      <c r="BH9" s="77">
        <f t="shared" si="13"/>
        <v>0</v>
      </c>
      <c r="BI9" s="77">
        <f t="shared" si="14"/>
        <v>0</v>
      </c>
      <c r="BJ9" s="77">
        <f t="shared" si="15"/>
        <v>0</v>
      </c>
      <c r="BK9" s="77">
        <f t="shared" si="16"/>
        <v>0</v>
      </c>
      <c r="BL9" s="77">
        <f t="shared" si="17"/>
        <v>0</v>
      </c>
      <c r="BM9" s="77">
        <f>COUNTIF($D9:$AA9,BM$4)</f>
        <v>0</v>
      </c>
      <c r="BN9" s="77">
        <f>COUNTIF($D9:$AA9,BN$4)</f>
        <v>2</v>
      </c>
      <c r="BO9" s="77">
        <f>COUNTIF($D9:$AA9,BO$4)</f>
        <v>0</v>
      </c>
      <c r="BP9" s="77"/>
    </row>
    <row r="10" ht="51" customHeight="1" spans="1:68">
      <c r="A10" s="67"/>
      <c r="B10" s="74" t="s">
        <v>584</v>
      </c>
      <c r="C10" s="60"/>
      <c r="D10" s="53" t="s">
        <v>350</v>
      </c>
      <c r="E10" s="60"/>
      <c r="F10" s="60"/>
      <c r="G10" s="60"/>
      <c r="H10" s="60" t="s">
        <v>57</v>
      </c>
      <c r="I10" s="53"/>
      <c r="J10" s="60"/>
      <c r="K10" s="60" t="s">
        <v>350</v>
      </c>
      <c r="L10" s="60"/>
      <c r="M10" s="53"/>
      <c r="N10" s="1" t="s">
        <v>350</v>
      </c>
      <c r="O10" s="53"/>
      <c r="P10" s="60"/>
      <c r="Q10" s="60"/>
      <c r="R10" s="60" t="s">
        <v>55</v>
      </c>
      <c r="S10" s="53" t="s">
        <v>59</v>
      </c>
      <c r="T10" s="60"/>
      <c r="U10" s="53"/>
      <c r="V10" s="53" t="s">
        <v>350</v>
      </c>
      <c r="W10" s="53"/>
      <c r="X10" s="53"/>
      <c r="Y10" s="60"/>
      <c r="Z10" s="53" t="s">
        <v>57</v>
      </c>
      <c r="AA10" s="60"/>
      <c r="AB10" s="60" t="s">
        <v>350</v>
      </c>
      <c r="AC10" s="53"/>
      <c r="AD10" s="53"/>
      <c r="AE10" s="82" t="s">
        <v>59</v>
      </c>
      <c r="AF10" s="53"/>
      <c r="AG10" s="53"/>
      <c r="AH10" s="67">
        <f t="shared" ref="AH10:AP10" si="22">COUNTIF($C10:$AF10,AH$4)</f>
        <v>2</v>
      </c>
      <c r="AI10" s="67">
        <f t="shared" si="22"/>
        <v>0</v>
      </c>
      <c r="AJ10" s="67">
        <f t="shared" si="22"/>
        <v>2</v>
      </c>
      <c r="AK10" s="67">
        <f t="shared" si="22"/>
        <v>0</v>
      </c>
      <c r="AL10" s="67">
        <f t="shared" si="22"/>
        <v>0</v>
      </c>
      <c r="AM10" s="67">
        <f t="shared" si="22"/>
        <v>0</v>
      </c>
      <c r="AN10" s="67">
        <f t="shared" si="22"/>
        <v>0</v>
      </c>
      <c r="AO10" s="67">
        <f t="shared" si="22"/>
        <v>0</v>
      </c>
      <c r="AP10" s="67">
        <f t="shared" si="22"/>
        <v>0</v>
      </c>
      <c r="AQ10" s="76">
        <v>2</v>
      </c>
      <c r="AR10" s="76"/>
      <c r="AS10" s="77">
        <f>SUMPRODUCT(--(WEEKDAY(C$3:AG$3,2)&lt;5),--ISNUMBER(MATCH(C10:AG10,{"DM","CS1","CS2","SB1","AE","CS/B"},0)))</f>
        <v>2</v>
      </c>
      <c r="AT10" s="77"/>
      <c r="AU10" s="77">
        <f>SUMPRODUCT(--(WEEKDAY(C$3:AG$3,2)=5),--ISNUMBER(MATCH(C10:AG10,{"DM","CS1","CS2","SB1","AE","CS/B","WEEKEND OUTFIELD RESERVE"},0)))</f>
        <v>2</v>
      </c>
      <c r="AV10" s="77">
        <f>SUMPRODUCT(--(WEEKDAY(C$3:AG$3,2)&gt;5),--ISNUMBER(MATCH(C10:AG10,{"DM","CS1","CS2","SB1","AE","CS/B","WEEKEND OUTFIELD RESERVE"},0)))</f>
        <v>0</v>
      </c>
      <c r="AW10" s="77"/>
      <c r="AX10" s="77">
        <f t="shared" si="3"/>
        <v>7</v>
      </c>
      <c r="AY10" s="77">
        <f t="shared" si="4"/>
        <v>4</v>
      </c>
      <c r="AZ10" s="77">
        <f t="shared" si="5"/>
        <v>0</v>
      </c>
      <c r="BA10" s="76">
        <f t="shared" si="6"/>
        <v>7</v>
      </c>
      <c r="BB10" s="77">
        <f t="shared" si="7"/>
        <v>0</v>
      </c>
      <c r="BC10" s="77">
        <f t="shared" si="8"/>
        <v>0</v>
      </c>
      <c r="BD10" s="77">
        <f t="shared" si="9"/>
        <v>0</v>
      </c>
      <c r="BE10" s="77">
        <f t="shared" si="10"/>
        <v>0</v>
      </c>
      <c r="BF10" s="77">
        <f t="shared" si="11"/>
        <v>0</v>
      </c>
      <c r="BG10" s="77">
        <f t="shared" si="12"/>
        <v>0</v>
      </c>
      <c r="BH10" s="77">
        <f t="shared" si="13"/>
        <v>0</v>
      </c>
      <c r="BI10" s="77">
        <f t="shared" si="14"/>
        <v>0</v>
      </c>
      <c r="BJ10" s="77">
        <f t="shared" si="15"/>
        <v>0</v>
      </c>
      <c r="BK10" s="77">
        <f t="shared" si="16"/>
        <v>0</v>
      </c>
      <c r="BL10" s="77">
        <f t="shared" si="17"/>
        <v>0</v>
      </c>
      <c r="BM10" s="77">
        <f>COUNTIF($D10:$AA10,BM$4)</f>
        <v>0</v>
      </c>
      <c r="BN10" s="77">
        <f>COUNTIF($D10:$AA10,BN$4)</f>
        <v>4</v>
      </c>
      <c r="BO10" s="77">
        <f>COUNTIF($D10:$AA10,BO$4)</f>
        <v>1</v>
      </c>
      <c r="BP10" s="77"/>
    </row>
    <row r="11" ht="45" customHeight="1" spans="1:68">
      <c r="A11" s="67"/>
      <c r="B11" s="74" t="s">
        <v>717</v>
      </c>
      <c r="C11" s="60" t="s">
        <v>71</v>
      </c>
      <c r="D11" s="60" t="s">
        <v>71</v>
      </c>
      <c r="E11" s="60" t="s">
        <v>71</v>
      </c>
      <c r="F11" s="60" t="s">
        <v>71</v>
      </c>
      <c r="G11" s="60" t="s">
        <v>71</v>
      </c>
      <c r="H11" s="60" t="s">
        <v>71</v>
      </c>
      <c r="I11" s="60" t="s">
        <v>71</v>
      </c>
      <c r="J11" s="60" t="s">
        <v>71</v>
      </c>
      <c r="K11" s="60" t="s">
        <v>71</v>
      </c>
      <c r="L11" s="60" t="s">
        <v>71</v>
      </c>
      <c r="M11" s="60" t="s">
        <v>71</v>
      </c>
      <c r="N11" s="60" t="s">
        <v>71</v>
      </c>
      <c r="O11" s="60" t="s">
        <v>71</v>
      </c>
      <c r="P11" s="60" t="s">
        <v>71</v>
      </c>
      <c r="Q11" s="60" t="s">
        <v>71</v>
      </c>
      <c r="R11" s="60" t="s">
        <v>71</v>
      </c>
      <c r="S11" s="60" t="s">
        <v>71</v>
      </c>
      <c r="T11" s="60" t="s">
        <v>71</v>
      </c>
      <c r="U11" s="60" t="s">
        <v>71</v>
      </c>
      <c r="V11" s="60" t="s">
        <v>71</v>
      </c>
      <c r="W11" s="60" t="s">
        <v>71</v>
      </c>
      <c r="X11" s="60" t="s">
        <v>71</v>
      </c>
      <c r="Y11" s="60" t="s">
        <v>71</v>
      </c>
      <c r="Z11" s="60" t="s">
        <v>71</v>
      </c>
      <c r="AA11" s="53"/>
      <c r="AB11" s="60" t="s">
        <v>566</v>
      </c>
      <c r="AC11" s="53"/>
      <c r="AD11" s="53"/>
      <c r="AE11" s="83" t="s">
        <v>61</v>
      </c>
      <c r="AF11" s="53" t="s">
        <v>566</v>
      </c>
      <c r="AG11" s="53"/>
      <c r="AH11" s="67">
        <f t="shared" ref="AH11:AP11" si="23">COUNTIF($C11:$Z11,AH$4)</f>
        <v>0</v>
      </c>
      <c r="AI11" s="67">
        <f t="shared" si="23"/>
        <v>0</v>
      </c>
      <c r="AJ11" s="67">
        <f t="shared" si="23"/>
        <v>0</v>
      </c>
      <c r="AK11" s="67">
        <f t="shared" si="23"/>
        <v>0</v>
      </c>
      <c r="AL11" s="67">
        <f t="shared" si="23"/>
        <v>0</v>
      </c>
      <c r="AM11" s="67">
        <f t="shared" si="23"/>
        <v>0</v>
      </c>
      <c r="AN11" s="67">
        <f t="shared" si="23"/>
        <v>0</v>
      </c>
      <c r="AO11" s="67">
        <f t="shared" si="23"/>
        <v>0</v>
      </c>
      <c r="AP11" s="67">
        <f t="shared" si="23"/>
        <v>0</v>
      </c>
      <c r="AQ11" s="76"/>
      <c r="AR11" s="76">
        <v>3</v>
      </c>
      <c r="AS11" s="77">
        <f>SUMPRODUCT(--(WEEKDAY(C$3:AG$3,2)&lt;5),--ISNUMBER(MATCH(C11:AG11,{"DM","CS1","CS2","SB1","AE","CS/B"},0)))</f>
        <v>1</v>
      </c>
      <c r="AT11" s="77"/>
      <c r="AU11" s="77">
        <f>SUMPRODUCT(--(WEEKDAY(C$3:AG$3,2)=5),--ISNUMBER(MATCH(C11:AG11,{"DM","CS1","CS2","SB1","AE","CS/B","WEEKEND OUTFIELD RESERVE"},0)))</f>
        <v>0</v>
      </c>
      <c r="AV11" s="77">
        <f>SUMPRODUCT(--(WEEKDAY(C$3:AG$3,2)&gt;5),--ISNUMBER(MATCH(C11:AG11,{"DM","CS1","CS2","SB1","AE","CS/B","WEEKEND OUTFIELD RESERVE"},0)))</f>
        <v>1</v>
      </c>
      <c r="AW11" s="77"/>
      <c r="AX11" s="77">
        <f t="shared" si="3"/>
        <v>0</v>
      </c>
      <c r="AY11" s="77">
        <f t="shared" si="4"/>
        <v>2</v>
      </c>
      <c r="AZ11" s="77">
        <f t="shared" si="5"/>
        <v>0</v>
      </c>
      <c r="BA11" s="76">
        <f t="shared" si="6"/>
        <v>0</v>
      </c>
      <c r="BB11" s="77">
        <f t="shared" si="7"/>
        <v>0</v>
      </c>
      <c r="BC11" s="77">
        <f t="shared" si="8"/>
        <v>0</v>
      </c>
      <c r="BD11" s="77">
        <f t="shared" si="9"/>
        <v>0</v>
      </c>
      <c r="BE11" s="77">
        <f t="shared" si="10"/>
        <v>0</v>
      </c>
      <c r="BF11" s="77">
        <f t="shared" si="11"/>
        <v>0</v>
      </c>
      <c r="BG11" s="77">
        <f t="shared" si="12"/>
        <v>0</v>
      </c>
      <c r="BH11" s="77">
        <f t="shared" si="13"/>
        <v>0</v>
      </c>
      <c r="BI11" s="77">
        <f t="shared" si="14"/>
        <v>0</v>
      </c>
      <c r="BJ11" s="77">
        <f t="shared" si="15"/>
        <v>0</v>
      </c>
      <c r="BK11" s="77">
        <f t="shared" si="16"/>
        <v>0</v>
      </c>
      <c r="BL11" s="77">
        <f t="shared" si="17"/>
        <v>0</v>
      </c>
      <c r="BM11" s="77">
        <f>COUNTIF($D11:$Z11,BM$4)</f>
        <v>0</v>
      </c>
      <c r="BN11" s="77">
        <f>COUNTIF($D11:$Z11,BN$4)</f>
        <v>0</v>
      </c>
      <c r="BO11" s="77">
        <f>COUNTIF($D11:$Z11,BO$4)</f>
        <v>0</v>
      </c>
      <c r="BP11" s="77"/>
    </row>
    <row r="12" ht="25.5" spans="1:68">
      <c r="A12" s="67"/>
      <c r="B12" s="77" t="s">
        <v>591</v>
      </c>
      <c r="C12" s="60"/>
      <c r="D12" s="60"/>
      <c r="E12" s="60"/>
      <c r="F12" s="60"/>
      <c r="G12" s="53"/>
      <c r="H12" s="60"/>
      <c r="I12" s="60"/>
      <c r="J12" s="60" t="s">
        <v>56</v>
      </c>
      <c r="K12" s="60"/>
      <c r="L12" s="60"/>
      <c r="M12" s="60" t="s">
        <v>58</v>
      </c>
      <c r="N12" s="60"/>
      <c r="O12" s="60"/>
      <c r="P12" s="60"/>
      <c r="Q12" s="53"/>
      <c r="R12" s="53" t="s">
        <v>56</v>
      </c>
      <c r="S12" s="53"/>
      <c r="T12" s="60"/>
      <c r="U12" s="53"/>
      <c r="V12" s="60" t="s">
        <v>566</v>
      </c>
      <c r="W12" s="53"/>
      <c r="X12" s="60"/>
      <c r="Y12" s="60"/>
      <c r="Z12" s="60" t="s">
        <v>56</v>
      </c>
      <c r="AA12" s="60"/>
      <c r="AB12" s="53"/>
      <c r="AC12" s="53"/>
      <c r="AD12" s="60" t="s">
        <v>350</v>
      </c>
      <c r="AE12" s="84"/>
      <c r="AF12" s="53" t="s">
        <v>65</v>
      </c>
      <c r="AG12" s="60"/>
      <c r="AH12" s="67">
        <f t="shared" ref="AH12:AP12" si="24">COUNTIF($C12:$AF12,AH$4)</f>
        <v>0</v>
      </c>
      <c r="AI12" s="67">
        <f t="shared" si="24"/>
        <v>3</v>
      </c>
      <c r="AJ12" s="67">
        <f t="shared" si="24"/>
        <v>0</v>
      </c>
      <c r="AK12" s="67">
        <f t="shared" si="24"/>
        <v>1</v>
      </c>
      <c r="AL12" s="67">
        <f t="shared" si="24"/>
        <v>1</v>
      </c>
      <c r="AM12" s="67">
        <f t="shared" si="24"/>
        <v>0</v>
      </c>
      <c r="AN12" s="67">
        <f t="shared" si="24"/>
        <v>1</v>
      </c>
      <c r="AO12" s="67">
        <f t="shared" si="24"/>
        <v>0</v>
      </c>
      <c r="AP12" s="67">
        <f t="shared" si="24"/>
        <v>0</v>
      </c>
      <c r="AQ12" s="76"/>
      <c r="AR12" s="76">
        <v>1</v>
      </c>
      <c r="AS12" s="77">
        <f>SUMPRODUCT(--(WEEKDAY(C$3:AG$3,2)&lt;5),--ISNUMBER(MATCH(C12:AG12,{"DM","CS1","CS2","SB1","AE","CS/B"},0)))</f>
        <v>4</v>
      </c>
      <c r="AT12" s="77"/>
      <c r="AU12" s="77">
        <f>SUMPRODUCT(--(WEEKDAY(C$3:AG$3,2)=5),--ISNUMBER(MATCH(C12:AG12,{"DM","CS1","CS2","SB1","AE","CS/B","WEEKEND OUTFIELD RESERVE"},0)))</f>
        <v>1</v>
      </c>
      <c r="AV12" s="77">
        <f>SUMPRODUCT(--(WEEKDAY(C$3:AG$3,2)&gt;5),--ISNUMBER(MATCH(C12:AG12,{"DM","CS1","CS2","SB1","AE","CS/B","WEEKEND OUTFIELD RESERVE"},0)))</f>
        <v>1</v>
      </c>
      <c r="AW12" s="77"/>
      <c r="AX12" s="77">
        <f t="shared" si="3"/>
        <v>6.5</v>
      </c>
      <c r="AY12" s="77">
        <f t="shared" si="4"/>
        <v>6</v>
      </c>
      <c r="AZ12" s="77">
        <f t="shared" si="5"/>
        <v>0</v>
      </c>
      <c r="BA12" s="76">
        <f t="shared" si="6"/>
        <v>6.5</v>
      </c>
      <c r="BB12" s="77">
        <f t="shared" si="7"/>
        <v>0</v>
      </c>
      <c r="BC12" s="77">
        <f t="shared" si="8"/>
        <v>0</v>
      </c>
      <c r="BD12" s="77">
        <f t="shared" si="9"/>
        <v>0</v>
      </c>
      <c r="BE12" s="77">
        <f t="shared" si="10"/>
        <v>0</v>
      </c>
      <c r="BF12" s="77">
        <f t="shared" si="11"/>
        <v>0</v>
      </c>
      <c r="BG12" s="77">
        <f t="shared" si="12"/>
        <v>0</v>
      </c>
      <c r="BH12" s="77">
        <f t="shared" si="13"/>
        <v>0</v>
      </c>
      <c r="BI12" s="77">
        <f t="shared" si="14"/>
        <v>0</v>
      </c>
      <c r="BJ12" s="77">
        <f t="shared" si="15"/>
        <v>0</v>
      </c>
      <c r="BK12" s="77">
        <f t="shared" si="16"/>
        <v>0</v>
      </c>
      <c r="BL12" s="77">
        <f t="shared" si="17"/>
        <v>0</v>
      </c>
      <c r="BM12" s="77">
        <f t="shared" ref="BM12:BM23" si="25">COUNTIF($D12:$AA12,BM$4)</f>
        <v>0</v>
      </c>
      <c r="BN12" s="77">
        <f t="shared" ref="BN12:BN23" si="26">COUNTIF($D12:$AA12,BN$4)</f>
        <v>0</v>
      </c>
      <c r="BO12" s="77">
        <f t="shared" ref="BO12:BO23" si="27">COUNTIF($D12:$AA12,BO$4)</f>
        <v>0</v>
      </c>
      <c r="BP12" s="77"/>
    </row>
    <row r="13" ht="47.25" customHeight="1" spans="1:68">
      <c r="A13" s="67"/>
      <c r="B13" s="76" t="s">
        <v>718</v>
      </c>
      <c r="C13" s="60"/>
      <c r="D13" s="53"/>
      <c r="E13" s="60" t="s">
        <v>65</v>
      </c>
      <c r="F13" s="53"/>
      <c r="G13" s="53"/>
      <c r="H13" s="60"/>
      <c r="I13" s="60"/>
      <c r="J13" s="60" t="s">
        <v>350</v>
      </c>
      <c r="K13" s="60"/>
      <c r="L13" s="53" t="s">
        <v>56</v>
      </c>
      <c r="M13" s="60"/>
      <c r="N13" s="60"/>
      <c r="P13" s="60"/>
      <c r="Q13" s="60"/>
      <c r="R13" s="60"/>
      <c r="S13" s="60" t="s">
        <v>350</v>
      </c>
      <c r="T13" s="53"/>
      <c r="U13" s="60"/>
      <c r="V13" s="60"/>
      <c r="W13" s="60" t="s">
        <v>69</v>
      </c>
      <c r="X13" s="60"/>
      <c r="Y13" s="60"/>
      <c r="Z13" s="60"/>
      <c r="AA13" s="53" t="s">
        <v>932</v>
      </c>
      <c r="AB13" s="53"/>
      <c r="AE13" s="79"/>
      <c r="AF13" s="53"/>
      <c r="AG13" s="53" t="s">
        <v>65</v>
      </c>
      <c r="AH13" s="67">
        <f t="shared" ref="AH13:AP13" si="28">COUNTIF($C13:$AF13,AH$4)</f>
        <v>0</v>
      </c>
      <c r="AI13" s="67">
        <f t="shared" si="28"/>
        <v>1</v>
      </c>
      <c r="AJ13" s="67">
        <f t="shared" si="28"/>
        <v>0</v>
      </c>
      <c r="AK13" s="67">
        <f t="shared" si="28"/>
        <v>0</v>
      </c>
      <c r="AL13" s="67">
        <f t="shared" si="28"/>
        <v>0</v>
      </c>
      <c r="AM13" s="67">
        <f t="shared" si="28"/>
        <v>0</v>
      </c>
      <c r="AN13" s="67">
        <f t="shared" si="28"/>
        <v>1</v>
      </c>
      <c r="AO13" s="67">
        <f t="shared" si="28"/>
        <v>0</v>
      </c>
      <c r="AP13" s="67">
        <f t="shared" si="28"/>
        <v>0</v>
      </c>
      <c r="AQ13" s="76">
        <v>1</v>
      </c>
      <c r="AR13" s="76"/>
      <c r="AS13" s="77">
        <f>SUMPRODUCT(--(WEEKDAY(C$3:AG$3,2)&lt;5),--ISNUMBER(MATCH(C13:AG13,{"DM","CS1","CS2","SB1","AE","CS/B"},0)))</f>
        <v>0</v>
      </c>
      <c r="AT13" s="77"/>
      <c r="AU13" s="77">
        <f>SUMPRODUCT(--(WEEKDAY(C$3:AG$3,2)=5),--ISNUMBER(MATCH(C13:AG13,{"DM","CS1","CS2","SB1","AE","CS/B","WEEKEND OUTFIELD RESERVE"},0)))</f>
        <v>3</v>
      </c>
      <c r="AV13" s="77">
        <f>SUMPRODUCT(--(WEEKDAY(C$3:AG$3,2)&gt;5),--ISNUMBER(MATCH(C13:AG13,{"DM","CS1","CS2","SB1","AE","CS/B","WEEKEND OUTFIELD RESERVE"},0)))</f>
        <v>0</v>
      </c>
      <c r="AW13" s="77"/>
      <c r="AX13" s="77">
        <f t="shared" si="3"/>
        <v>5.5</v>
      </c>
      <c r="AY13" s="77">
        <f t="shared" si="4"/>
        <v>3</v>
      </c>
      <c r="AZ13" s="77">
        <f t="shared" si="5"/>
        <v>0</v>
      </c>
      <c r="BA13" s="76">
        <f t="shared" si="6"/>
        <v>5.5</v>
      </c>
      <c r="BB13" s="77">
        <f t="shared" si="7"/>
        <v>0</v>
      </c>
      <c r="BC13" s="77">
        <f t="shared" si="8"/>
        <v>0</v>
      </c>
      <c r="BD13" s="77">
        <f t="shared" si="9"/>
        <v>0</v>
      </c>
      <c r="BE13" s="77">
        <f t="shared" si="10"/>
        <v>0</v>
      </c>
      <c r="BF13" s="77">
        <f t="shared" si="11"/>
        <v>0</v>
      </c>
      <c r="BG13" s="77">
        <f t="shared" si="12"/>
        <v>0</v>
      </c>
      <c r="BH13" s="77">
        <f t="shared" si="13"/>
        <v>0</v>
      </c>
      <c r="BI13" s="77">
        <f t="shared" si="14"/>
        <v>0</v>
      </c>
      <c r="BJ13" s="77">
        <f t="shared" si="15"/>
        <v>0</v>
      </c>
      <c r="BK13" s="77">
        <f t="shared" si="16"/>
        <v>0</v>
      </c>
      <c r="BL13" s="77">
        <f t="shared" si="17"/>
        <v>0</v>
      </c>
      <c r="BM13" s="77">
        <f t="shared" si="25"/>
        <v>0</v>
      </c>
      <c r="BN13" s="77">
        <f t="shared" si="26"/>
        <v>2</v>
      </c>
      <c r="BO13" s="77">
        <f t="shared" si="27"/>
        <v>0</v>
      </c>
      <c r="BP13" s="77"/>
    </row>
    <row r="14" ht="47.25" customHeight="1" spans="1:68">
      <c r="A14" s="67"/>
      <c r="B14" s="76" t="s">
        <v>933</v>
      </c>
      <c r="C14" s="60" t="s">
        <v>93</v>
      </c>
      <c r="D14" s="53"/>
      <c r="E14" s="60" t="s">
        <v>93</v>
      </c>
      <c r="F14" s="53"/>
      <c r="G14" s="53"/>
      <c r="H14" s="60"/>
      <c r="I14" s="60"/>
      <c r="J14" s="60"/>
      <c r="K14" s="60"/>
      <c r="L14" s="53"/>
      <c r="N14" s="60"/>
      <c r="O14" s="60" t="s">
        <v>934</v>
      </c>
      <c r="P14" s="60" t="s">
        <v>934</v>
      </c>
      <c r="Q14" s="60" t="s">
        <v>934</v>
      </c>
      <c r="R14" s="60" t="s">
        <v>934</v>
      </c>
      <c r="S14" s="60" t="s">
        <v>934</v>
      </c>
      <c r="T14" s="60" t="s">
        <v>934</v>
      </c>
      <c r="U14" s="60" t="s">
        <v>934</v>
      </c>
      <c r="V14" s="60" t="s">
        <v>934</v>
      </c>
      <c r="W14" s="60" t="s">
        <v>934</v>
      </c>
      <c r="X14" s="60" t="s">
        <v>934</v>
      </c>
      <c r="Y14" s="60" t="s">
        <v>934</v>
      </c>
      <c r="Z14" s="60" t="s">
        <v>934</v>
      </c>
      <c r="AA14" s="60" t="s">
        <v>934</v>
      </c>
      <c r="AB14" s="60" t="s">
        <v>934</v>
      </c>
      <c r="AC14" s="60" t="s">
        <v>934</v>
      </c>
      <c r="AD14" s="60" t="s">
        <v>934</v>
      </c>
      <c r="AE14" s="78" t="s">
        <v>934</v>
      </c>
      <c r="AF14" s="60" t="s">
        <v>934</v>
      </c>
      <c r="AG14" s="60" t="s">
        <v>934</v>
      </c>
      <c r="AH14" s="67">
        <f t="shared" ref="AH14:AP14" si="29">COUNTIF($C14:$AF14,AH$4)</f>
        <v>0</v>
      </c>
      <c r="AI14" s="67">
        <f t="shared" si="29"/>
        <v>0</v>
      </c>
      <c r="AJ14" s="67">
        <f t="shared" si="29"/>
        <v>0</v>
      </c>
      <c r="AK14" s="67">
        <f t="shared" si="29"/>
        <v>0</v>
      </c>
      <c r="AL14" s="67">
        <f t="shared" si="29"/>
        <v>0</v>
      </c>
      <c r="AM14" s="67">
        <f t="shared" si="29"/>
        <v>2</v>
      </c>
      <c r="AN14" s="67">
        <f t="shared" si="29"/>
        <v>0</v>
      </c>
      <c r="AO14" s="67">
        <f t="shared" si="29"/>
        <v>0</v>
      </c>
      <c r="AP14" s="67">
        <f t="shared" si="29"/>
        <v>0</v>
      </c>
      <c r="AQ14" s="76"/>
      <c r="AR14" s="76"/>
      <c r="AS14" s="77">
        <f>SUMPRODUCT(--(WEEKDAY(C$3:AG$3,2)&lt;5),--ISNUMBER(MATCH(C14:AG14,{"DM","CS1","CS2","SB1","AE","CS/B"},0)))</f>
        <v>0</v>
      </c>
      <c r="AT14" s="77"/>
      <c r="AU14" s="77">
        <f>SUMPRODUCT(--(WEEKDAY(C$3:AG$3,2)=5),--ISNUMBER(MATCH(C14:AG14,{"DM","CS1","CS2","SB1","AE","CS/B","WEEKEND OUTFIELD RESERVE"},0)))</f>
        <v>0</v>
      </c>
      <c r="AV14" s="77">
        <f>SUMPRODUCT(--(WEEKDAY(C$3:AG$3,2)&gt;5),--ISNUMBER(MATCH(C14:AG14,{"DM","CS1","CS2","SB1","AE","CS/B","WEEKEND OUTFIELD RESERVE"},0)))</f>
        <v>0</v>
      </c>
      <c r="AW14" s="77"/>
      <c r="AX14" s="77">
        <f t="shared" si="3"/>
        <v>1</v>
      </c>
      <c r="AY14" s="77">
        <f t="shared" si="4"/>
        <v>0</v>
      </c>
      <c r="AZ14" s="77">
        <f t="shared" si="5"/>
        <v>0</v>
      </c>
      <c r="BA14" s="76">
        <f t="shared" si="6"/>
        <v>1</v>
      </c>
      <c r="BB14" s="77">
        <f t="shared" si="7"/>
        <v>0</v>
      </c>
      <c r="BC14" s="77">
        <f t="shared" si="8"/>
        <v>0</v>
      </c>
      <c r="BD14" s="77">
        <f t="shared" si="9"/>
        <v>0</v>
      </c>
      <c r="BE14" s="77">
        <f t="shared" si="10"/>
        <v>0</v>
      </c>
      <c r="BF14" s="77">
        <f t="shared" si="11"/>
        <v>0</v>
      </c>
      <c r="BG14" s="77">
        <f t="shared" si="12"/>
        <v>0</v>
      </c>
      <c r="BH14" s="77">
        <f t="shared" si="13"/>
        <v>0</v>
      </c>
      <c r="BI14" s="77">
        <f t="shared" si="14"/>
        <v>0</v>
      </c>
      <c r="BJ14" s="77">
        <f t="shared" si="15"/>
        <v>0</v>
      </c>
      <c r="BK14" s="77">
        <f t="shared" si="16"/>
        <v>0</v>
      </c>
      <c r="BL14" s="77">
        <f t="shared" si="17"/>
        <v>0</v>
      </c>
      <c r="BM14" s="77">
        <f t="shared" si="25"/>
        <v>0</v>
      </c>
      <c r="BN14" s="77">
        <f t="shared" si="26"/>
        <v>0</v>
      </c>
      <c r="BO14" s="77">
        <f t="shared" si="27"/>
        <v>0</v>
      </c>
      <c r="BP14" s="77"/>
    </row>
    <row r="15" ht="47.25" customHeight="1" spans="1:68">
      <c r="A15" s="67"/>
      <c r="B15" s="76" t="s">
        <v>935</v>
      </c>
      <c r="C15" s="60"/>
      <c r="D15" s="53"/>
      <c r="E15" s="60"/>
      <c r="F15" s="53"/>
      <c r="G15" s="53" t="s">
        <v>65</v>
      </c>
      <c r="H15" s="60"/>
      <c r="I15" s="60"/>
      <c r="J15" s="60"/>
      <c r="K15" s="60"/>
      <c r="L15" s="53"/>
      <c r="M15" s="60"/>
      <c r="N15" s="60"/>
      <c r="O15" s="60" t="s">
        <v>934</v>
      </c>
      <c r="P15" s="60" t="s">
        <v>934</v>
      </c>
      <c r="Q15" s="60" t="s">
        <v>934</v>
      </c>
      <c r="R15" s="60" t="s">
        <v>934</v>
      </c>
      <c r="S15" s="60" t="s">
        <v>934</v>
      </c>
      <c r="T15" s="60" t="s">
        <v>934</v>
      </c>
      <c r="U15" s="60" t="s">
        <v>934</v>
      </c>
      <c r="V15" s="60" t="s">
        <v>934</v>
      </c>
      <c r="W15" s="60" t="s">
        <v>934</v>
      </c>
      <c r="X15" s="60" t="s">
        <v>934</v>
      </c>
      <c r="Y15" s="60" t="s">
        <v>934</v>
      </c>
      <c r="Z15" s="60" t="s">
        <v>934</v>
      </c>
      <c r="AA15" s="60" t="s">
        <v>934</v>
      </c>
      <c r="AB15" s="60" t="s">
        <v>934</v>
      </c>
      <c r="AC15" s="60" t="s">
        <v>934</v>
      </c>
      <c r="AD15" s="60" t="s">
        <v>934</v>
      </c>
      <c r="AE15" s="83" t="s">
        <v>934</v>
      </c>
      <c r="AF15" s="60" t="s">
        <v>934</v>
      </c>
      <c r="AG15" s="60" t="s">
        <v>934</v>
      </c>
      <c r="AH15" s="67">
        <f t="shared" ref="AH15:AP15" si="30">COUNTIF($C15:$AF15,AH$4)</f>
        <v>0</v>
      </c>
      <c r="AI15" s="67">
        <f t="shared" si="30"/>
        <v>0</v>
      </c>
      <c r="AJ15" s="67">
        <f t="shared" si="30"/>
        <v>0</v>
      </c>
      <c r="AK15" s="67">
        <f t="shared" si="30"/>
        <v>0</v>
      </c>
      <c r="AL15" s="67">
        <f t="shared" si="30"/>
        <v>0</v>
      </c>
      <c r="AM15" s="67">
        <f t="shared" si="30"/>
        <v>0</v>
      </c>
      <c r="AN15" s="67">
        <f t="shared" si="30"/>
        <v>1</v>
      </c>
      <c r="AO15" s="67">
        <f t="shared" si="30"/>
        <v>0</v>
      </c>
      <c r="AP15" s="67">
        <f t="shared" si="30"/>
        <v>0</v>
      </c>
      <c r="AQ15" s="76"/>
      <c r="AR15" s="76"/>
      <c r="AS15" s="77">
        <f>SUMPRODUCT(--(WEEKDAY(C$3:AG$3,2)&lt;5),--ISNUMBER(MATCH(C15:AG15,{"DM","CS1","CS2","SB1","AE","CS/B"},0)))</f>
        <v>0</v>
      </c>
      <c r="AT15" s="77"/>
      <c r="AU15" s="77">
        <f>SUMPRODUCT(--(WEEKDAY(C$3:AG$3,2)=5),--ISNUMBER(MATCH(C15:AG15,{"DM","CS1","CS2","SB1","AE","CS/B","WEEKEND OUTFIELD RESERVE"},0)))</f>
        <v>0</v>
      </c>
      <c r="AV15" s="77">
        <f>SUMPRODUCT(--(WEEKDAY(C$3:AG$3,2)&gt;5),--ISNUMBER(MATCH(C15:AG15,{"DM","CS1","CS2","SB1","AE","CS/B","WEEKEND OUTFIELD RESERVE"},0)))</f>
        <v>1</v>
      </c>
      <c r="AW15" s="77"/>
      <c r="AX15" s="77">
        <f t="shared" si="3"/>
        <v>2</v>
      </c>
      <c r="AY15" s="77">
        <f t="shared" si="4"/>
        <v>1</v>
      </c>
      <c r="AZ15" s="77">
        <f t="shared" si="5"/>
        <v>0</v>
      </c>
      <c r="BA15" s="76">
        <f t="shared" si="6"/>
        <v>2</v>
      </c>
      <c r="BB15" s="77">
        <f t="shared" si="7"/>
        <v>0</v>
      </c>
      <c r="BC15" s="77">
        <f t="shared" si="8"/>
        <v>0</v>
      </c>
      <c r="BD15" s="77">
        <f t="shared" si="9"/>
        <v>0</v>
      </c>
      <c r="BE15" s="77">
        <f t="shared" si="10"/>
        <v>0</v>
      </c>
      <c r="BF15" s="77">
        <f t="shared" si="11"/>
        <v>0</v>
      </c>
      <c r="BG15" s="77">
        <f t="shared" si="12"/>
        <v>0</v>
      </c>
      <c r="BH15" s="77">
        <f t="shared" si="13"/>
        <v>0</v>
      </c>
      <c r="BI15" s="77">
        <f t="shared" si="14"/>
        <v>0</v>
      </c>
      <c r="BJ15" s="77">
        <f t="shared" si="15"/>
        <v>0</v>
      </c>
      <c r="BK15" s="77">
        <f t="shared" si="16"/>
        <v>0</v>
      </c>
      <c r="BL15" s="77">
        <f t="shared" si="17"/>
        <v>0</v>
      </c>
      <c r="BM15" s="77">
        <f t="shared" si="25"/>
        <v>0</v>
      </c>
      <c r="BN15" s="77">
        <f t="shared" si="26"/>
        <v>0</v>
      </c>
      <c r="BO15" s="77">
        <f t="shared" si="27"/>
        <v>0</v>
      </c>
      <c r="BP15" s="77"/>
    </row>
    <row r="16" ht="47.25" customHeight="1" spans="1:68">
      <c r="A16" s="67"/>
      <c r="B16" s="76" t="s">
        <v>936</v>
      </c>
      <c r="C16" s="60"/>
      <c r="D16" s="53"/>
      <c r="E16" s="60"/>
      <c r="F16" s="53"/>
      <c r="G16" s="53"/>
      <c r="H16" s="60"/>
      <c r="I16" s="60"/>
      <c r="J16" s="60"/>
      <c r="K16" s="60"/>
      <c r="L16" s="53" t="s">
        <v>58</v>
      </c>
      <c r="M16" s="60"/>
      <c r="N16" s="60"/>
      <c r="O16" s="60" t="s">
        <v>93</v>
      </c>
      <c r="P16" s="60"/>
      <c r="Q16" s="60"/>
      <c r="R16" s="60"/>
      <c r="S16" s="60"/>
      <c r="T16" s="53"/>
      <c r="U16" s="60"/>
      <c r="V16" s="60"/>
      <c r="W16" s="60"/>
      <c r="X16" s="60"/>
      <c r="Y16" s="60"/>
      <c r="Z16" s="60"/>
      <c r="AA16" s="60"/>
      <c r="AB16" s="53"/>
      <c r="AC16" s="53"/>
      <c r="AD16" s="60"/>
      <c r="AE16" s="98" t="s">
        <v>93</v>
      </c>
      <c r="AF16" s="60"/>
      <c r="AG16" s="60"/>
      <c r="AH16" s="67">
        <f t="shared" ref="AH16:AP16" si="31">COUNTIF($C16:$AF16,AH$4)</f>
        <v>0</v>
      </c>
      <c r="AI16" s="67">
        <f t="shared" si="31"/>
        <v>0</v>
      </c>
      <c r="AJ16" s="67">
        <f t="shared" si="31"/>
        <v>0</v>
      </c>
      <c r="AK16" s="67">
        <f t="shared" si="31"/>
        <v>0</v>
      </c>
      <c r="AL16" s="67">
        <f t="shared" si="31"/>
        <v>1</v>
      </c>
      <c r="AM16" s="67">
        <f t="shared" si="31"/>
        <v>2</v>
      </c>
      <c r="AN16" s="67">
        <f t="shared" si="31"/>
        <v>0</v>
      </c>
      <c r="AO16" s="67">
        <f t="shared" si="31"/>
        <v>0</v>
      </c>
      <c r="AP16" s="67">
        <f t="shared" si="31"/>
        <v>0</v>
      </c>
      <c r="AQ16" s="76"/>
      <c r="AR16" s="76"/>
      <c r="AS16" s="77">
        <f>SUMPRODUCT(--(WEEKDAY(C$3:AG$3,2)&lt;5),--ISNUMBER(MATCH(C16:AG16,{"DM","CS1","CS2","SB1","AE","CS/B"},0)))</f>
        <v>0</v>
      </c>
      <c r="AT16" s="77"/>
      <c r="AU16" s="77">
        <f>SUMPRODUCT(--(WEEKDAY(C$3:AG$3,2)=5),--ISNUMBER(MATCH(C16:AG16,{"DM","CS1","CS2","SB1","AE","CS/B","WEEKEND OUTFIELD RESERVE"},0)))</f>
        <v>1</v>
      </c>
      <c r="AV16" s="77">
        <f>SUMPRODUCT(--(WEEKDAY(C$3:AG$3,2)&gt;5),--ISNUMBER(MATCH(C16:AG16,{"DM","CS1","CS2","SB1","AE","CS/B","WEEKEND OUTFIELD RESERVE"},0)))</f>
        <v>0</v>
      </c>
      <c r="AW16" s="77"/>
      <c r="AX16" s="77">
        <f t="shared" si="3"/>
        <v>2.5</v>
      </c>
      <c r="AY16" s="77">
        <f t="shared" si="4"/>
        <v>1</v>
      </c>
      <c r="AZ16" s="77">
        <f t="shared" si="5"/>
        <v>0</v>
      </c>
      <c r="BA16" s="76">
        <f t="shared" si="6"/>
        <v>2.5</v>
      </c>
      <c r="BB16" s="77">
        <f t="shared" si="7"/>
        <v>0</v>
      </c>
      <c r="BC16" s="77">
        <f t="shared" si="8"/>
        <v>0</v>
      </c>
      <c r="BD16" s="77">
        <f t="shared" si="9"/>
        <v>0</v>
      </c>
      <c r="BE16" s="77">
        <f t="shared" si="10"/>
        <v>0</v>
      </c>
      <c r="BF16" s="77">
        <f t="shared" si="11"/>
        <v>0</v>
      </c>
      <c r="BG16" s="77">
        <f t="shared" si="12"/>
        <v>0</v>
      </c>
      <c r="BH16" s="77">
        <f t="shared" si="13"/>
        <v>0</v>
      </c>
      <c r="BI16" s="77">
        <f t="shared" si="14"/>
        <v>0</v>
      </c>
      <c r="BJ16" s="77">
        <f t="shared" si="15"/>
        <v>0</v>
      </c>
      <c r="BK16" s="77">
        <f t="shared" si="16"/>
        <v>0</v>
      </c>
      <c r="BL16" s="77">
        <f t="shared" si="17"/>
        <v>0</v>
      </c>
      <c r="BM16" s="77">
        <f t="shared" si="25"/>
        <v>0</v>
      </c>
      <c r="BN16" s="77">
        <f t="shared" si="26"/>
        <v>0</v>
      </c>
      <c r="BO16" s="77">
        <f t="shared" si="27"/>
        <v>0</v>
      </c>
      <c r="BP16" s="77"/>
    </row>
    <row r="17" ht="47.25" customHeight="1" spans="1:68">
      <c r="A17" s="67"/>
      <c r="B17" s="76" t="s">
        <v>937</v>
      </c>
      <c r="C17" s="60"/>
      <c r="D17" s="53"/>
      <c r="E17" s="60"/>
      <c r="F17" s="53"/>
      <c r="G17" s="53"/>
      <c r="H17" s="60"/>
      <c r="I17" s="60"/>
      <c r="J17" s="60"/>
      <c r="K17" s="60"/>
      <c r="L17" s="53"/>
      <c r="M17" s="60"/>
      <c r="N17" s="60"/>
      <c r="O17" s="53"/>
      <c r="P17" s="60" t="s">
        <v>65</v>
      </c>
      <c r="Q17" s="60"/>
      <c r="R17" s="60"/>
      <c r="S17" s="60"/>
      <c r="T17" s="53"/>
      <c r="U17" s="60"/>
      <c r="V17" s="60"/>
      <c r="W17" s="60"/>
      <c r="X17" s="60"/>
      <c r="Y17" s="60" t="s">
        <v>65</v>
      </c>
      <c r="Z17" s="60"/>
      <c r="AA17" s="60"/>
      <c r="AB17" s="53"/>
      <c r="AC17" s="53"/>
      <c r="AD17" s="60"/>
      <c r="AE17" s="79"/>
      <c r="AF17" s="60"/>
      <c r="AG17" s="60"/>
      <c r="AH17" s="67">
        <f t="shared" ref="AH17:AP17" si="32">COUNTIF($C17:$AF17,AH$4)</f>
        <v>0</v>
      </c>
      <c r="AI17" s="67">
        <f t="shared" si="32"/>
        <v>0</v>
      </c>
      <c r="AJ17" s="67">
        <f t="shared" si="32"/>
        <v>0</v>
      </c>
      <c r="AK17" s="67">
        <f t="shared" si="32"/>
        <v>0</v>
      </c>
      <c r="AL17" s="67">
        <f t="shared" si="32"/>
        <v>0</v>
      </c>
      <c r="AM17" s="67">
        <f t="shared" si="32"/>
        <v>0</v>
      </c>
      <c r="AN17" s="67">
        <f t="shared" si="32"/>
        <v>2</v>
      </c>
      <c r="AO17" s="67">
        <f t="shared" si="32"/>
        <v>0</v>
      </c>
      <c r="AP17" s="67">
        <f t="shared" si="32"/>
        <v>0</v>
      </c>
      <c r="AQ17" s="76"/>
      <c r="AR17" s="76"/>
      <c r="AS17" s="77">
        <f>SUMPRODUCT(--(WEEKDAY(C$3:AG$3,2)&lt;5),--ISNUMBER(MATCH(C17:AG17,{"DM","CS1","CS2","SB1","AE","CS/B"},0)))</f>
        <v>2</v>
      </c>
      <c r="AT17" s="77"/>
      <c r="AU17" s="77">
        <f>SUMPRODUCT(--(WEEKDAY(C$3:AG$3,2)=5),--ISNUMBER(MATCH(C17:AG17,{"DM","CS1","CS2","SB1","AE","CS/B","WEEKEND OUTFIELD RESERVE"},0)))</f>
        <v>0</v>
      </c>
      <c r="AV17" s="77">
        <f>SUMPRODUCT(--(WEEKDAY(C$3:AG$3,2)&gt;5),--ISNUMBER(MATCH(C17:AG17,{"DM","CS1","CS2","SB1","AE","CS/B","WEEKEND OUTFIELD RESERVE"},0)))</f>
        <v>0</v>
      </c>
      <c r="AW17" s="77"/>
      <c r="AX17" s="77">
        <f t="shared" si="3"/>
        <v>2</v>
      </c>
      <c r="AY17" s="77">
        <f t="shared" si="4"/>
        <v>2</v>
      </c>
      <c r="AZ17" s="77">
        <f t="shared" si="5"/>
        <v>0</v>
      </c>
      <c r="BA17" s="76">
        <f t="shared" si="6"/>
        <v>2</v>
      </c>
      <c r="BB17" s="77">
        <f t="shared" si="7"/>
        <v>0</v>
      </c>
      <c r="BC17" s="77">
        <f t="shared" si="8"/>
        <v>0</v>
      </c>
      <c r="BD17" s="77">
        <f t="shared" si="9"/>
        <v>0</v>
      </c>
      <c r="BE17" s="77">
        <f t="shared" si="10"/>
        <v>0</v>
      </c>
      <c r="BF17" s="77">
        <f t="shared" si="11"/>
        <v>0</v>
      </c>
      <c r="BG17" s="77">
        <f t="shared" si="12"/>
        <v>0</v>
      </c>
      <c r="BH17" s="77">
        <f t="shared" si="13"/>
        <v>0</v>
      </c>
      <c r="BI17" s="77">
        <f t="shared" si="14"/>
        <v>0</v>
      </c>
      <c r="BJ17" s="77">
        <f t="shared" si="15"/>
        <v>0</v>
      </c>
      <c r="BK17" s="77">
        <f t="shared" si="16"/>
        <v>0</v>
      </c>
      <c r="BL17" s="77">
        <f t="shared" si="17"/>
        <v>0</v>
      </c>
      <c r="BM17" s="77">
        <f t="shared" si="25"/>
        <v>0</v>
      </c>
      <c r="BN17" s="77">
        <f t="shared" si="26"/>
        <v>0</v>
      </c>
      <c r="BO17" s="77">
        <f t="shared" si="27"/>
        <v>0</v>
      </c>
      <c r="BP17" s="77"/>
    </row>
    <row r="18" ht="47.25" customHeight="1" spans="1:68">
      <c r="A18" s="67"/>
      <c r="B18" s="76" t="s">
        <v>938</v>
      </c>
      <c r="C18" s="60"/>
      <c r="D18" s="53"/>
      <c r="E18" s="60"/>
      <c r="F18" s="53"/>
      <c r="G18" s="53"/>
      <c r="H18" s="60"/>
      <c r="I18" s="60"/>
      <c r="J18" s="60"/>
      <c r="K18" s="60"/>
      <c r="L18" s="53"/>
      <c r="M18" s="60" t="s">
        <v>65</v>
      </c>
      <c r="N18" s="60"/>
      <c r="O18" s="60"/>
      <c r="P18" s="60"/>
      <c r="Q18" s="60"/>
      <c r="R18" s="60"/>
      <c r="S18" s="60"/>
      <c r="T18" s="53"/>
      <c r="U18" s="60"/>
      <c r="V18" s="60"/>
      <c r="W18" s="60"/>
      <c r="X18" s="60"/>
      <c r="Y18" s="60" t="s">
        <v>93</v>
      </c>
      <c r="Z18" s="60"/>
      <c r="AA18" s="60"/>
      <c r="AB18" s="53"/>
      <c r="AC18" s="53" t="s">
        <v>65</v>
      </c>
      <c r="AD18" s="60"/>
      <c r="AE18" s="84"/>
      <c r="AF18" s="60" t="s">
        <v>939</v>
      </c>
      <c r="AG18" s="60"/>
      <c r="AH18" s="67">
        <f t="shared" ref="AH18:AP18" si="33">COUNTIF($C18:$AF18,AH$4)</f>
        <v>0</v>
      </c>
      <c r="AI18" s="67">
        <f t="shared" si="33"/>
        <v>0</v>
      </c>
      <c r="AJ18" s="67">
        <f t="shared" si="33"/>
        <v>0</v>
      </c>
      <c r="AK18" s="67">
        <f t="shared" si="33"/>
        <v>0</v>
      </c>
      <c r="AL18" s="67">
        <f t="shared" si="33"/>
        <v>0</v>
      </c>
      <c r="AM18" s="67">
        <f t="shared" si="33"/>
        <v>1</v>
      </c>
      <c r="AN18" s="67">
        <f t="shared" si="33"/>
        <v>2</v>
      </c>
      <c r="AO18" s="67">
        <f t="shared" si="33"/>
        <v>0</v>
      </c>
      <c r="AP18" s="67">
        <f t="shared" si="33"/>
        <v>0</v>
      </c>
      <c r="AQ18" s="76"/>
      <c r="AR18" s="76"/>
      <c r="AS18" s="77">
        <f>SUMPRODUCT(--(WEEKDAY(C$3:AG$3,2)&lt;5),--ISNUMBER(MATCH(C18:AG18,{"DM","CS1","CS2","SB1","AE","CS/B"},0)))</f>
        <v>1</v>
      </c>
      <c r="AT18" s="77"/>
      <c r="AU18" s="77">
        <f>SUMPRODUCT(--(WEEKDAY(C$3:AG$3,2)=5),--ISNUMBER(MATCH(C18:AG18,{"DM","CS1","CS2","SB1","AE","CS/B","WEEKEND OUTFIELD RESERVE"},0)))</f>
        <v>0</v>
      </c>
      <c r="AV18" s="77">
        <f>SUMPRODUCT(--(WEEKDAY(C$3:AG$3,2)&gt;5),--ISNUMBER(MATCH(C18:AG18,{"DM","CS1","CS2","SB1","AE","CS/B","WEEKEND OUTFIELD RESERVE"},0)))</f>
        <v>1</v>
      </c>
      <c r="AW18" s="77"/>
      <c r="AX18" s="77">
        <f t="shared" si="3"/>
        <v>3.5</v>
      </c>
      <c r="AY18" s="77">
        <f t="shared" si="4"/>
        <v>2</v>
      </c>
      <c r="AZ18" s="77">
        <f t="shared" si="5"/>
        <v>0</v>
      </c>
      <c r="BA18" s="76">
        <f t="shared" si="6"/>
        <v>3.5</v>
      </c>
      <c r="BB18" s="77">
        <f t="shared" si="7"/>
        <v>0</v>
      </c>
      <c r="BC18" s="77">
        <f t="shared" si="8"/>
        <v>0</v>
      </c>
      <c r="BD18" s="77">
        <f t="shared" si="9"/>
        <v>0</v>
      </c>
      <c r="BE18" s="77">
        <f t="shared" si="10"/>
        <v>0</v>
      </c>
      <c r="BF18" s="77">
        <f t="shared" si="11"/>
        <v>0</v>
      </c>
      <c r="BG18" s="77">
        <f t="shared" si="12"/>
        <v>0</v>
      </c>
      <c r="BH18" s="77">
        <f t="shared" si="13"/>
        <v>0</v>
      </c>
      <c r="BI18" s="77">
        <f t="shared" si="14"/>
        <v>0</v>
      </c>
      <c r="BJ18" s="77">
        <f t="shared" si="15"/>
        <v>0</v>
      </c>
      <c r="BK18" s="77">
        <f t="shared" si="16"/>
        <v>0</v>
      </c>
      <c r="BL18" s="77">
        <f t="shared" si="17"/>
        <v>0</v>
      </c>
      <c r="BM18" s="77">
        <f t="shared" si="25"/>
        <v>0</v>
      </c>
      <c r="BN18" s="77">
        <f t="shared" si="26"/>
        <v>0</v>
      </c>
      <c r="BO18" s="77">
        <f t="shared" si="27"/>
        <v>0</v>
      </c>
      <c r="BP18" s="77"/>
    </row>
    <row r="19" ht="47.25" customHeight="1" spans="1:68">
      <c r="A19" s="67"/>
      <c r="B19" s="76" t="s">
        <v>940</v>
      </c>
      <c r="C19" s="60"/>
      <c r="D19" s="53"/>
      <c r="E19" s="60"/>
      <c r="F19" s="53"/>
      <c r="G19" s="53"/>
      <c r="H19" s="60"/>
      <c r="I19" s="60"/>
      <c r="J19" s="60"/>
      <c r="K19" s="60"/>
      <c r="L19" s="60" t="s">
        <v>65</v>
      </c>
      <c r="M19" s="60"/>
      <c r="N19" s="60" t="s">
        <v>65</v>
      </c>
      <c r="O19" s="60"/>
      <c r="P19" s="60"/>
      <c r="Q19" s="60"/>
      <c r="R19" s="60"/>
      <c r="S19" s="60"/>
      <c r="T19" s="53"/>
      <c r="U19" s="60"/>
      <c r="V19" s="60"/>
      <c r="W19" s="60" t="s">
        <v>573</v>
      </c>
      <c r="X19" s="53" t="s">
        <v>58</v>
      </c>
      <c r="Y19" s="60"/>
      <c r="Z19" s="60" t="s">
        <v>93</v>
      </c>
      <c r="AA19" s="60" t="s">
        <v>65</v>
      </c>
      <c r="AB19" s="53"/>
      <c r="AC19" s="53"/>
      <c r="AE19" s="79"/>
      <c r="AF19" s="60"/>
      <c r="AG19" s="60"/>
      <c r="AH19" s="67">
        <f t="shared" ref="AH19:AP19" si="34">COUNTIF($C19:$AF19,AH$4)</f>
        <v>0</v>
      </c>
      <c r="AI19" s="67">
        <f t="shared" si="34"/>
        <v>0</v>
      </c>
      <c r="AJ19" s="67">
        <f t="shared" si="34"/>
        <v>0</v>
      </c>
      <c r="AK19" s="67">
        <f t="shared" si="34"/>
        <v>0</v>
      </c>
      <c r="AL19" s="67">
        <f t="shared" si="34"/>
        <v>1</v>
      </c>
      <c r="AM19" s="67">
        <f t="shared" si="34"/>
        <v>1</v>
      </c>
      <c r="AN19" s="67">
        <f t="shared" si="34"/>
        <v>3</v>
      </c>
      <c r="AO19" s="67">
        <f t="shared" si="34"/>
        <v>0</v>
      </c>
      <c r="AP19" s="67">
        <f t="shared" si="34"/>
        <v>0</v>
      </c>
      <c r="AQ19" s="76"/>
      <c r="AR19" s="76"/>
      <c r="AS19" s="77">
        <f>SUMPRODUCT(--(WEEKDAY(C$3:AG$3,2)&lt;5),--ISNUMBER(MATCH(C19:AG19,{"DM","CS1","CS2","SB1","AE","CS/B"},0)))</f>
        <v>1</v>
      </c>
      <c r="AT19" s="77"/>
      <c r="AU19" s="77">
        <f>SUMPRODUCT(--(WEEKDAY(C$3:AG$3,2)=5),--ISNUMBER(MATCH(C19:AG19,{"DM","CS1","CS2","SB1","AE","CS/B","WEEKEND OUTFIELD RESERVE"},0)))</f>
        <v>1</v>
      </c>
      <c r="AV19" s="77">
        <f>SUMPRODUCT(--(WEEKDAY(C$3:AG$3,2)&gt;5),--ISNUMBER(MATCH(C19:AG19,{"DM","CS1","CS2","SB1","AE","CS/B","WEEKEND OUTFIELD RESERVE"},0)))</f>
        <v>2</v>
      </c>
      <c r="AW19" s="77"/>
      <c r="AX19" s="77">
        <f t="shared" si="3"/>
        <v>7</v>
      </c>
      <c r="AY19" s="77">
        <f t="shared" si="4"/>
        <v>4</v>
      </c>
      <c r="AZ19" s="77">
        <f t="shared" si="5"/>
        <v>0</v>
      </c>
      <c r="BA19" s="76">
        <f t="shared" si="6"/>
        <v>7</v>
      </c>
      <c r="BB19" s="77">
        <f t="shared" si="7"/>
        <v>0</v>
      </c>
      <c r="BC19" s="77">
        <f t="shared" si="8"/>
        <v>0</v>
      </c>
      <c r="BD19" s="77">
        <f t="shared" si="9"/>
        <v>0</v>
      </c>
      <c r="BE19" s="77">
        <f t="shared" si="10"/>
        <v>0</v>
      </c>
      <c r="BF19" s="77">
        <f t="shared" si="11"/>
        <v>0</v>
      </c>
      <c r="BG19" s="77">
        <f t="shared" si="12"/>
        <v>0</v>
      </c>
      <c r="BH19" s="77">
        <f t="shared" si="13"/>
        <v>0</v>
      </c>
      <c r="BI19" s="77">
        <f t="shared" si="14"/>
        <v>0</v>
      </c>
      <c r="BJ19" s="77">
        <f t="shared" si="15"/>
        <v>0</v>
      </c>
      <c r="BK19" s="77">
        <f t="shared" si="16"/>
        <v>0</v>
      </c>
      <c r="BL19" s="77">
        <f t="shared" si="17"/>
        <v>0</v>
      </c>
      <c r="BM19" s="77">
        <f t="shared" si="25"/>
        <v>0</v>
      </c>
      <c r="BN19" s="77">
        <f t="shared" si="26"/>
        <v>0</v>
      </c>
      <c r="BO19" s="77">
        <f t="shared" si="27"/>
        <v>0</v>
      </c>
      <c r="BP19" s="77"/>
    </row>
    <row r="20" ht="47.25" customHeight="1" spans="1:68">
      <c r="A20" s="67"/>
      <c r="B20" s="76" t="s">
        <v>941</v>
      </c>
      <c r="C20" s="60"/>
      <c r="D20" s="53"/>
      <c r="E20" s="60"/>
      <c r="F20" s="53"/>
      <c r="G20" s="53"/>
      <c r="H20" s="60"/>
      <c r="I20" s="60"/>
      <c r="J20" s="60"/>
      <c r="K20" s="60"/>
      <c r="L20" s="53"/>
      <c r="M20" s="60"/>
      <c r="N20" s="60"/>
      <c r="O20" s="60"/>
      <c r="P20" s="60" t="s">
        <v>93</v>
      </c>
      <c r="Q20" s="60"/>
      <c r="R20" s="60"/>
      <c r="T20" s="53"/>
      <c r="U20" s="60"/>
      <c r="V20" s="60"/>
      <c r="W20" s="60"/>
      <c r="X20" s="60"/>
      <c r="Y20" s="60"/>
      <c r="AA20" s="60"/>
      <c r="AB20" s="53"/>
      <c r="AC20" s="53"/>
      <c r="AD20" s="60"/>
      <c r="AE20" s="84"/>
      <c r="AF20" s="60"/>
      <c r="AG20" s="60"/>
      <c r="AH20" s="67">
        <f t="shared" ref="AH20:AP20" si="35">COUNTIF($C20:$AF20,AH$4)</f>
        <v>0</v>
      </c>
      <c r="AI20" s="67">
        <f t="shared" si="35"/>
        <v>0</v>
      </c>
      <c r="AJ20" s="67">
        <f t="shared" si="35"/>
        <v>0</v>
      </c>
      <c r="AK20" s="67">
        <f t="shared" si="35"/>
        <v>0</v>
      </c>
      <c r="AL20" s="67">
        <f t="shared" si="35"/>
        <v>0</v>
      </c>
      <c r="AM20" s="67">
        <f t="shared" si="35"/>
        <v>1</v>
      </c>
      <c r="AN20" s="67">
        <f t="shared" si="35"/>
        <v>0</v>
      </c>
      <c r="AO20" s="67">
        <f t="shared" si="35"/>
        <v>0</v>
      </c>
      <c r="AP20" s="67">
        <f t="shared" si="35"/>
        <v>0</v>
      </c>
      <c r="AQ20" s="76"/>
      <c r="AR20" s="76"/>
      <c r="AS20" s="77">
        <f>SUMPRODUCT(--(WEEKDAY(C$3:AG$3,2)&lt;5),--ISNUMBER(MATCH(C20:AG20,{"DM","CS1","CS2","SB1","AE","CS/B"},0)))</f>
        <v>0</v>
      </c>
      <c r="AT20" s="77"/>
      <c r="AU20" s="77">
        <f>SUMPRODUCT(--(WEEKDAY(C$3:AG$3,2)=5),--ISNUMBER(MATCH(C20:AG20,{"DM","CS1","CS2","SB1","AE","CS/B","WEEKEND OUTFIELD RESERVE"},0)))</f>
        <v>0</v>
      </c>
      <c r="AV20" s="77">
        <f>SUMPRODUCT(--(WEEKDAY(C$3:AG$3,2)&gt;5),--ISNUMBER(MATCH(C20:AG20,{"DM","CS1","CS2","SB1","AE","CS/B","WEEKEND OUTFIELD RESERVE"},0)))</f>
        <v>0</v>
      </c>
      <c r="AW20" s="77"/>
      <c r="AX20" s="77">
        <f t="shared" si="3"/>
        <v>0.5</v>
      </c>
      <c r="AY20" s="77">
        <f t="shared" si="4"/>
        <v>0</v>
      </c>
      <c r="AZ20" s="77">
        <f t="shared" si="5"/>
        <v>0</v>
      </c>
      <c r="BA20" s="76">
        <f t="shared" si="6"/>
        <v>0.5</v>
      </c>
      <c r="BB20" s="77">
        <f t="shared" si="7"/>
        <v>0</v>
      </c>
      <c r="BC20" s="77">
        <f t="shared" si="8"/>
        <v>0</v>
      </c>
      <c r="BD20" s="77">
        <f t="shared" si="9"/>
        <v>0</v>
      </c>
      <c r="BE20" s="77">
        <f t="shared" si="10"/>
        <v>0</v>
      </c>
      <c r="BF20" s="77">
        <f t="shared" si="11"/>
        <v>0</v>
      </c>
      <c r="BG20" s="77">
        <f t="shared" si="12"/>
        <v>0</v>
      </c>
      <c r="BH20" s="77">
        <f t="shared" si="13"/>
        <v>0</v>
      </c>
      <c r="BI20" s="77">
        <f t="shared" si="14"/>
        <v>0</v>
      </c>
      <c r="BJ20" s="77">
        <f t="shared" si="15"/>
        <v>0</v>
      </c>
      <c r="BK20" s="77">
        <f t="shared" si="16"/>
        <v>0</v>
      </c>
      <c r="BL20" s="77">
        <f t="shared" si="17"/>
        <v>0</v>
      </c>
      <c r="BM20" s="77">
        <f t="shared" si="25"/>
        <v>0</v>
      </c>
      <c r="BN20" s="77">
        <f t="shared" si="26"/>
        <v>0</v>
      </c>
      <c r="BO20" s="77">
        <f t="shared" si="27"/>
        <v>0</v>
      </c>
      <c r="BP20" s="77"/>
    </row>
    <row r="21" ht="88.5" customHeight="1" spans="1:68">
      <c r="A21" s="67"/>
      <c r="B21" s="76" t="s">
        <v>942</v>
      </c>
      <c r="C21" s="60"/>
      <c r="D21" s="53"/>
      <c r="E21" s="60"/>
      <c r="F21" s="53"/>
      <c r="G21" s="53"/>
      <c r="H21" s="60"/>
      <c r="I21" s="60"/>
      <c r="J21" s="60"/>
      <c r="K21" s="60"/>
      <c r="L21" s="53"/>
      <c r="M21" s="60"/>
      <c r="N21" s="60"/>
      <c r="O21" s="60"/>
      <c r="P21" s="60"/>
      <c r="Q21" s="60"/>
      <c r="R21" s="60"/>
      <c r="S21" s="60" t="s">
        <v>58</v>
      </c>
      <c r="T21" s="53"/>
      <c r="U21" s="60"/>
      <c r="V21" s="60"/>
      <c r="W21" s="60" t="s">
        <v>65</v>
      </c>
      <c r="X21" s="60"/>
      <c r="Y21" s="60"/>
      <c r="Z21" s="60"/>
      <c r="AA21" s="60"/>
      <c r="AB21" s="53"/>
      <c r="AC21" s="53"/>
      <c r="AD21" s="60" t="s">
        <v>65</v>
      </c>
      <c r="AE21" s="79"/>
      <c r="AF21" s="60"/>
      <c r="AG21" s="60" t="s">
        <v>58</v>
      </c>
      <c r="AH21" s="67">
        <f t="shared" ref="AH21:AP21" si="36">COUNTIF($C21:$AF21,AH$4)</f>
        <v>0</v>
      </c>
      <c r="AI21" s="67">
        <f t="shared" si="36"/>
        <v>0</v>
      </c>
      <c r="AJ21" s="67">
        <f t="shared" si="36"/>
        <v>0</v>
      </c>
      <c r="AK21" s="67">
        <f t="shared" si="36"/>
        <v>0</v>
      </c>
      <c r="AL21" s="67">
        <f t="shared" si="36"/>
        <v>1</v>
      </c>
      <c r="AM21" s="67">
        <f t="shared" si="36"/>
        <v>0</v>
      </c>
      <c r="AN21" s="67">
        <f t="shared" si="36"/>
        <v>2</v>
      </c>
      <c r="AO21" s="67">
        <f t="shared" si="36"/>
        <v>0</v>
      </c>
      <c r="AP21" s="67">
        <f t="shared" si="36"/>
        <v>0</v>
      </c>
      <c r="AQ21" s="76"/>
      <c r="AR21" s="76"/>
      <c r="AS21" s="77">
        <f>SUMPRODUCT(--(WEEKDAY(C$3:AG$3,2)&lt;5),--ISNUMBER(MATCH(C21:AG21,{"DM","CS1","CS2","SB1","AE","CS/B"},0)))</f>
        <v>2</v>
      </c>
      <c r="AT21" s="77"/>
      <c r="AU21" s="77">
        <f>SUMPRODUCT(--(WEEKDAY(C$3:AG$3,2)=5),--ISNUMBER(MATCH(C21:AG21,{"DM","CS1","CS2","SB1","AE","CS/B","WEEKEND OUTFIELD RESERVE"},0)))</f>
        <v>2</v>
      </c>
      <c r="AV21" s="77">
        <f>SUMPRODUCT(--(WEEKDAY(C$3:AG$3,2)&gt;5),--ISNUMBER(MATCH(C21:AG21,{"DM","CS1","CS2","SB1","AE","CS/B","WEEKEND OUTFIELD RESERVE"},0)))</f>
        <v>0</v>
      </c>
      <c r="AW21" s="77"/>
      <c r="AX21" s="77">
        <f t="shared" si="3"/>
        <v>5</v>
      </c>
      <c r="AY21" s="77">
        <f t="shared" si="4"/>
        <v>4</v>
      </c>
      <c r="AZ21" s="77">
        <f t="shared" si="5"/>
        <v>0</v>
      </c>
      <c r="BA21" s="76">
        <f t="shared" si="6"/>
        <v>5</v>
      </c>
      <c r="BB21" s="77">
        <f t="shared" si="7"/>
        <v>0</v>
      </c>
      <c r="BC21" s="77">
        <f t="shared" si="8"/>
        <v>0</v>
      </c>
      <c r="BD21" s="77">
        <f t="shared" si="9"/>
        <v>0</v>
      </c>
      <c r="BE21" s="77">
        <f t="shared" si="10"/>
        <v>0</v>
      </c>
      <c r="BF21" s="77">
        <f t="shared" si="11"/>
        <v>0</v>
      </c>
      <c r="BG21" s="77">
        <f t="shared" si="12"/>
        <v>0</v>
      </c>
      <c r="BH21" s="77">
        <f t="shared" si="13"/>
        <v>0</v>
      </c>
      <c r="BI21" s="77">
        <f t="shared" si="14"/>
        <v>0</v>
      </c>
      <c r="BJ21" s="77">
        <f t="shared" si="15"/>
        <v>0</v>
      </c>
      <c r="BK21" s="77">
        <f t="shared" si="16"/>
        <v>0</v>
      </c>
      <c r="BL21" s="77">
        <f t="shared" si="17"/>
        <v>0</v>
      </c>
      <c r="BM21" s="77">
        <f t="shared" si="25"/>
        <v>0</v>
      </c>
      <c r="BN21" s="77">
        <f t="shared" si="26"/>
        <v>0</v>
      </c>
      <c r="BO21" s="77">
        <f t="shared" si="27"/>
        <v>0</v>
      </c>
      <c r="BP21" s="77"/>
    </row>
    <row r="22" ht="45" customHeight="1" spans="1:68">
      <c r="A22" s="67"/>
      <c r="B22" s="76" t="s">
        <v>592</v>
      </c>
      <c r="C22" s="60"/>
      <c r="D22" s="60"/>
      <c r="E22" s="60"/>
      <c r="F22" s="60"/>
      <c r="G22" s="53"/>
      <c r="H22" s="53"/>
      <c r="I22" s="53"/>
      <c r="J22" s="60"/>
      <c r="K22" s="53"/>
      <c r="L22" s="60"/>
      <c r="M22" s="60"/>
      <c r="N22" s="60"/>
      <c r="O22" s="60"/>
      <c r="P22" s="60"/>
      <c r="Q22" s="60"/>
      <c r="R22" s="53"/>
      <c r="S22" s="60"/>
      <c r="T22" s="53"/>
      <c r="U22" s="53"/>
      <c r="V22" s="60"/>
      <c r="W22" s="60"/>
      <c r="X22" s="60"/>
      <c r="Y22" s="60"/>
      <c r="Z22" s="60"/>
      <c r="AA22" s="60"/>
      <c r="AB22" s="60"/>
      <c r="AC22" s="60"/>
      <c r="AD22" s="60"/>
      <c r="AE22" s="84"/>
      <c r="AF22" s="60"/>
      <c r="AG22" s="60"/>
      <c r="AH22" s="67">
        <f t="shared" ref="AH22:AP22" si="37">COUNTIF($C22:$AF22,AH$4)</f>
        <v>0</v>
      </c>
      <c r="AI22" s="67">
        <f t="shared" si="37"/>
        <v>0</v>
      </c>
      <c r="AJ22" s="67">
        <f t="shared" si="37"/>
        <v>0</v>
      </c>
      <c r="AK22" s="67">
        <f t="shared" si="37"/>
        <v>0</v>
      </c>
      <c r="AL22" s="67">
        <f t="shared" si="37"/>
        <v>0</v>
      </c>
      <c r="AM22" s="67">
        <f t="shared" si="37"/>
        <v>0</v>
      </c>
      <c r="AN22" s="67">
        <f t="shared" si="37"/>
        <v>0</v>
      </c>
      <c r="AO22" s="67">
        <f t="shared" si="37"/>
        <v>0</v>
      </c>
      <c r="AP22" s="67">
        <f t="shared" si="37"/>
        <v>0</v>
      </c>
      <c r="AQ22" s="76">
        <v>1</v>
      </c>
      <c r="AR22" s="76"/>
      <c r="AS22" s="77">
        <f>SUMPRODUCT(--(WEEKDAY(C$3:AG$3,2)&lt;5),--ISNUMBER(MATCH(C22:AG22,{"DM","CS1","CS2","SB1","AE","CS/B"},0)))</f>
        <v>0</v>
      </c>
      <c r="AT22" s="77"/>
      <c r="AU22" s="77">
        <f>SUMPRODUCT(--(WEEKDAY(C$3:AG$3,2)=5),--ISNUMBER(MATCH(C22:AG22,{"DM","CS1","CS2","SB1","AE","CS/B","WEEKEND OUTFIELD RESERVE"},0)))</f>
        <v>0</v>
      </c>
      <c r="AV22" s="77">
        <f>SUMPRODUCT(--(WEEKDAY(C$3:AG$3,2)&gt;5),--ISNUMBER(MATCH(C22:AG22,{"DM","CS1","CS2","SB1","AE","CS/B","WEEKEND OUTFIELD RESERVE"},0)))</f>
        <v>0</v>
      </c>
      <c r="AW22" s="77"/>
      <c r="AX22" s="77">
        <f t="shared" si="3"/>
        <v>1</v>
      </c>
      <c r="AY22" s="77">
        <f t="shared" si="4"/>
        <v>0</v>
      </c>
      <c r="AZ22" s="77">
        <f t="shared" si="5"/>
        <v>0</v>
      </c>
      <c r="BA22" s="76">
        <f t="shared" si="6"/>
        <v>1</v>
      </c>
      <c r="BB22" s="77">
        <f t="shared" si="7"/>
        <v>0</v>
      </c>
      <c r="BC22" s="77">
        <f t="shared" si="8"/>
        <v>0</v>
      </c>
      <c r="BD22" s="77">
        <f t="shared" si="9"/>
        <v>0</v>
      </c>
      <c r="BE22" s="77">
        <f t="shared" si="10"/>
        <v>0</v>
      </c>
      <c r="BF22" s="77">
        <f t="shared" si="11"/>
        <v>0</v>
      </c>
      <c r="BG22" s="77">
        <f t="shared" si="12"/>
        <v>0</v>
      </c>
      <c r="BH22" s="77">
        <f t="shared" si="13"/>
        <v>0</v>
      </c>
      <c r="BI22" s="77">
        <f t="shared" si="14"/>
        <v>0</v>
      </c>
      <c r="BJ22" s="77">
        <f t="shared" si="15"/>
        <v>0</v>
      </c>
      <c r="BK22" s="77">
        <f t="shared" si="16"/>
        <v>0</v>
      </c>
      <c r="BL22" s="77">
        <f t="shared" si="17"/>
        <v>0</v>
      </c>
      <c r="BM22" s="77">
        <f t="shared" si="25"/>
        <v>0</v>
      </c>
      <c r="BN22" s="77">
        <f t="shared" si="26"/>
        <v>0</v>
      </c>
      <c r="BO22" s="77">
        <f t="shared" si="27"/>
        <v>0</v>
      </c>
      <c r="BP22" s="77"/>
    </row>
    <row r="23" ht="51" customHeight="1" spans="1:68">
      <c r="A23" s="67"/>
      <c r="B23" s="76" t="s">
        <v>598</v>
      </c>
      <c r="C23" s="60"/>
      <c r="D23" s="60"/>
      <c r="E23" s="60" t="s">
        <v>56</v>
      </c>
      <c r="F23" s="60"/>
      <c r="G23" s="60"/>
      <c r="H23" s="60" t="s">
        <v>55</v>
      </c>
      <c r="I23" s="60" t="s">
        <v>58</v>
      </c>
      <c r="J23" s="60"/>
      <c r="L23" s="60"/>
      <c r="N23" s="60" t="s">
        <v>56</v>
      </c>
      <c r="O23" s="60" t="s">
        <v>55</v>
      </c>
      <c r="P23" s="60" t="s">
        <v>350</v>
      </c>
      <c r="Q23" s="60"/>
      <c r="S23" s="60"/>
      <c r="T23" s="60"/>
      <c r="U23" s="60"/>
      <c r="V23" s="60" t="s">
        <v>55</v>
      </c>
      <c r="W23" s="60"/>
      <c r="X23" s="60" t="s">
        <v>93</v>
      </c>
      <c r="Y23" s="60"/>
      <c r="Z23" s="53"/>
      <c r="AA23" s="60"/>
      <c r="AB23" s="60"/>
      <c r="AC23" s="53" t="s">
        <v>55</v>
      </c>
      <c r="AD23" s="60"/>
      <c r="AE23" s="79"/>
      <c r="AF23" s="60" t="s">
        <v>943</v>
      </c>
      <c r="AG23" s="60"/>
      <c r="AH23" s="67">
        <f t="shared" ref="AH23:AP23" si="38">COUNTIF($C23:$AF23,AH$4)</f>
        <v>0</v>
      </c>
      <c r="AI23" s="67">
        <f t="shared" si="38"/>
        <v>2</v>
      </c>
      <c r="AJ23" s="67">
        <f t="shared" si="38"/>
        <v>0</v>
      </c>
      <c r="AK23" s="67">
        <f t="shared" si="38"/>
        <v>0</v>
      </c>
      <c r="AL23" s="67">
        <f t="shared" si="38"/>
        <v>1</v>
      </c>
      <c r="AM23" s="67">
        <f t="shared" si="38"/>
        <v>1</v>
      </c>
      <c r="AN23" s="67">
        <f t="shared" si="38"/>
        <v>0</v>
      </c>
      <c r="AO23" s="67">
        <f t="shared" si="38"/>
        <v>0</v>
      </c>
      <c r="AP23" s="67">
        <f t="shared" si="38"/>
        <v>0</v>
      </c>
      <c r="AQ23" s="76">
        <v>0</v>
      </c>
      <c r="AR23" s="76"/>
      <c r="AS23" s="77">
        <f>SUMPRODUCT(--(WEEKDAY(C$3:AG$3,2)&lt;5),--ISNUMBER(MATCH(C23:AG23,{"DM","CS1","CS2","SB1","AE","CS/B"},0)))</f>
        <v>1</v>
      </c>
      <c r="AT23" s="77"/>
      <c r="AU23" s="77">
        <f>SUMPRODUCT(--(WEEKDAY(C$3:AG$3,2)=5),--ISNUMBER(MATCH(C23:AG23,{"DM","CS1","CS2","SB1","AE","CS/B","WEEKEND OUTFIELD RESERVE"},0)))</f>
        <v>1</v>
      </c>
      <c r="AV23" s="77">
        <f>SUMPRODUCT(--(WEEKDAY(C$3:AG$3,2)&gt;5),--ISNUMBER(MATCH(C23:AG23,{"DM","CS1","CS2","SB1","AE","CS/B","WEEKEND OUTFIELD RESERVE"},0)))</f>
        <v>1</v>
      </c>
      <c r="AW23" s="77"/>
      <c r="AX23" s="77">
        <f t="shared" si="3"/>
        <v>5</v>
      </c>
      <c r="AY23" s="77">
        <f t="shared" si="4"/>
        <v>3</v>
      </c>
      <c r="AZ23" s="77">
        <f t="shared" si="5"/>
        <v>1</v>
      </c>
      <c r="BA23" s="76">
        <f t="shared" si="6"/>
        <v>6</v>
      </c>
      <c r="BB23" s="77">
        <f t="shared" si="7"/>
        <v>1</v>
      </c>
      <c r="BC23" s="77">
        <f t="shared" si="8"/>
        <v>0</v>
      </c>
      <c r="BD23" s="77">
        <f t="shared" si="9"/>
        <v>0</v>
      </c>
      <c r="BE23" s="77">
        <f t="shared" si="10"/>
        <v>1</v>
      </c>
      <c r="BF23" s="77">
        <f t="shared" si="11"/>
        <v>1</v>
      </c>
      <c r="BG23" s="77">
        <f t="shared" si="12"/>
        <v>0</v>
      </c>
      <c r="BH23" s="77">
        <f t="shared" si="13"/>
        <v>0</v>
      </c>
      <c r="BI23" s="77">
        <f t="shared" si="14"/>
        <v>0</v>
      </c>
      <c r="BJ23" s="77">
        <f t="shared" si="15"/>
        <v>0</v>
      </c>
      <c r="BK23" s="77">
        <f t="shared" si="16"/>
        <v>0</v>
      </c>
      <c r="BL23" s="77">
        <f t="shared" si="17"/>
        <v>0</v>
      </c>
      <c r="BM23" s="77">
        <f t="shared" si="25"/>
        <v>0</v>
      </c>
      <c r="BN23" s="77">
        <f t="shared" si="26"/>
        <v>1</v>
      </c>
      <c r="BO23" s="77">
        <f t="shared" si="27"/>
        <v>3</v>
      </c>
      <c r="BP23" s="77"/>
    </row>
    <row r="24" ht="19.5" customHeight="1" spans="1:68">
      <c r="A24" s="67"/>
      <c r="B24" s="76" t="s">
        <v>944</v>
      </c>
      <c r="C24" s="60"/>
      <c r="D24" s="60" t="s">
        <v>566</v>
      </c>
      <c r="E24" s="60"/>
      <c r="F24" s="60"/>
      <c r="G24" s="60"/>
      <c r="H24" s="60"/>
      <c r="I24" s="60" t="s">
        <v>55</v>
      </c>
      <c r="J24" s="60" t="s">
        <v>945</v>
      </c>
      <c r="K24" s="60" t="s">
        <v>54</v>
      </c>
      <c r="L24" s="60" t="s">
        <v>54</v>
      </c>
      <c r="M24" s="60" t="s">
        <v>54</v>
      </c>
      <c r="N24" s="60" t="s">
        <v>54</v>
      </c>
      <c r="O24" s="60"/>
      <c r="P24" s="60"/>
      <c r="Q24" s="53" t="s">
        <v>59</v>
      </c>
      <c r="R24" s="53"/>
      <c r="S24" s="60"/>
      <c r="T24" s="53" t="s">
        <v>57</v>
      </c>
      <c r="U24" s="53"/>
      <c r="V24" s="60"/>
      <c r="W24" s="53"/>
      <c r="X24" s="60" t="s">
        <v>946</v>
      </c>
      <c r="Y24" s="53"/>
      <c r="Z24" s="53"/>
      <c r="AA24" s="60"/>
      <c r="AB24" s="60"/>
      <c r="AC24" s="60"/>
      <c r="AD24" s="60"/>
      <c r="AE24" s="84"/>
      <c r="AF24" s="60"/>
      <c r="AG24" s="60"/>
      <c r="AH24" s="67">
        <f t="shared" ref="AH24:AP24" si="39">COUNTIF($C24:$Z24,AH$4)</f>
        <v>1</v>
      </c>
      <c r="AI24" s="67">
        <f t="shared" si="39"/>
        <v>0</v>
      </c>
      <c r="AJ24" s="67">
        <f t="shared" si="39"/>
        <v>1</v>
      </c>
      <c r="AK24" s="67">
        <f t="shared" si="39"/>
        <v>1</v>
      </c>
      <c r="AL24" s="67">
        <f t="shared" si="39"/>
        <v>0</v>
      </c>
      <c r="AM24" s="67">
        <f t="shared" si="39"/>
        <v>0</v>
      </c>
      <c r="AN24" s="67">
        <f t="shared" si="39"/>
        <v>0</v>
      </c>
      <c r="AO24" s="67">
        <f t="shared" si="39"/>
        <v>0</v>
      </c>
      <c r="AP24" s="67">
        <f t="shared" si="39"/>
        <v>0</v>
      </c>
      <c r="AQ24" s="76"/>
      <c r="AR24" s="76">
        <v>4.5</v>
      </c>
      <c r="AS24" s="77">
        <f>SUMPRODUCT(--(WEEKDAY(C$3:AG$3,2)&lt;5),--ISNUMBER(MATCH(C24:AG24,{"DM","CS1","CS2","SB1","AE","CS/B"},0)))</f>
        <v>2</v>
      </c>
      <c r="AT24" s="67"/>
      <c r="AU24" s="77">
        <f>SUMPRODUCT(--(WEEKDAY(C$3:AG$3,2)=5),--ISNUMBER(MATCH(C24:AG24,{"DM","CS1","CS2","SB1","AE","CS/B","WEEKEND OUTFIELD RESERVE"},0)))</f>
        <v>0</v>
      </c>
      <c r="AV24" s="77">
        <f>SUMPRODUCT(--(WEEKDAY(C$3:AG$3,2)&gt;5),--ISNUMBER(MATCH(C24:AG24,{"DM","CS1","CS2","SB1","AE","CS/B","WEEKEND OUTFIELD RESERVE"},0)))</f>
        <v>1</v>
      </c>
      <c r="AW24" s="67"/>
      <c r="AX24" s="77">
        <f t="shared" si="3"/>
        <v>-0.5</v>
      </c>
      <c r="AY24" s="77">
        <f t="shared" si="4"/>
        <v>3</v>
      </c>
      <c r="AZ24" s="77">
        <f t="shared" si="5"/>
        <v>1</v>
      </c>
      <c r="BA24" s="76">
        <f t="shared" si="6"/>
        <v>0</v>
      </c>
      <c r="BB24" s="77">
        <f t="shared" si="7"/>
        <v>0.5</v>
      </c>
      <c r="BC24" s="77">
        <f t="shared" si="8"/>
        <v>0</v>
      </c>
      <c r="BD24" s="77">
        <f t="shared" si="9"/>
        <v>0</v>
      </c>
      <c r="BE24" s="77">
        <f t="shared" si="10"/>
        <v>0</v>
      </c>
      <c r="BF24" s="77">
        <f t="shared" si="11"/>
        <v>0</v>
      </c>
      <c r="BG24" s="77">
        <f t="shared" si="12"/>
        <v>0</v>
      </c>
      <c r="BH24" s="77">
        <f t="shared" si="13"/>
        <v>0</v>
      </c>
      <c r="BI24" s="77">
        <f t="shared" si="14"/>
        <v>1</v>
      </c>
      <c r="BJ24" s="77">
        <f t="shared" si="15"/>
        <v>0.5</v>
      </c>
      <c r="BK24" s="77">
        <f t="shared" si="16"/>
        <v>0</v>
      </c>
      <c r="BL24" s="77">
        <f t="shared" si="17"/>
        <v>0</v>
      </c>
      <c r="BM24" s="77">
        <f>COUNTIF($D24:$Z24,BM$4)</f>
        <v>0</v>
      </c>
      <c r="BN24" s="77">
        <f>COUNTIF($D24:$Z24,BN$4)</f>
        <v>0</v>
      </c>
      <c r="BO24" s="77">
        <f>COUNTIF($D24:$Z24,BO$4)</f>
        <v>1</v>
      </c>
      <c r="BP24" s="67"/>
    </row>
    <row r="25" ht="103.5" customHeight="1" spans="1:68">
      <c r="A25" s="67"/>
      <c r="B25" s="76" t="s">
        <v>594</v>
      </c>
      <c r="C25" s="60"/>
      <c r="D25" s="60" t="s">
        <v>573</v>
      </c>
      <c r="E25" s="60"/>
      <c r="F25" s="60" t="s">
        <v>56</v>
      </c>
      <c r="G25" s="60"/>
      <c r="H25" s="60"/>
      <c r="I25" s="60" t="s">
        <v>308</v>
      </c>
      <c r="J25" s="60"/>
      <c r="K25" s="60" t="s">
        <v>707</v>
      </c>
      <c r="L25" s="53"/>
      <c r="M25" s="60" t="s">
        <v>56</v>
      </c>
      <c r="N25" s="60"/>
      <c r="O25" s="60" t="s">
        <v>380</v>
      </c>
      <c r="P25" s="60" t="s">
        <v>380</v>
      </c>
      <c r="Q25" s="60"/>
      <c r="R25" s="53"/>
      <c r="S25" s="53" t="s">
        <v>162</v>
      </c>
      <c r="T25" s="60"/>
      <c r="U25" s="60" t="s">
        <v>947</v>
      </c>
      <c r="V25" s="60"/>
      <c r="W25" s="60" t="s">
        <v>948</v>
      </c>
      <c r="X25" s="60"/>
      <c r="Y25" s="60" t="s">
        <v>57</v>
      </c>
      <c r="Z25" s="60"/>
      <c r="AB25" s="60"/>
      <c r="AC25" s="60"/>
      <c r="AD25" s="60" t="s">
        <v>59</v>
      </c>
      <c r="AE25" s="79"/>
      <c r="AF25" s="60" t="s">
        <v>93</v>
      </c>
      <c r="AG25" s="60" t="s">
        <v>57</v>
      </c>
      <c r="AH25" s="67">
        <f t="shared" ref="AH25:AP25" si="40">COUNTIF($C25:$AF25,AH$4)</f>
        <v>1</v>
      </c>
      <c r="AI25" s="67">
        <f t="shared" si="40"/>
        <v>2</v>
      </c>
      <c r="AJ25" s="67">
        <f t="shared" si="40"/>
        <v>1</v>
      </c>
      <c r="AK25" s="67">
        <f t="shared" si="40"/>
        <v>0</v>
      </c>
      <c r="AL25" s="67">
        <f t="shared" si="40"/>
        <v>0</v>
      </c>
      <c r="AM25" s="67">
        <f t="shared" si="40"/>
        <v>1</v>
      </c>
      <c r="AN25" s="67">
        <f t="shared" si="40"/>
        <v>0</v>
      </c>
      <c r="AO25" s="67">
        <f t="shared" si="40"/>
        <v>0</v>
      </c>
      <c r="AP25" s="67">
        <f t="shared" si="40"/>
        <v>0</v>
      </c>
      <c r="AQ25" s="76"/>
      <c r="AR25" s="76">
        <v>2.5</v>
      </c>
      <c r="AS25" s="77">
        <f>SUMPRODUCT(--(WEEKDAY(C$3:AG$3,2)&lt;5),--ISNUMBER(MATCH(C25:AG25,{"DM","CS1","CS2","SB1","AE","CS/B"},0)))</f>
        <v>2</v>
      </c>
      <c r="AT25" s="77"/>
      <c r="AU25" s="77">
        <f>SUMPRODUCT(--(WEEKDAY(C$3:AG$3,2)=5),--ISNUMBER(MATCH(C25:AG25,{"DM","CS1","CS2","SB1","AE","CS/B","WEEKEND OUTFIELD RESERVE"},0)))</f>
        <v>1</v>
      </c>
      <c r="AV25" s="77">
        <f>SUMPRODUCT(--(WEEKDAY(C$3:AG$3,2)&gt;5),--ISNUMBER(MATCH(C25:AG25,{"DM","CS1","CS2","SB1","AE","CS/B","WEEKEND OUTFIELD RESERVE"},0)))</f>
        <v>2</v>
      </c>
      <c r="AW25" s="77"/>
      <c r="AX25" s="77">
        <f t="shared" si="3"/>
        <v>5.5</v>
      </c>
      <c r="AY25" s="77">
        <f t="shared" si="4"/>
        <v>5</v>
      </c>
      <c r="AZ25" s="77">
        <f t="shared" si="5"/>
        <v>2</v>
      </c>
      <c r="BA25" s="76">
        <f t="shared" si="6"/>
        <v>7.5</v>
      </c>
      <c r="BB25" s="77">
        <f t="shared" si="7"/>
        <v>2</v>
      </c>
      <c r="BC25" s="77">
        <f t="shared" si="8"/>
        <v>1</v>
      </c>
      <c r="BD25" s="77">
        <f t="shared" si="9"/>
        <v>1.5</v>
      </c>
      <c r="BE25" s="77">
        <f t="shared" si="10"/>
        <v>0</v>
      </c>
      <c r="BF25" s="77">
        <f t="shared" si="11"/>
        <v>0</v>
      </c>
      <c r="BG25" s="77">
        <f t="shared" si="12"/>
        <v>1</v>
      </c>
      <c r="BH25" s="77">
        <f t="shared" si="13"/>
        <v>0.5</v>
      </c>
      <c r="BI25" s="77">
        <f t="shared" si="14"/>
        <v>0</v>
      </c>
      <c r="BJ25" s="77">
        <f t="shared" si="15"/>
        <v>0</v>
      </c>
      <c r="BK25" s="77">
        <f t="shared" si="16"/>
        <v>0</v>
      </c>
      <c r="BL25" s="77">
        <f t="shared" si="17"/>
        <v>0</v>
      </c>
      <c r="BM25" s="77">
        <f t="shared" ref="BM25:BM30" si="41">COUNTIF($D25:$AA25,BM$4)</f>
        <v>0</v>
      </c>
      <c r="BN25" s="77">
        <f t="shared" ref="BN25:BN30" si="42">COUNTIF($D25:$AA25,BN$4)</f>
        <v>0</v>
      </c>
      <c r="BO25" s="77">
        <f t="shared" ref="BO25:BO30" si="43">COUNTIF($D25:$AA25,BO$4)</f>
        <v>0</v>
      </c>
      <c r="BP25" s="77"/>
    </row>
    <row r="26" ht="68.25" customHeight="1" spans="1:68">
      <c r="A26" s="67"/>
      <c r="B26" s="76" t="s">
        <v>725</v>
      </c>
      <c r="C26" s="53"/>
      <c r="D26" s="60" t="s">
        <v>93</v>
      </c>
      <c r="E26" s="60"/>
      <c r="F26" s="60" t="s">
        <v>57</v>
      </c>
      <c r="G26" s="53"/>
      <c r="H26" s="60" t="s">
        <v>949</v>
      </c>
      <c r="I26" s="53" t="s">
        <v>55</v>
      </c>
      <c r="J26" s="60" t="s">
        <v>69</v>
      </c>
      <c r="K26" s="53" t="s">
        <v>57</v>
      </c>
      <c r="L26" s="60"/>
      <c r="M26" s="60"/>
      <c r="N26" s="53"/>
      <c r="O26" s="130"/>
      <c r="Q26" s="131"/>
      <c r="R26" s="132" t="s">
        <v>350</v>
      </c>
      <c r="S26" s="131"/>
      <c r="T26" s="133"/>
      <c r="U26" s="133"/>
      <c r="V26" s="134" t="s">
        <v>55</v>
      </c>
      <c r="W26" s="130" t="s">
        <v>55</v>
      </c>
      <c r="X26" s="96" t="s">
        <v>950</v>
      </c>
      <c r="Y26" s="135" t="s">
        <v>55</v>
      </c>
      <c r="Z26" s="60"/>
      <c r="AA26" s="60"/>
      <c r="AB26" s="60"/>
      <c r="AC26" s="60" t="s">
        <v>483</v>
      </c>
      <c r="AD26" s="60" t="s">
        <v>71</v>
      </c>
      <c r="AE26" s="78" t="s">
        <v>71</v>
      </c>
      <c r="AF26" s="53"/>
      <c r="AG26" s="60"/>
      <c r="AH26" s="67">
        <f t="shared" ref="AH26:AP26" si="44">COUNTIF($C26:$AF26,AH$4)</f>
        <v>2</v>
      </c>
      <c r="AI26" s="67">
        <f t="shared" si="44"/>
        <v>0</v>
      </c>
      <c r="AJ26" s="67">
        <f t="shared" si="44"/>
        <v>0</v>
      </c>
      <c r="AK26" s="67">
        <f t="shared" si="44"/>
        <v>0</v>
      </c>
      <c r="AL26" s="67">
        <f t="shared" si="44"/>
        <v>0</v>
      </c>
      <c r="AM26" s="67">
        <f t="shared" si="44"/>
        <v>1</v>
      </c>
      <c r="AN26" s="67">
        <f t="shared" si="44"/>
        <v>0</v>
      </c>
      <c r="AO26" s="67">
        <f t="shared" si="44"/>
        <v>0</v>
      </c>
      <c r="AP26" s="67">
        <f t="shared" si="44"/>
        <v>0</v>
      </c>
      <c r="AQ26" s="76"/>
      <c r="AR26" s="76"/>
      <c r="AS26" s="77">
        <f>SUMPRODUCT(--(WEEKDAY(C$3:AG$3,2)&lt;5),--ISNUMBER(MATCH(C26:AG26,{"DM","CS1","CS2","SB1","AE","CS/B"},0)))</f>
        <v>1</v>
      </c>
      <c r="AT26" s="77"/>
      <c r="AU26" s="77">
        <f>SUMPRODUCT(--(WEEKDAY(C$3:AG$3,2)=5),--ISNUMBER(MATCH(C26:AG26,{"DM","CS1","CS2","SB1","AE","CS/B","WEEKEND OUTFIELD RESERVE"},0)))</f>
        <v>0</v>
      </c>
      <c r="AV26" s="77">
        <f>SUMPRODUCT(--(WEEKDAY(C$3:AG$3,2)&gt;5),--ISNUMBER(MATCH(C26:AG26,{"DM","CS1","CS2","SB1","AE","CS/B","WEEKEND OUTFIELD RESERVE"},0)))</f>
        <v>1</v>
      </c>
      <c r="AW26" s="77"/>
      <c r="AX26" s="77">
        <f t="shared" si="3"/>
        <v>3.5</v>
      </c>
      <c r="AY26" s="77">
        <f t="shared" si="4"/>
        <v>2</v>
      </c>
      <c r="AZ26" s="77">
        <f t="shared" si="5"/>
        <v>1</v>
      </c>
      <c r="BA26" s="76">
        <f t="shared" si="6"/>
        <v>4</v>
      </c>
      <c r="BB26" s="77">
        <f t="shared" si="7"/>
        <v>0.5</v>
      </c>
      <c r="BC26" s="77">
        <f t="shared" si="8"/>
        <v>0</v>
      </c>
      <c r="BD26" s="77">
        <f t="shared" si="9"/>
        <v>0</v>
      </c>
      <c r="BE26" s="77">
        <f t="shared" si="10"/>
        <v>0</v>
      </c>
      <c r="BF26" s="77">
        <f t="shared" si="11"/>
        <v>0</v>
      </c>
      <c r="BG26" s="77">
        <f t="shared" si="12"/>
        <v>1</v>
      </c>
      <c r="BH26" s="77">
        <f t="shared" si="13"/>
        <v>0.5</v>
      </c>
      <c r="BI26" s="77">
        <f t="shared" si="14"/>
        <v>0</v>
      </c>
      <c r="BJ26" s="77">
        <f t="shared" si="15"/>
        <v>0</v>
      </c>
      <c r="BK26" s="77">
        <f t="shared" si="16"/>
        <v>0</v>
      </c>
      <c r="BL26" s="77">
        <f t="shared" si="17"/>
        <v>0</v>
      </c>
      <c r="BM26" s="77">
        <f t="shared" si="41"/>
        <v>0</v>
      </c>
      <c r="BN26" s="77">
        <f t="shared" si="42"/>
        <v>1</v>
      </c>
      <c r="BO26" s="77">
        <f t="shared" si="43"/>
        <v>4</v>
      </c>
      <c r="BP26" s="77"/>
    </row>
    <row r="27" ht="19.5" customHeight="1" spans="1:68">
      <c r="A27" s="67"/>
      <c r="B27" s="76" t="s">
        <v>951</v>
      </c>
      <c r="C27" s="60"/>
      <c r="D27" s="60"/>
      <c r="E27" s="53" t="s">
        <v>57</v>
      </c>
      <c r="F27" s="53"/>
      <c r="G27" s="60"/>
      <c r="H27" s="60" t="s">
        <v>573</v>
      </c>
      <c r="I27" s="60"/>
      <c r="J27" s="53" t="s">
        <v>573</v>
      </c>
      <c r="K27" s="60" t="s">
        <v>707</v>
      </c>
      <c r="L27" s="53" t="s">
        <v>54</v>
      </c>
      <c r="M27" s="53" t="s">
        <v>54</v>
      </c>
      <c r="N27" s="60" t="s">
        <v>54</v>
      </c>
      <c r="O27" s="60" t="s">
        <v>380</v>
      </c>
      <c r="P27" s="60" t="s">
        <v>380</v>
      </c>
      <c r="Q27" s="60"/>
      <c r="R27" s="53"/>
      <c r="S27" s="53" t="s">
        <v>162</v>
      </c>
      <c r="T27" s="60"/>
      <c r="U27" s="60" t="s">
        <v>57</v>
      </c>
      <c r="V27" s="60"/>
      <c r="W27" s="53" t="s">
        <v>952</v>
      </c>
      <c r="X27" s="60" t="s">
        <v>57</v>
      </c>
      <c r="Y27" s="53"/>
      <c r="Z27" s="53"/>
      <c r="AA27" s="60" t="s">
        <v>350</v>
      </c>
      <c r="AB27" s="53"/>
      <c r="AC27" s="86" t="s">
        <v>573</v>
      </c>
      <c r="AD27" s="87" t="s">
        <v>93</v>
      </c>
      <c r="AE27" s="88" t="s">
        <v>58</v>
      </c>
      <c r="AF27" s="60"/>
      <c r="AG27" s="60"/>
      <c r="AH27" s="67">
        <f t="shared" ref="AH27:AP27" si="45">COUNTIF($C27:$AF27,AH$4)</f>
        <v>3</v>
      </c>
      <c r="AI27" s="67">
        <f t="shared" si="45"/>
        <v>0</v>
      </c>
      <c r="AJ27" s="67">
        <f t="shared" si="45"/>
        <v>0</v>
      </c>
      <c r="AK27" s="67">
        <f t="shared" si="45"/>
        <v>0</v>
      </c>
      <c r="AL27" s="67">
        <f t="shared" si="45"/>
        <v>1</v>
      </c>
      <c r="AM27" s="67">
        <f t="shared" si="45"/>
        <v>1</v>
      </c>
      <c r="AN27" s="67">
        <f t="shared" si="45"/>
        <v>0</v>
      </c>
      <c r="AO27" s="67">
        <f t="shared" si="45"/>
        <v>0</v>
      </c>
      <c r="AP27" s="67">
        <f t="shared" si="45"/>
        <v>0</v>
      </c>
      <c r="AQ27" s="76">
        <v>3</v>
      </c>
      <c r="AR27" s="76"/>
      <c r="AS27" s="77">
        <f>SUMPRODUCT(--(WEEKDAY(C$3:AG$3,2)&lt;5),--ISNUMBER(MATCH(C27:AG27,{"DM","CS1","CS2","SB1","AE","CS/B"},0)))</f>
        <v>2</v>
      </c>
      <c r="AT27" s="67"/>
      <c r="AU27" s="77">
        <f>SUMPRODUCT(--(WEEKDAY(C$3:AG$3,2)=5),--ISNUMBER(MATCH(C27:AG27,{"DM","CS1","CS2","SB1","AE","CS/B","WEEKEND OUTFIELD RESERVE"},0)))</f>
        <v>1</v>
      </c>
      <c r="AV27" s="77">
        <f>SUMPRODUCT(--(WEEKDAY(C$3:AG$3,2)&gt;5),--ISNUMBER(MATCH(C27:AG27,{"DM","CS1","CS2","SB1","AE","CS/B","WEEKEND OUTFIELD RESERVE"},0)))</f>
        <v>1</v>
      </c>
      <c r="AW27" s="67"/>
      <c r="AX27" s="77">
        <f t="shared" si="3"/>
        <v>9</v>
      </c>
      <c r="AY27" s="77">
        <f t="shared" si="4"/>
        <v>4</v>
      </c>
      <c r="AZ27" s="77">
        <f t="shared" si="5"/>
        <v>1</v>
      </c>
      <c r="BA27" s="76">
        <f t="shared" si="6"/>
        <v>9.5</v>
      </c>
      <c r="BB27" s="77">
        <f t="shared" si="7"/>
        <v>0.5</v>
      </c>
      <c r="BC27" s="77">
        <f t="shared" si="8"/>
        <v>0</v>
      </c>
      <c r="BD27" s="77">
        <f t="shared" si="9"/>
        <v>0</v>
      </c>
      <c r="BE27" s="77">
        <f t="shared" si="10"/>
        <v>0</v>
      </c>
      <c r="BF27" s="77">
        <f t="shared" si="11"/>
        <v>0</v>
      </c>
      <c r="BG27" s="77">
        <f t="shared" si="12"/>
        <v>0</v>
      </c>
      <c r="BH27" s="77">
        <f t="shared" si="13"/>
        <v>0</v>
      </c>
      <c r="BI27" s="77">
        <f t="shared" si="14"/>
        <v>1</v>
      </c>
      <c r="BJ27" s="77">
        <f t="shared" si="15"/>
        <v>0.5</v>
      </c>
      <c r="BK27" s="77">
        <f t="shared" si="16"/>
        <v>0</v>
      </c>
      <c r="BL27" s="77">
        <f t="shared" si="17"/>
        <v>0</v>
      </c>
      <c r="BM27" s="77">
        <f t="shared" si="41"/>
        <v>0</v>
      </c>
      <c r="BN27" s="77">
        <f t="shared" si="42"/>
        <v>1</v>
      </c>
      <c r="BO27" s="77">
        <f t="shared" si="43"/>
        <v>0</v>
      </c>
      <c r="BP27" s="67"/>
    </row>
    <row r="28" ht="48" customHeight="1" spans="1:68">
      <c r="A28" s="67"/>
      <c r="B28" s="76" t="s">
        <v>609</v>
      </c>
      <c r="C28" s="53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X28" s="60"/>
      <c r="Y28" s="60"/>
      <c r="Z28" s="60"/>
      <c r="AA28" s="60"/>
      <c r="AB28" s="60"/>
      <c r="AC28" s="89"/>
      <c r="AD28" s="89"/>
      <c r="AE28" s="84"/>
      <c r="AF28" s="60"/>
      <c r="AG28" s="60"/>
      <c r="AH28" s="67">
        <f t="shared" ref="AH28:AP28" si="46">COUNTIF($C28:$AF28,AH$4)</f>
        <v>0</v>
      </c>
      <c r="AI28" s="67">
        <f t="shared" si="46"/>
        <v>0</v>
      </c>
      <c r="AJ28" s="67">
        <f t="shared" si="46"/>
        <v>0</v>
      </c>
      <c r="AK28" s="67">
        <f t="shared" si="46"/>
        <v>0</v>
      </c>
      <c r="AL28" s="67">
        <f t="shared" si="46"/>
        <v>0</v>
      </c>
      <c r="AM28" s="67">
        <f t="shared" si="46"/>
        <v>0</v>
      </c>
      <c r="AN28" s="67">
        <f t="shared" si="46"/>
        <v>0</v>
      </c>
      <c r="AO28" s="67">
        <f t="shared" si="46"/>
        <v>0</v>
      </c>
      <c r="AP28" s="67">
        <f t="shared" si="46"/>
        <v>0</v>
      </c>
      <c r="AQ28" s="76"/>
      <c r="AR28" s="76">
        <v>7</v>
      </c>
      <c r="AS28" s="77">
        <f>SUMPRODUCT(--(WEEKDAY(C$3:AG$3,2)&lt;5),--ISNUMBER(MATCH(C28:AG28,{"DM","CS1","CS2","SB1","AE","CS/B"},0)))</f>
        <v>0</v>
      </c>
      <c r="AT28" s="77"/>
      <c r="AU28" s="77">
        <f>SUMPRODUCT(--(WEEKDAY(C$3:AG$3,2)=5),--ISNUMBER(MATCH(C28:AG28,{"DM","CS1","CS2","SB1","AE","CS/B","WEEKEND OUTFIELD RESERVE"},0)))</f>
        <v>0</v>
      </c>
      <c r="AV28" s="77">
        <f>SUMPRODUCT(--(WEEKDAY(C$3:AG$3,2)&gt;5),--ISNUMBER(MATCH(C28:AG28,{"DM","CS1","CS2","SB1","AE","CS/B","WEEKEND OUTFIELD RESERVE"},0)))</f>
        <v>0</v>
      </c>
      <c r="AW28" s="77"/>
      <c r="AX28" s="77">
        <f t="shared" si="3"/>
        <v>-7</v>
      </c>
      <c r="AY28" s="77">
        <f t="shared" si="4"/>
        <v>0</v>
      </c>
      <c r="AZ28" s="77">
        <f t="shared" si="5"/>
        <v>0</v>
      </c>
      <c r="BA28" s="76">
        <f t="shared" si="6"/>
        <v>-7</v>
      </c>
      <c r="BB28" s="77">
        <f t="shared" si="7"/>
        <v>0</v>
      </c>
      <c r="BC28" s="77">
        <f t="shared" si="8"/>
        <v>0</v>
      </c>
      <c r="BD28" s="77">
        <f t="shared" si="9"/>
        <v>0</v>
      </c>
      <c r="BE28" s="77">
        <f t="shared" si="10"/>
        <v>0</v>
      </c>
      <c r="BF28" s="77">
        <f t="shared" si="11"/>
        <v>0</v>
      </c>
      <c r="BG28" s="77">
        <f t="shared" si="12"/>
        <v>0</v>
      </c>
      <c r="BH28" s="77">
        <f t="shared" si="13"/>
        <v>0</v>
      </c>
      <c r="BI28" s="77">
        <f t="shared" si="14"/>
        <v>0</v>
      </c>
      <c r="BJ28" s="77">
        <f t="shared" si="15"/>
        <v>0</v>
      </c>
      <c r="BK28" s="77">
        <f t="shared" si="16"/>
        <v>0</v>
      </c>
      <c r="BL28" s="77">
        <f t="shared" si="17"/>
        <v>0</v>
      </c>
      <c r="BM28" s="77">
        <f t="shared" si="41"/>
        <v>0</v>
      </c>
      <c r="BN28" s="77">
        <f t="shared" si="42"/>
        <v>0</v>
      </c>
      <c r="BO28" s="77">
        <f t="shared" si="43"/>
        <v>0</v>
      </c>
      <c r="BP28" s="77"/>
    </row>
    <row r="29" ht="19.5" customHeight="1" spans="1:68">
      <c r="A29" s="67"/>
      <c r="B29" s="76" t="s">
        <v>614</v>
      </c>
      <c r="C29" s="60" t="s">
        <v>56</v>
      </c>
      <c r="D29" s="60"/>
      <c r="E29" s="60" t="s">
        <v>573</v>
      </c>
      <c r="F29" s="53"/>
      <c r="G29" s="60" t="s">
        <v>350</v>
      </c>
      <c r="H29" s="53"/>
      <c r="I29" s="60" t="s">
        <v>57</v>
      </c>
      <c r="J29" s="53"/>
      <c r="K29" s="60" t="s">
        <v>56</v>
      </c>
      <c r="L29" s="53"/>
      <c r="M29" s="53"/>
      <c r="N29" s="53"/>
      <c r="O29" s="60"/>
      <c r="P29" s="60" t="s">
        <v>56</v>
      </c>
      <c r="Q29" s="60"/>
      <c r="R29" s="60"/>
      <c r="S29" s="60" t="s">
        <v>57</v>
      </c>
      <c r="T29" s="60"/>
      <c r="U29" s="60"/>
      <c r="V29" s="53"/>
      <c r="W29" s="60"/>
      <c r="X29" s="60" t="s">
        <v>953</v>
      </c>
      <c r="Y29" s="60"/>
      <c r="Z29" s="60"/>
      <c r="AA29" s="53" t="s">
        <v>57</v>
      </c>
      <c r="AB29" s="60"/>
      <c r="AC29" s="90"/>
      <c r="AD29" s="91" t="s">
        <v>952</v>
      </c>
      <c r="AE29" s="79"/>
      <c r="AF29" s="60" t="s">
        <v>573</v>
      </c>
      <c r="AG29" s="60"/>
      <c r="AH29" s="67">
        <f t="shared" ref="AH29:AP29" si="47">COUNTIF($C29:$AF29,AH$4)</f>
        <v>3</v>
      </c>
      <c r="AI29" s="67">
        <f t="shared" si="47"/>
        <v>3</v>
      </c>
      <c r="AJ29" s="67">
        <f t="shared" si="47"/>
        <v>0</v>
      </c>
      <c r="AK29" s="67">
        <f t="shared" si="47"/>
        <v>0</v>
      </c>
      <c r="AL29" s="67">
        <f t="shared" si="47"/>
        <v>0</v>
      </c>
      <c r="AM29" s="67">
        <f t="shared" si="47"/>
        <v>0</v>
      </c>
      <c r="AN29" s="67">
        <f t="shared" si="47"/>
        <v>0</v>
      </c>
      <c r="AO29" s="67">
        <f t="shared" si="47"/>
        <v>0</v>
      </c>
      <c r="AP29" s="67">
        <f t="shared" si="47"/>
        <v>0</v>
      </c>
      <c r="AQ29" s="76">
        <v>2</v>
      </c>
      <c r="AR29" s="76"/>
      <c r="AS29" s="77">
        <f>SUMPRODUCT(--(WEEKDAY(C$3:AG$3,2)&lt;5),--ISNUMBER(MATCH(C29:AG29,{"DM","CS1","CS2","SB1","AE","CS/B"},0)))</f>
        <v>4</v>
      </c>
      <c r="AT29" s="67"/>
      <c r="AU29" s="77">
        <f>SUMPRODUCT(--(WEEKDAY(C$3:AG$3,2)=5),--ISNUMBER(MATCH(C29:AG29,{"DM","CS1","CS2","SB1","AE","CS/B","WEEKEND OUTFIELD RESERVE"},0)))</f>
        <v>1</v>
      </c>
      <c r="AV29" s="77">
        <f>SUMPRODUCT(--(WEEKDAY(C$3:AG$3,2)&gt;5),--ISNUMBER(MATCH(C29:AG29,{"DM","CS1","CS2","SB1","AE","CS/B","WEEKEND OUTFIELD RESERVE"},0)))</f>
        <v>1</v>
      </c>
      <c r="AW29" s="67"/>
      <c r="AX29" s="77">
        <f t="shared" si="3"/>
        <v>9.5</v>
      </c>
      <c r="AY29" s="77">
        <f t="shared" si="4"/>
        <v>6</v>
      </c>
      <c r="AZ29" s="77">
        <f t="shared" si="5"/>
        <v>2</v>
      </c>
      <c r="BA29" s="76">
        <f t="shared" si="6"/>
        <v>10.5</v>
      </c>
      <c r="BB29" s="77">
        <f t="shared" si="7"/>
        <v>1</v>
      </c>
      <c r="BC29" s="77">
        <f t="shared" si="8"/>
        <v>0</v>
      </c>
      <c r="BD29" s="77">
        <f t="shared" si="9"/>
        <v>0</v>
      </c>
      <c r="BE29" s="77">
        <f t="shared" si="10"/>
        <v>0</v>
      </c>
      <c r="BF29" s="77">
        <f t="shared" si="11"/>
        <v>0</v>
      </c>
      <c r="BG29" s="77">
        <f t="shared" si="12"/>
        <v>0</v>
      </c>
      <c r="BH29" s="77">
        <f t="shared" si="13"/>
        <v>0</v>
      </c>
      <c r="BI29" s="77">
        <f t="shared" si="14"/>
        <v>2</v>
      </c>
      <c r="BJ29" s="77">
        <f t="shared" si="15"/>
        <v>1</v>
      </c>
      <c r="BK29" s="77">
        <f t="shared" si="16"/>
        <v>0</v>
      </c>
      <c r="BL29" s="77">
        <f t="shared" si="17"/>
        <v>0</v>
      </c>
      <c r="BM29" s="77">
        <f t="shared" si="41"/>
        <v>0</v>
      </c>
      <c r="BN29" s="77">
        <f t="shared" si="42"/>
        <v>1</v>
      </c>
      <c r="BO29" s="77">
        <f t="shared" si="43"/>
        <v>0</v>
      </c>
      <c r="BP29" s="67"/>
    </row>
    <row r="30" ht="19.5" customHeight="1" spans="1:68">
      <c r="A30" s="67"/>
      <c r="B30" s="76" t="s">
        <v>954</v>
      </c>
      <c r="C30" s="60"/>
      <c r="D30" s="60" t="s">
        <v>57</v>
      </c>
      <c r="E30" s="60"/>
      <c r="F30" s="53"/>
      <c r="G30" s="60" t="s">
        <v>57</v>
      </c>
      <c r="H30" s="60"/>
      <c r="I30" s="60" t="s">
        <v>573</v>
      </c>
      <c r="J30" s="53" t="s">
        <v>955</v>
      </c>
      <c r="L30" s="53" t="s">
        <v>57</v>
      </c>
      <c r="M30" s="60"/>
      <c r="N30" s="53" t="s">
        <v>57</v>
      </c>
      <c r="O30" s="53"/>
      <c r="P30" s="85" t="s">
        <v>956</v>
      </c>
      <c r="Q30" s="60" t="s">
        <v>93</v>
      </c>
      <c r="R30" s="53"/>
      <c r="S30" s="60"/>
      <c r="T30" s="60" t="s">
        <v>56</v>
      </c>
      <c r="U30" s="60"/>
      <c r="W30" s="60"/>
      <c r="X30" s="60" t="s">
        <v>957</v>
      </c>
      <c r="Y30" s="60" t="s">
        <v>56</v>
      </c>
      <c r="Z30" s="53"/>
      <c r="AA30" s="60"/>
      <c r="AB30" s="53"/>
      <c r="AC30" s="92" t="s">
        <v>237</v>
      </c>
      <c r="AD30" s="89"/>
      <c r="AE30" s="93" t="s">
        <v>57</v>
      </c>
      <c r="AF30" s="60"/>
      <c r="AG30" s="60" t="s">
        <v>573</v>
      </c>
      <c r="AH30" s="67">
        <f t="shared" ref="AH30:AP30" si="48">COUNTIF($C30:$AF30,AH$4)</f>
        <v>5</v>
      </c>
      <c r="AI30" s="67">
        <f t="shared" si="48"/>
        <v>2</v>
      </c>
      <c r="AJ30" s="67">
        <f t="shared" si="48"/>
        <v>0</v>
      </c>
      <c r="AK30" s="67">
        <f t="shared" si="48"/>
        <v>0</v>
      </c>
      <c r="AL30" s="67">
        <f t="shared" si="48"/>
        <v>0</v>
      </c>
      <c r="AM30" s="67">
        <f t="shared" si="48"/>
        <v>1</v>
      </c>
      <c r="AN30" s="67">
        <f t="shared" si="48"/>
        <v>0</v>
      </c>
      <c r="AO30" s="67">
        <f t="shared" si="48"/>
        <v>0</v>
      </c>
      <c r="AP30" s="67">
        <f t="shared" si="48"/>
        <v>0</v>
      </c>
      <c r="AQ30" s="76"/>
      <c r="AR30" s="76">
        <v>5</v>
      </c>
      <c r="AS30" s="77">
        <f>SUMPRODUCT(--(WEEKDAY(C$3:AG$3,2)&lt;5),--ISNUMBER(MATCH(C30:AG30,{"DM","CS1","CS2","SB1","AE","CS/B"},0)))</f>
        <v>3</v>
      </c>
      <c r="AT30" s="67"/>
      <c r="AU30" s="77">
        <f>SUMPRODUCT(--(WEEKDAY(C$3:AG$3,2)=5),--ISNUMBER(MATCH(C30:AG30,{"DM","CS1","CS2","SB1","AE","CS/B","WEEKEND OUTFIELD RESERVE"},0)))</f>
        <v>1</v>
      </c>
      <c r="AV30" s="77">
        <f>SUMPRODUCT(--(WEEKDAY(C$3:AG$3,2)&gt;5),--ISNUMBER(MATCH(C30:AG30,{"DM","CS1","CS2","SB1","AE","CS/B","WEEKEND OUTFIELD RESERVE"},0)))</f>
        <v>3</v>
      </c>
      <c r="AW30" s="67"/>
      <c r="AX30" s="77">
        <f t="shared" si="3"/>
        <v>6</v>
      </c>
      <c r="AY30" s="77">
        <f t="shared" si="4"/>
        <v>7</v>
      </c>
      <c r="AZ30" s="77">
        <f t="shared" si="5"/>
        <v>4</v>
      </c>
      <c r="BA30" s="76">
        <f t="shared" si="6"/>
        <v>9</v>
      </c>
      <c r="BB30" s="77">
        <f t="shared" si="7"/>
        <v>3</v>
      </c>
      <c r="BC30" s="77">
        <f t="shared" si="8"/>
        <v>1</v>
      </c>
      <c r="BD30" s="77">
        <f t="shared" si="9"/>
        <v>1.5</v>
      </c>
      <c r="BE30" s="77">
        <f t="shared" si="10"/>
        <v>0</v>
      </c>
      <c r="BF30" s="77">
        <f t="shared" si="11"/>
        <v>0</v>
      </c>
      <c r="BG30" s="77">
        <f t="shared" si="12"/>
        <v>1</v>
      </c>
      <c r="BH30" s="77">
        <f t="shared" si="13"/>
        <v>0.5</v>
      </c>
      <c r="BI30" s="77">
        <f t="shared" si="14"/>
        <v>2</v>
      </c>
      <c r="BJ30" s="77">
        <f t="shared" si="15"/>
        <v>1</v>
      </c>
      <c r="BK30" s="77">
        <f t="shared" si="16"/>
        <v>0</v>
      </c>
      <c r="BL30" s="77">
        <f t="shared" si="17"/>
        <v>0</v>
      </c>
      <c r="BM30" s="77">
        <f t="shared" si="41"/>
        <v>0</v>
      </c>
      <c r="BN30" s="77">
        <f t="shared" si="42"/>
        <v>0</v>
      </c>
      <c r="BO30" s="77">
        <f t="shared" si="43"/>
        <v>0</v>
      </c>
      <c r="BP30" s="67"/>
    </row>
    <row r="31" ht="19.5" customHeight="1" spans="1:68">
      <c r="A31" s="67"/>
      <c r="B31" s="76" t="s">
        <v>627</v>
      </c>
      <c r="C31" s="60"/>
      <c r="D31" s="60"/>
      <c r="E31" s="60"/>
      <c r="F31" s="60"/>
      <c r="G31" s="53"/>
      <c r="H31" s="53" t="s">
        <v>949</v>
      </c>
      <c r="I31" s="60"/>
      <c r="J31" s="60" t="s">
        <v>61</v>
      </c>
      <c r="L31" s="53"/>
      <c r="M31" s="60" t="s">
        <v>54</v>
      </c>
      <c r="N31" s="60" t="s">
        <v>54</v>
      </c>
      <c r="O31" s="60" t="s">
        <v>54</v>
      </c>
      <c r="P31" s="60" t="s">
        <v>54</v>
      </c>
      <c r="Q31" s="60" t="s">
        <v>54</v>
      </c>
      <c r="R31" s="60" t="s">
        <v>54</v>
      </c>
      <c r="S31" s="60" t="s">
        <v>54</v>
      </c>
      <c r="T31" s="60" t="s">
        <v>54</v>
      </c>
      <c r="U31" s="53" t="s">
        <v>56</v>
      </c>
      <c r="V31" s="60"/>
      <c r="W31" s="53" t="s">
        <v>93</v>
      </c>
      <c r="X31" s="60" t="s">
        <v>958</v>
      </c>
      <c r="Y31" s="53"/>
      <c r="Z31" s="85" t="s">
        <v>956</v>
      </c>
      <c r="AA31" s="53"/>
      <c r="AB31" s="60" t="s">
        <v>595</v>
      </c>
      <c r="AC31" s="94" t="s">
        <v>595</v>
      </c>
      <c r="AD31" s="94" t="s">
        <v>595</v>
      </c>
      <c r="AE31" s="95" t="s">
        <v>595</v>
      </c>
      <c r="AF31" s="60" t="s">
        <v>595</v>
      </c>
      <c r="AG31" s="60"/>
      <c r="AH31" s="67">
        <f t="shared" ref="AH31:AP31" si="49">COUNTIF($C31:$AF31,AH$4)</f>
        <v>0</v>
      </c>
      <c r="AI31" s="67">
        <f t="shared" si="49"/>
        <v>1</v>
      </c>
      <c r="AJ31" s="67">
        <f t="shared" si="49"/>
        <v>0</v>
      </c>
      <c r="AK31" s="67">
        <f t="shared" si="49"/>
        <v>0</v>
      </c>
      <c r="AL31" s="67">
        <f t="shared" si="49"/>
        <v>0</v>
      </c>
      <c r="AM31" s="67">
        <f t="shared" si="49"/>
        <v>1</v>
      </c>
      <c r="AN31" s="67">
        <f t="shared" si="49"/>
        <v>0</v>
      </c>
      <c r="AO31" s="67">
        <f t="shared" si="49"/>
        <v>0</v>
      </c>
      <c r="AP31" s="67">
        <f t="shared" si="49"/>
        <v>0</v>
      </c>
      <c r="AQ31" s="76"/>
      <c r="AR31" s="76">
        <v>12.5</v>
      </c>
      <c r="AS31" s="77">
        <f>SUMPRODUCT(--(WEEKDAY(C$3:AG$3,2)&lt;5),--ISNUMBER(MATCH(C31:AG31,{"DM","CS1","CS2","SB1","AE","CS/B"},0)))</f>
        <v>0</v>
      </c>
      <c r="AT31" s="67"/>
      <c r="AU31" s="77">
        <f>SUMPRODUCT(--(WEEKDAY(C$3:AG$3,2)=5),--ISNUMBER(MATCH(C31:AG31,{"DM","CS1","CS2","SB1","AE","CS/B","WEEKEND OUTFIELD RESERVE"},0)))</f>
        <v>0</v>
      </c>
      <c r="AV31" s="77">
        <f>SUMPRODUCT(--(WEEKDAY(C$3:AG$3,2)&gt;5),--ISNUMBER(MATCH(C31:AG31,{"DM","CS1","CS2","SB1","AE","CS/B","WEEKEND OUTFIELD RESERVE"},0)))</f>
        <v>1</v>
      </c>
      <c r="AW31" s="67"/>
      <c r="AX31" s="77">
        <f t="shared" si="3"/>
        <v>-10</v>
      </c>
      <c r="AY31" s="77">
        <f t="shared" si="4"/>
        <v>1</v>
      </c>
      <c r="AZ31" s="77">
        <f t="shared" si="5"/>
        <v>7</v>
      </c>
      <c r="BA31" s="76">
        <f t="shared" si="6"/>
        <v>-3.5</v>
      </c>
      <c r="BB31" s="77">
        <f t="shared" si="7"/>
        <v>6.5</v>
      </c>
      <c r="BC31" s="77">
        <f t="shared" si="8"/>
        <v>0</v>
      </c>
      <c r="BD31" s="77">
        <f t="shared" si="9"/>
        <v>0</v>
      </c>
      <c r="BE31" s="77">
        <f t="shared" si="10"/>
        <v>1</v>
      </c>
      <c r="BF31" s="77">
        <f t="shared" si="11"/>
        <v>1</v>
      </c>
      <c r="BG31" s="77">
        <f t="shared" si="12"/>
        <v>0</v>
      </c>
      <c r="BH31" s="77">
        <f t="shared" si="13"/>
        <v>0</v>
      </c>
      <c r="BI31" s="77">
        <f t="shared" si="14"/>
        <v>1</v>
      </c>
      <c r="BJ31" s="77">
        <f t="shared" si="15"/>
        <v>0.5</v>
      </c>
      <c r="BK31" s="77">
        <f t="shared" si="16"/>
        <v>5</v>
      </c>
      <c r="BL31" s="77">
        <f t="shared" si="17"/>
        <v>5</v>
      </c>
      <c r="BM31" s="77">
        <f>COUNTIF($D31:$Z31,BM$4)</f>
        <v>0</v>
      </c>
      <c r="BN31" s="77">
        <f>COUNTIF($D31:$Z31,BN$4)</f>
        <v>0</v>
      </c>
      <c r="BO31" s="77">
        <f>COUNTIF($D31:$Z31,BO$4)</f>
        <v>0</v>
      </c>
      <c r="BP31" s="67"/>
    </row>
    <row r="32" ht="48.75" customHeight="1" spans="1:68">
      <c r="A32" s="67"/>
      <c r="B32" s="76" t="s">
        <v>610</v>
      </c>
      <c r="C32" s="60" t="s">
        <v>959</v>
      </c>
      <c r="D32" s="60" t="s">
        <v>57</v>
      </c>
      <c r="E32" s="60" t="s">
        <v>164</v>
      </c>
      <c r="F32" s="60"/>
      <c r="G32" s="60"/>
      <c r="H32" s="60"/>
      <c r="I32" s="53"/>
      <c r="J32" s="60"/>
      <c r="K32" s="60" t="s">
        <v>566</v>
      </c>
      <c r="L32" s="60"/>
      <c r="M32" s="60" t="s">
        <v>59</v>
      </c>
      <c r="O32" s="60"/>
      <c r="Q32" s="53"/>
      <c r="R32" s="60"/>
      <c r="S32" s="60" t="s">
        <v>960</v>
      </c>
      <c r="T32" s="53"/>
      <c r="U32" s="53"/>
      <c r="V32" s="60"/>
      <c r="W32" s="60" t="s">
        <v>573</v>
      </c>
      <c r="X32" s="60"/>
      <c r="Y32" s="53" t="s">
        <v>57</v>
      </c>
      <c r="Z32" s="60"/>
      <c r="AA32" s="60"/>
      <c r="AB32" s="60"/>
      <c r="AC32" s="96" t="s">
        <v>57</v>
      </c>
      <c r="AD32" s="89"/>
      <c r="AE32" s="78" t="s">
        <v>61</v>
      </c>
      <c r="AF32" s="60"/>
      <c r="AG32" s="60" t="s">
        <v>59</v>
      </c>
      <c r="AH32" s="67">
        <f t="shared" ref="AH32:AP32" si="50">COUNTIF($C32:$AF32,AH$4)</f>
        <v>3</v>
      </c>
      <c r="AI32" s="67">
        <f t="shared" si="50"/>
        <v>0</v>
      </c>
      <c r="AJ32" s="67">
        <f t="shared" si="50"/>
        <v>1</v>
      </c>
      <c r="AK32" s="67">
        <f t="shared" si="50"/>
        <v>1</v>
      </c>
      <c r="AL32" s="67">
        <f t="shared" si="50"/>
        <v>0</v>
      </c>
      <c r="AM32" s="67">
        <f t="shared" si="50"/>
        <v>0</v>
      </c>
      <c r="AN32" s="67">
        <f t="shared" si="50"/>
        <v>0</v>
      </c>
      <c r="AO32" s="67">
        <f t="shared" si="50"/>
        <v>0</v>
      </c>
      <c r="AP32" s="67">
        <f t="shared" si="50"/>
        <v>0</v>
      </c>
      <c r="AQ32" s="76">
        <v>1</v>
      </c>
      <c r="AR32" s="76"/>
      <c r="AS32" s="77">
        <f>SUMPRODUCT(--(WEEKDAY(C$3:AG$3,2)&lt;5),--ISNUMBER(MATCH(C32:AG32,{"DM","CS1","CS2","SB1","AE","CS/B"},0)))</f>
        <v>4</v>
      </c>
      <c r="AT32" s="77"/>
      <c r="AU32" s="77">
        <f>SUMPRODUCT(--(WEEKDAY(C$3:AG$3,2)=5),--ISNUMBER(MATCH(C32:AG32,{"DM","CS1","CS2","SB1","AE","CS/B","WEEKEND OUTFIELD RESERVE"},0)))</f>
        <v>1</v>
      </c>
      <c r="AV32" s="77">
        <f>SUMPRODUCT(--(WEEKDAY(C$3:AG$3,2)&gt;5),--ISNUMBER(MATCH(C32:AG32,{"DM","CS1","CS2","SB1","AE","CS/B","WEEKEND OUTFIELD RESERVE"},0)))</f>
        <v>1</v>
      </c>
      <c r="AW32" s="77"/>
      <c r="AX32" s="77">
        <f t="shared" si="3"/>
        <v>8.5</v>
      </c>
      <c r="AY32" s="77">
        <f t="shared" si="4"/>
        <v>6</v>
      </c>
      <c r="AZ32" s="77">
        <f t="shared" si="5"/>
        <v>2</v>
      </c>
      <c r="BA32" s="76">
        <f t="shared" si="6"/>
        <v>9.5</v>
      </c>
      <c r="BB32" s="77">
        <f t="shared" si="7"/>
        <v>1</v>
      </c>
      <c r="BC32" s="77">
        <f t="shared" si="8"/>
        <v>0</v>
      </c>
      <c r="BD32" s="77">
        <f t="shared" si="9"/>
        <v>0</v>
      </c>
      <c r="BE32" s="77">
        <f t="shared" si="10"/>
        <v>0</v>
      </c>
      <c r="BF32" s="77">
        <f t="shared" si="11"/>
        <v>0</v>
      </c>
      <c r="BG32" s="77">
        <f t="shared" si="12"/>
        <v>0</v>
      </c>
      <c r="BH32" s="77">
        <f t="shared" si="13"/>
        <v>0</v>
      </c>
      <c r="BI32" s="77">
        <f t="shared" si="14"/>
        <v>2</v>
      </c>
      <c r="BJ32" s="77">
        <f t="shared" si="15"/>
        <v>1</v>
      </c>
      <c r="BK32" s="77">
        <f t="shared" si="16"/>
        <v>0</v>
      </c>
      <c r="BL32" s="77">
        <f t="shared" si="17"/>
        <v>0</v>
      </c>
      <c r="BM32" s="77">
        <f>COUNTIF($D32:$AA32,BM$4)</f>
        <v>0</v>
      </c>
      <c r="BN32" s="77">
        <f>COUNTIF($D32:$AA32,BN$4)</f>
        <v>0</v>
      </c>
      <c r="BO32" s="77">
        <f>COUNTIF($D32:$AA32,BO$4)</f>
        <v>0</v>
      </c>
      <c r="BP32" s="77"/>
    </row>
    <row r="33" ht="19.5" customHeight="1" spans="1:68">
      <c r="A33" s="67"/>
      <c r="B33" s="76" t="s">
        <v>633</v>
      </c>
      <c r="C33" s="60"/>
      <c r="D33" s="60" t="s">
        <v>55</v>
      </c>
      <c r="E33" s="53" t="s">
        <v>54</v>
      </c>
      <c r="F33" s="60" t="s">
        <v>54</v>
      </c>
      <c r="G33" s="60" t="s">
        <v>54</v>
      </c>
      <c r="H33" s="60" t="s">
        <v>949</v>
      </c>
      <c r="I33" s="60" t="s">
        <v>57</v>
      </c>
      <c r="J33" s="60"/>
      <c r="K33" s="60" t="s">
        <v>57</v>
      </c>
      <c r="L33" s="60"/>
      <c r="M33" s="60"/>
      <c r="N33" s="60"/>
      <c r="O33" s="60"/>
      <c r="Q33" s="60"/>
      <c r="R33" s="53" t="s">
        <v>93</v>
      </c>
      <c r="S33" s="60"/>
      <c r="T33" s="60"/>
      <c r="U33" s="60" t="s">
        <v>566</v>
      </c>
      <c r="V33" s="60"/>
      <c r="W33" s="53" t="s">
        <v>57</v>
      </c>
      <c r="X33" s="53"/>
      <c r="Y33" s="53"/>
      <c r="Z33" s="60"/>
      <c r="AA33" s="60"/>
      <c r="AB33" s="60"/>
      <c r="AC33" s="75" t="s">
        <v>767</v>
      </c>
      <c r="AD33" s="75" t="s">
        <v>767</v>
      </c>
      <c r="AE33" s="79"/>
      <c r="AF33" s="60" t="s">
        <v>57</v>
      </c>
      <c r="AG33" s="60"/>
      <c r="AH33" s="67">
        <f t="shared" ref="AH33:AP33" si="51">COUNTIF($C33:$AF33,AH$4)</f>
        <v>4</v>
      </c>
      <c r="AI33" s="67">
        <f t="shared" si="51"/>
        <v>0</v>
      </c>
      <c r="AJ33" s="67">
        <f t="shared" si="51"/>
        <v>0</v>
      </c>
      <c r="AK33" s="67">
        <f t="shared" si="51"/>
        <v>1</v>
      </c>
      <c r="AL33" s="67">
        <f t="shared" si="51"/>
        <v>0</v>
      </c>
      <c r="AM33" s="67">
        <f t="shared" si="51"/>
        <v>1</v>
      </c>
      <c r="AN33" s="67">
        <f t="shared" si="51"/>
        <v>0</v>
      </c>
      <c r="AO33" s="67">
        <f t="shared" si="51"/>
        <v>2</v>
      </c>
      <c r="AP33" s="67">
        <f t="shared" si="51"/>
        <v>0</v>
      </c>
      <c r="AQ33" s="76">
        <v>1</v>
      </c>
      <c r="AR33" s="76"/>
      <c r="AS33" s="77">
        <f>SUMPRODUCT(--(WEEKDAY(C$3:AG$3,2)&lt;5),--ISNUMBER(MATCH(C33:AG33,{"DM","CS1","CS2","SB1","AE","CS/B"},0)))</f>
        <v>4</v>
      </c>
      <c r="AT33" s="67"/>
      <c r="AU33" s="77">
        <f>SUMPRODUCT(--(WEEKDAY(C$3:AG$3,2)=5),--ISNUMBER(MATCH(C33:AG33,{"DM","CS1","CS2","SB1","AE","CS/B","WEEKEND OUTFIELD RESERVE"},0)))</f>
        <v>0</v>
      </c>
      <c r="AV33" s="77">
        <f>SUMPRODUCT(--(WEEKDAY(C$3:AG$3,2)&gt;5),--ISNUMBER(MATCH(C33:AG33,{"DM","CS1","CS2","SB1","AE","CS/B","WEEKEND OUTFIELD RESERVE"},0)))</f>
        <v>1</v>
      </c>
      <c r="AW33" s="67"/>
      <c r="AX33" s="77">
        <f t="shared" si="3"/>
        <v>8.5</v>
      </c>
      <c r="AY33" s="77">
        <f t="shared" si="4"/>
        <v>5</v>
      </c>
      <c r="AZ33" s="77">
        <f t="shared" si="5"/>
        <v>0</v>
      </c>
      <c r="BA33" s="76">
        <f t="shared" si="6"/>
        <v>8.5</v>
      </c>
      <c r="BB33" s="77">
        <f t="shared" si="7"/>
        <v>0</v>
      </c>
      <c r="BC33" s="77">
        <f t="shared" si="8"/>
        <v>0</v>
      </c>
      <c r="BD33" s="77">
        <f t="shared" si="9"/>
        <v>0</v>
      </c>
      <c r="BE33" s="77">
        <f t="shared" si="10"/>
        <v>0</v>
      </c>
      <c r="BF33" s="77">
        <f t="shared" si="11"/>
        <v>0</v>
      </c>
      <c r="BG33" s="77">
        <f t="shared" si="12"/>
        <v>0</v>
      </c>
      <c r="BH33" s="77">
        <f t="shared" si="13"/>
        <v>0</v>
      </c>
      <c r="BI33" s="77">
        <f t="shared" si="14"/>
        <v>0</v>
      </c>
      <c r="BJ33" s="77">
        <f t="shared" si="15"/>
        <v>0</v>
      </c>
      <c r="BK33" s="77">
        <f t="shared" si="16"/>
        <v>0</v>
      </c>
      <c r="BL33" s="77">
        <f t="shared" si="17"/>
        <v>0</v>
      </c>
      <c r="BM33" s="77">
        <f>COUNTIF($D33:$Z33,BM$4)</f>
        <v>0</v>
      </c>
      <c r="BN33" s="77">
        <f>COUNTIF($D33:$Z33,BN$4)</f>
        <v>0</v>
      </c>
      <c r="BO33" s="77">
        <f>COUNTIF($D33:$Z33,BO$4)</f>
        <v>1</v>
      </c>
      <c r="BP33" s="67"/>
    </row>
    <row r="34" ht="19.5" customHeight="1" spans="1:68">
      <c r="A34" s="67"/>
      <c r="B34" s="76" t="s">
        <v>637</v>
      </c>
      <c r="D34" s="53" t="s">
        <v>961</v>
      </c>
      <c r="E34" s="60" t="s">
        <v>57</v>
      </c>
      <c r="F34" s="60"/>
      <c r="G34" s="60"/>
      <c r="H34" s="60" t="s">
        <v>949</v>
      </c>
      <c r="I34" s="60"/>
      <c r="K34" s="60" t="s">
        <v>707</v>
      </c>
      <c r="L34" s="53"/>
      <c r="M34" s="60" t="s">
        <v>57</v>
      </c>
      <c r="N34" s="60"/>
      <c r="O34" s="60" t="s">
        <v>380</v>
      </c>
      <c r="P34" s="60" t="s">
        <v>380</v>
      </c>
      <c r="Q34" s="60"/>
      <c r="R34" s="53"/>
      <c r="S34" s="53" t="s">
        <v>162</v>
      </c>
      <c r="T34" s="53"/>
      <c r="U34" s="60"/>
      <c r="V34" s="53" t="s">
        <v>57</v>
      </c>
      <c r="W34" s="53"/>
      <c r="Z34" s="53"/>
      <c r="AA34" s="60"/>
      <c r="AB34" s="60" t="s">
        <v>57</v>
      </c>
      <c r="AC34" s="89"/>
      <c r="AD34" s="89"/>
      <c r="AE34" s="78" t="s">
        <v>767</v>
      </c>
      <c r="AF34" s="60" t="s">
        <v>767</v>
      </c>
      <c r="AG34" s="60" t="s">
        <v>56</v>
      </c>
      <c r="AH34" s="67">
        <f t="shared" ref="AH34:AP34" si="52">COUNTIF($C34:$AF34,AH$4)</f>
        <v>4</v>
      </c>
      <c r="AI34" s="67">
        <f t="shared" si="52"/>
        <v>0</v>
      </c>
      <c r="AJ34" s="67">
        <f t="shared" si="52"/>
        <v>0</v>
      </c>
      <c r="AK34" s="67">
        <f t="shared" si="52"/>
        <v>0</v>
      </c>
      <c r="AL34" s="67">
        <f t="shared" si="52"/>
        <v>0</v>
      </c>
      <c r="AM34" s="67">
        <f t="shared" si="52"/>
        <v>0</v>
      </c>
      <c r="AN34" s="67">
        <f t="shared" si="52"/>
        <v>0</v>
      </c>
      <c r="AO34" s="67">
        <f t="shared" si="52"/>
        <v>2</v>
      </c>
      <c r="AP34" s="67">
        <f t="shared" si="52"/>
        <v>0</v>
      </c>
      <c r="AQ34" s="76">
        <v>0</v>
      </c>
      <c r="AR34" s="76"/>
      <c r="AS34" s="77">
        <f>SUMPRODUCT(--(WEEKDAY(C$3:AG$3,2)&lt;5),--ISNUMBER(MATCH(C34:AG34,{"DM","CS1","CS2","SB1","AE","CS/B"},0)))</f>
        <v>1</v>
      </c>
      <c r="AT34" s="67"/>
      <c r="AU34" s="77">
        <f>SUMPRODUCT(--(WEEKDAY(C$3:AG$3,2)=5),--ISNUMBER(MATCH(C34:AG34,{"DM","CS1","CS2","SB1","AE","CS/B","WEEKEND OUTFIELD RESERVE"},0)))</f>
        <v>2</v>
      </c>
      <c r="AV34" s="77">
        <f>SUMPRODUCT(--(WEEKDAY(C$3:AG$3,2)&gt;5),--ISNUMBER(MATCH(C34:AG34,{"DM","CS1","CS2","SB1","AE","CS/B","WEEKEND OUTFIELD RESERVE"},0)))</f>
        <v>2</v>
      </c>
      <c r="AW34" s="67"/>
      <c r="AX34" s="77">
        <f t="shared" si="3"/>
        <v>9</v>
      </c>
      <c r="AY34" s="77">
        <f t="shared" si="4"/>
        <v>5</v>
      </c>
      <c r="AZ34" s="77">
        <f t="shared" si="5"/>
        <v>1</v>
      </c>
      <c r="BA34" s="76">
        <f t="shared" si="6"/>
        <v>9.5</v>
      </c>
      <c r="BB34" s="77">
        <f t="shared" si="7"/>
        <v>0.5</v>
      </c>
      <c r="BC34" s="77">
        <f t="shared" si="8"/>
        <v>0</v>
      </c>
      <c r="BD34" s="77">
        <f t="shared" si="9"/>
        <v>0</v>
      </c>
      <c r="BE34" s="77">
        <f t="shared" si="10"/>
        <v>0</v>
      </c>
      <c r="BF34" s="77">
        <f t="shared" si="11"/>
        <v>0</v>
      </c>
      <c r="BG34" s="77">
        <f t="shared" si="12"/>
        <v>0</v>
      </c>
      <c r="BH34" s="77">
        <f t="shared" si="13"/>
        <v>0</v>
      </c>
      <c r="BI34" s="77">
        <f t="shared" si="14"/>
        <v>1</v>
      </c>
      <c r="BJ34" s="77">
        <f t="shared" si="15"/>
        <v>0.5</v>
      </c>
      <c r="BK34" s="77">
        <f t="shared" si="16"/>
        <v>0</v>
      </c>
      <c r="BL34" s="77">
        <f t="shared" si="17"/>
        <v>0</v>
      </c>
      <c r="BM34" s="77">
        <f>COUNTIF($H34:$AA34,BM$4)</f>
        <v>0</v>
      </c>
      <c r="BN34" s="77">
        <f>COUNTIF($H34:$AA34,BN$4)</f>
        <v>0</v>
      </c>
      <c r="BO34" s="77">
        <f>COUNTIF($H34:$AA34,BO$4)</f>
        <v>0</v>
      </c>
      <c r="BP34" s="67"/>
    </row>
    <row r="35" ht="51.75" customHeight="1" spans="1:68">
      <c r="A35" s="67"/>
      <c r="B35" s="76" t="s">
        <v>639</v>
      </c>
      <c r="C35" s="60"/>
      <c r="D35" s="60"/>
      <c r="E35" s="60" t="s">
        <v>58</v>
      </c>
      <c r="F35" s="53"/>
      <c r="G35" s="60"/>
      <c r="H35" s="60" t="s">
        <v>949</v>
      </c>
      <c r="I35" s="60" t="s">
        <v>56</v>
      </c>
      <c r="J35" s="60"/>
      <c r="K35" s="60" t="s">
        <v>93</v>
      </c>
      <c r="L35" s="60"/>
      <c r="M35" s="60"/>
      <c r="N35" s="60"/>
      <c r="O35" s="60" t="s">
        <v>65</v>
      </c>
      <c r="P35" s="60"/>
      <c r="Q35" s="53" t="s">
        <v>350</v>
      </c>
      <c r="R35" s="60"/>
      <c r="S35" s="60" t="s">
        <v>93</v>
      </c>
      <c r="T35" s="60"/>
      <c r="U35" s="53"/>
      <c r="V35" s="53" t="s">
        <v>65</v>
      </c>
      <c r="W35" s="53"/>
      <c r="X35" s="53"/>
      <c r="Y35" s="60" t="s">
        <v>350</v>
      </c>
      <c r="Z35" s="60"/>
      <c r="AA35" s="60"/>
      <c r="AB35" s="60" t="s">
        <v>65</v>
      </c>
      <c r="AC35" s="90"/>
      <c r="AD35" s="90"/>
      <c r="AE35" s="83" t="s">
        <v>61</v>
      </c>
      <c r="AF35" s="60"/>
      <c r="AH35" s="67">
        <f t="shared" ref="AH35:AP35" si="53">COUNTIF($C35:$AF35,AH$4)</f>
        <v>0</v>
      </c>
      <c r="AI35" s="67">
        <f t="shared" si="53"/>
        <v>1</v>
      </c>
      <c r="AJ35" s="67">
        <f t="shared" si="53"/>
        <v>0</v>
      </c>
      <c r="AK35" s="67">
        <f t="shared" si="53"/>
        <v>0</v>
      </c>
      <c r="AL35" s="67">
        <f t="shared" si="53"/>
        <v>1</v>
      </c>
      <c r="AM35" s="67">
        <f t="shared" si="53"/>
        <v>2</v>
      </c>
      <c r="AN35" s="67">
        <f t="shared" si="53"/>
        <v>3</v>
      </c>
      <c r="AO35" s="67">
        <f t="shared" si="53"/>
        <v>0</v>
      </c>
      <c r="AP35" s="67">
        <f t="shared" si="53"/>
        <v>0</v>
      </c>
      <c r="AQ35" s="76">
        <v>1.5</v>
      </c>
      <c r="AR35" s="76"/>
      <c r="AS35" s="77">
        <f>SUMPRODUCT(--(WEEKDAY(C$3:AG$3,2)&lt;5),--ISNUMBER(MATCH(C35:AG35,{"DM","CS1","CS2","SB1","AE","CS/B"},0)))</f>
        <v>3</v>
      </c>
      <c r="AT35" s="67"/>
      <c r="AU35" s="77">
        <f>SUMPRODUCT(--(WEEKDAY(C$3:AG$3,2)=5),--ISNUMBER(MATCH(C35:AG35,{"DM","CS1","CS2","SB1","AE","CS/B","WEEKEND OUTFIELD RESERVE"},0)))</f>
        <v>1</v>
      </c>
      <c r="AV35" s="77">
        <f>SUMPRODUCT(--(WEEKDAY(C$3:AG$3,2)&gt;5),--ISNUMBER(MATCH(C35:AG35,{"DM","CS1","CS2","SB1","AE","CS/B","WEEKEND OUTFIELD RESERVE"},0)))</f>
        <v>1</v>
      </c>
      <c r="AW35" s="67"/>
      <c r="AX35" s="77">
        <f t="shared" si="3"/>
        <v>9</v>
      </c>
      <c r="AY35" s="77">
        <f t="shared" si="4"/>
        <v>5</v>
      </c>
      <c r="AZ35" s="77">
        <f t="shared" si="5"/>
        <v>0</v>
      </c>
      <c r="BA35" s="76">
        <f t="shared" si="6"/>
        <v>9</v>
      </c>
      <c r="BB35" s="77">
        <f t="shared" si="7"/>
        <v>0</v>
      </c>
      <c r="BC35" s="77">
        <f t="shared" si="8"/>
        <v>0</v>
      </c>
      <c r="BD35" s="77">
        <f t="shared" si="9"/>
        <v>0</v>
      </c>
      <c r="BE35" s="77">
        <f t="shared" si="10"/>
        <v>0</v>
      </c>
      <c r="BF35" s="77">
        <f t="shared" si="11"/>
        <v>0</v>
      </c>
      <c r="BG35" s="77">
        <f t="shared" si="12"/>
        <v>0</v>
      </c>
      <c r="BH35" s="77">
        <f t="shared" si="13"/>
        <v>0</v>
      </c>
      <c r="BI35" s="77">
        <f t="shared" si="14"/>
        <v>0</v>
      </c>
      <c r="BJ35" s="77">
        <f t="shared" si="15"/>
        <v>0</v>
      </c>
      <c r="BK35" s="77">
        <f t="shared" si="16"/>
        <v>0</v>
      </c>
      <c r="BL35" s="77">
        <f t="shared" si="17"/>
        <v>0</v>
      </c>
      <c r="BM35" s="77">
        <f>COUNTIF($D35:$Z35,BM$4)</f>
        <v>0</v>
      </c>
      <c r="BN35" s="77">
        <f>COUNTIF($D35:$Z35,BN$4)</f>
        <v>2</v>
      </c>
      <c r="BO35" s="77">
        <f>COUNTIF($D35:$Z35,BO$4)</f>
        <v>0</v>
      </c>
      <c r="BP35" s="67"/>
    </row>
    <row r="36" ht="19.5" customHeight="1" spans="1:68">
      <c r="A36" s="67"/>
      <c r="B36" s="76" t="s">
        <v>736</v>
      </c>
      <c r="C36" s="60" t="s">
        <v>124</v>
      </c>
      <c r="D36" s="53" t="s">
        <v>962</v>
      </c>
      <c r="E36" s="60" t="s">
        <v>59</v>
      </c>
      <c r="F36" s="60"/>
      <c r="G36" s="60"/>
      <c r="H36" s="60"/>
      <c r="I36" s="60" t="s">
        <v>93</v>
      </c>
      <c r="J36" s="60" t="s">
        <v>308</v>
      </c>
      <c r="K36" s="60"/>
      <c r="L36" s="60" t="s">
        <v>350</v>
      </c>
      <c r="M36" s="60"/>
      <c r="N36" s="53"/>
      <c r="O36" s="60" t="s">
        <v>56</v>
      </c>
      <c r="P36" s="78" t="s">
        <v>963</v>
      </c>
      <c r="Q36" s="60"/>
      <c r="R36" s="60"/>
      <c r="S36" s="60"/>
      <c r="T36" s="60" t="s">
        <v>58</v>
      </c>
      <c r="U36" s="60"/>
      <c r="V36" s="53"/>
      <c r="W36" s="60" t="s">
        <v>240</v>
      </c>
      <c r="X36" s="53"/>
      <c r="Y36" s="60" t="s">
        <v>55</v>
      </c>
      <c r="Z36" s="60" t="s">
        <v>55</v>
      </c>
      <c r="AA36" s="60"/>
      <c r="AB36" s="60"/>
      <c r="AC36" s="89"/>
      <c r="AD36" s="92" t="s">
        <v>237</v>
      </c>
      <c r="AF36" s="136" t="s">
        <v>602</v>
      </c>
      <c r="AH36" s="67">
        <f t="shared" ref="AH36:AP36" si="54">COUNTIF($C36:$AF36,AH$4)</f>
        <v>0</v>
      </c>
      <c r="AI36" s="67">
        <f t="shared" si="54"/>
        <v>1</v>
      </c>
      <c r="AJ36" s="67">
        <f t="shared" si="54"/>
        <v>1</v>
      </c>
      <c r="AK36" s="67">
        <f t="shared" si="54"/>
        <v>0</v>
      </c>
      <c r="AL36" s="67">
        <f t="shared" si="54"/>
        <v>1</v>
      </c>
      <c r="AM36" s="67">
        <f t="shared" si="54"/>
        <v>1</v>
      </c>
      <c r="AN36" s="67">
        <f t="shared" si="54"/>
        <v>0</v>
      </c>
      <c r="AO36" s="67">
        <f t="shared" si="54"/>
        <v>0</v>
      </c>
      <c r="AP36" s="67">
        <f t="shared" si="54"/>
        <v>0</v>
      </c>
      <c r="AQ36" s="76"/>
      <c r="AR36" s="76">
        <v>0.5</v>
      </c>
      <c r="AS36" s="77">
        <f>SUMPRODUCT(--(WEEKDAY(C$3:AG$3,2)&lt;5),--ISNUMBER(MATCH(C36:AG36,{"DM","CS1","CS2","SB1","AE","CS/B"},0)))</f>
        <v>1</v>
      </c>
      <c r="AT36" s="67"/>
      <c r="AU36" s="77">
        <f>SUMPRODUCT(--(WEEKDAY(C$3:AG$3,2)=5),--ISNUMBER(MATCH(C36:AG36,{"DM","CS1","CS2","SB1","AE","CS/B","WEEKEND OUTFIELD RESERVE"},0)))</f>
        <v>1</v>
      </c>
      <c r="AV36" s="77">
        <f>SUMPRODUCT(--(WEEKDAY(C$3:AG$3,2)&gt;5),--ISNUMBER(MATCH(C36:AG36,{"DM","CS1","CS2","SB1","AE","CS/B","WEEKEND OUTFIELD RESERVE"},0)))</f>
        <v>1</v>
      </c>
      <c r="AW36" s="67"/>
      <c r="AX36" s="77">
        <f t="shared" si="3"/>
        <v>4.5</v>
      </c>
      <c r="AY36" s="77">
        <f t="shared" si="4"/>
        <v>3</v>
      </c>
      <c r="AZ36" s="77">
        <f t="shared" si="5"/>
        <v>7</v>
      </c>
      <c r="BA36" s="76">
        <f t="shared" si="6"/>
        <v>11.5</v>
      </c>
      <c r="BB36" s="77">
        <f t="shared" si="7"/>
        <v>7</v>
      </c>
      <c r="BC36" s="77">
        <f t="shared" si="8"/>
        <v>3</v>
      </c>
      <c r="BD36" s="77">
        <f t="shared" si="9"/>
        <v>4.5</v>
      </c>
      <c r="BE36" s="77">
        <f t="shared" si="10"/>
        <v>1</v>
      </c>
      <c r="BF36" s="77">
        <f t="shared" si="11"/>
        <v>1</v>
      </c>
      <c r="BG36" s="77">
        <f t="shared" si="12"/>
        <v>2</v>
      </c>
      <c r="BH36" s="77">
        <f t="shared" si="13"/>
        <v>1</v>
      </c>
      <c r="BI36" s="77">
        <f t="shared" si="14"/>
        <v>1</v>
      </c>
      <c r="BJ36" s="77">
        <f t="shared" si="15"/>
        <v>0.5</v>
      </c>
      <c r="BK36" s="77">
        <f t="shared" si="16"/>
        <v>0</v>
      </c>
      <c r="BL36" s="77">
        <f t="shared" si="17"/>
        <v>0</v>
      </c>
      <c r="BM36" s="77">
        <f>COUNTIF($D36:$AA36,BM$4)</f>
        <v>0</v>
      </c>
      <c r="BN36" s="77">
        <f>COUNTIF($D36:$AA36,BN$4)</f>
        <v>1</v>
      </c>
      <c r="BO36" s="77">
        <f>COUNTIF($D36:$AA36,BO$4)</f>
        <v>2</v>
      </c>
      <c r="BP36" s="67"/>
    </row>
    <row r="37" ht="19.5" customHeight="1" spans="1:68">
      <c r="A37" s="67"/>
      <c r="B37" s="76" t="s">
        <v>739</v>
      </c>
      <c r="C37" s="53" t="s">
        <v>59</v>
      </c>
      <c r="D37" s="53"/>
      <c r="E37" s="60"/>
      <c r="F37" s="60" t="s">
        <v>58</v>
      </c>
      <c r="G37" s="60"/>
      <c r="H37" s="60" t="s">
        <v>566</v>
      </c>
      <c r="I37" s="53"/>
      <c r="J37" s="60" t="s">
        <v>93</v>
      </c>
      <c r="K37" s="60" t="s">
        <v>573</v>
      </c>
      <c r="L37" s="60"/>
      <c r="M37" s="53" t="s">
        <v>964</v>
      </c>
      <c r="N37" s="60"/>
      <c r="O37" s="53"/>
      <c r="P37" s="53" t="s">
        <v>58</v>
      </c>
      <c r="Q37" s="60"/>
      <c r="R37" s="60"/>
      <c r="S37" s="60" t="s">
        <v>65</v>
      </c>
      <c r="T37" s="60"/>
      <c r="U37" s="53"/>
      <c r="W37" s="53" t="s">
        <v>58</v>
      </c>
      <c r="X37" s="60" t="s">
        <v>573</v>
      </c>
      <c r="Y37" s="60"/>
      <c r="Z37" s="60" t="s">
        <v>54</v>
      </c>
      <c r="AA37" s="53" t="s">
        <v>54</v>
      </c>
      <c r="AB37" s="53" t="s">
        <v>54</v>
      </c>
      <c r="AC37" s="90"/>
      <c r="AD37" s="75" t="s">
        <v>573</v>
      </c>
      <c r="AE37" s="79"/>
      <c r="AG37" s="60"/>
      <c r="AH37" s="67">
        <f t="shared" ref="AH37:AP37" si="55">COUNTIF($C37:$AF37,AH$4)</f>
        <v>0</v>
      </c>
      <c r="AI37" s="67">
        <f t="shared" si="55"/>
        <v>0</v>
      </c>
      <c r="AJ37" s="67">
        <f t="shared" si="55"/>
        <v>1</v>
      </c>
      <c r="AK37" s="67">
        <f t="shared" si="55"/>
        <v>1</v>
      </c>
      <c r="AL37" s="67">
        <f t="shared" si="55"/>
        <v>3</v>
      </c>
      <c r="AM37" s="67">
        <f t="shared" si="55"/>
        <v>1</v>
      </c>
      <c r="AN37" s="67">
        <f t="shared" si="55"/>
        <v>1</v>
      </c>
      <c r="AO37" s="67">
        <f t="shared" si="55"/>
        <v>0</v>
      </c>
      <c r="AP37" s="67">
        <f t="shared" si="55"/>
        <v>0</v>
      </c>
      <c r="AQ37" s="76">
        <v>0</v>
      </c>
      <c r="AR37" s="76"/>
      <c r="AS37" s="77">
        <f>SUMPRODUCT(--(WEEKDAY(C$3:AG$3,2)&lt;5),--ISNUMBER(MATCH(C37:AG37,{"DM","CS1","CS2","SB1","AE","CS/B"},0)))</f>
        <v>4</v>
      </c>
      <c r="AT37" s="67"/>
      <c r="AU37" s="77">
        <f>SUMPRODUCT(--(WEEKDAY(C$3:AG$3,2)=5),--ISNUMBER(MATCH(C37:AG37,{"DM","CS1","CS2","SB1","AE","CS/B","WEEKEND OUTFIELD RESERVE"},0)))</f>
        <v>1</v>
      </c>
      <c r="AV37" s="77">
        <f>SUMPRODUCT(--(WEEKDAY(C$3:AG$3,2)&gt;5),--ISNUMBER(MATCH(C37:AG37,{"DM","CS1","CS2","SB1","AE","CS/B","WEEKEND OUTFIELD RESERVE"},0)))</f>
        <v>1</v>
      </c>
      <c r="AW37" s="67"/>
      <c r="AX37" s="77">
        <f t="shared" si="3"/>
        <v>8</v>
      </c>
      <c r="AY37" s="77">
        <f t="shared" si="4"/>
        <v>6</v>
      </c>
      <c r="AZ37" s="77">
        <f t="shared" si="5"/>
        <v>1</v>
      </c>
      <c r="BA37" s="76">
        <f t="shared" si="6"/>
        <v>9</v>
      </c>
      <c r="BB37" s="77">
        <f t="shared" si="7"/>
        <v>1</v>
      </c>
      <c r="BC37" s="77">
        <f t="shared" si="8"/>
        <v>0</v>
      </c>
      <c r="BD37" s="77">
        <f t="shared" si="9"/>
        <v>0</v>
      </c>
      <c r="BE37" s="77">
        <f t="shared" si="10"/>
        <v>1</v>
      </c>
      <c r="BF37" s="77">
        <f t="shared" si="11"/>
        <v>1</v>
      </c>
      <c r="BG37" s="77">
        <f t="shared" si="12"/>
        <v>0</v>
      </c>
      <c r="BH37" s="77">
        <f t="shared" si="13"/>
        <v>0</v>
      </c>
      <c r="BI37" s="77">
        <f t="shared" si="14"/>
        <v>0</v>
      </c>
      <c r="BJ37" s="77">
        <f t="shared" si="15"/>
        <v>0</v>
      </c>
      <c r="BK37" s="77">
        <f t="shared" si="16"/>
        <v>0</v>
      </c>
      <c r="BL37" s="77">
        <f t="shared" si="17"/>
        <v>0</v>
      </c>
      <c r="BM37" s="77">
        <f>COUNTIF($D37:$Y37,BM$4)</f>
        <v>0</v>
      </c>
      <c r="BN37" s="77">
        <f>COUNTIF($D37:$Y37,BN$4)</f>
        <v>0</v>
      </c>
      <c r="BO37" s="77">
        <f>COUNTIF($D37:$Y37,BO$4)</f>
        <v>0</v>
      </c>
      <c r="BP37" s="67"/>
    </row>
    <row r="38" ht="19.5" customHeight="1" spans="1:68">
      <c r="A38" s="67"/>
      <c r="B38" s="76" t="s">
        <v>965</v>
      </c>
      <c r="C38" s="60"/>
      <c r="D38" s="53"/>
      <c r="E38" s="60"/>
      <c r="F38" s="60"/>
      <c r="G38" s="60"/>
      <c r="H38" s="53" t="s">
        <v>56</v>
      </c>
      <c r="I38" s="53"/>
      <c r="J38" s="60" t="s">
        <v>58</v>
      </c>
      <c r="K38" s="60"/>
      <c r="L38" s="60" t="s">
        <v>93</v>
      </c>
      <c r="M38" s="53"/>
      <c r="N38" s="60" t="s">
        <v>966</v>
      </c>
      <c r="P38" s="60" t="s">
        <v>967</v>
      </c>
      <c r="Q38" s="60"/>
      <c r="R38" s="60"/>
      <c r="S38" s="60" t="s">
        <v>968</v>
      </c>
      <c r="T38" s="60"/>
      <c r="U38" s="60"/>
      <c r="V38" s="60" t="s">
        <v>56</v>
      </c>
      <c r="X38" s="60" t="s">
        <v>350</v>
      </c>
      <c r="Z38" s="53"/>
      <c r="AA38" s="53"/>
      <c r="AB38" s="60"/>
      <c r="AC38" s="94" t="s">
        <v>754</v>
      </c>
      <c r="AD38" s="94" t="s">
        <v>754</v>
      </c>
      <c r="AE38" s="95" t="s">
        <v>754</v>
      </c>
      <c r="AF38" s="60" t="s">
        <v>754</v>
      </c>
      <c r="AG38" s="60" t="s">
        <v>754</v>
      </c>
      <c r="AH38" s="67">
        <f t="shared" ref="AH38:AP38" si="56">COUNTIF($C38:$AB38,AH$4)</f>
        <v>0</v>
      </c>
      <c r="AI38" s="67">
        <f t="shared" si="56"/>
        <v>2</v>
      </c>
      <c r="AJ38" s="67">
        <f t="shared" si="56"/>
        <v>0</v>
      </c>
      <c r="AK38" s="67">
        <f t="shared" si="56"/>
        <v>0</v>
      </c>
      <c r="AL38" s="67">
        <f t="shared" si="56"/>
        <v>1</v>
      </c>
      <c r="AM38" s="67">
        <f t="shared" si="56"/>
        <v>1</v>
      </c>
      <c r="AN38" s="67">
        <f t="shared" si="56"/>
        <v>0</v>
      </c>
      <c r="AO38" s="67">
        <f t="shared" si="56"/>
        <v>0</v>
      </c>
      <c r="AP38" s="67">
        <f t="shared" si="56"/>
        <v>0</v>
      </c>
      <c r="AQ38" s="76"/>
      <c r="AR38" s="76">
        <v>0.5</v>
      </c>
      <c r="AS38" s="77">
        <f>SUMPRODUCT(--(WEEKDAY(C$3:AG$3,2)&lt;5),--ISNUMBER(MATCH(C38:AG38,{"DM","CS1","CS2","SB1","AE","CS/B"},0)))</f>
        <v>3</v>
      </c>
      <c r="AT38" s="67"/>
      <c r="AU38" s="77">
        <f>SUMPRODUCT(--(WEEKDAY(C$3:AG$3,2)=5),--ISNUMBER(MATCH(C38:AG38,{"DM","CS1","CS2","SB1","AE","CS/B","WEEKEND OUTFIELD RESERVE"},0)))</f>
        <v>0</v>
      </c>
      <c r="AV38" s="77">
        <f>SUMPRODUCT(--(WEEKDAY(C$3:AG$3,2)&gt;5),--ISNUMBER(MATCH(C38:AG38,{"DM","CS1","CS2","SB1","AE","CS/B","WEEKEND OUTFIELD RESERVE"},0)))</f>
        <v>0</v>
      </c>
      <c r="AW38" s="67"/>
      <c r="AX38" s="77">
        <f t="shared" si="3"/>
        <v>3</v>
      </c>
      <c r="AY38" s="77">
        <f t="shared" si="4"/>
        <v>3</v>
      </c>
      <c r="AZ38" s="77">
        <f t="shared" si="5"/>
        <v>8</v>
      </c>
      <c r="BA38" s="76">
        <f t="shared" si="6"/>
        <v>11</v>
      </c>
      <c r="BB38" s="77">
        <f t="shared" si="7"/>
        <v>8</v>
      </c>
      <c r="BC38" s="77">
        <f t="shared" si="8"/>
        <v>1</v>
      </c>
      <c r="BD38" s="77">
        <f t="shared" si="9"/>
        <v>1.5</v>
      </c>
      <c r="BE38" s="77">
        <f t="shared" si="10"/>
        <v>1</v>
      </c>
      <c r="BF38" s="77">
        <f t="shared" si="11"/>
        <v>1</v>
      </c>
      <c r="BG38" s="77">
        <f t="shared" si="12"/>
        <v>1</v>
      </c>
      <c r="BH38" s="77">
        <f t="shared" si="13"/>
        <v>0.5</v>
      </c>
      <c r="BI38" s="77">
        <f t="shared" si="14"/>
        <v>0</v>
      </c>
      <c r="BJ38" s="77">
        <f t="shared" si="15"/>
        <v>0</v>
      </c>
      <c r="BK38" s="77">
        <f t="shared" si="16"/>
        <v>5</v>
      </c>
      <c r="BL38" s="77">
        <f t="shared" si="17"/>
        <v>5</v>
      </c>
      <c r="BM38" s="77">
        <f>COUNTIF($D38:$Z38,BM$4)</f>
        <v>0</v>
      </c>
      <c r="BN38" s="77">
        <f>COUNTIF($D38:$Z38,BN$4)</f>
        <v>1</v>
      </c>
      <c r="BO38" s="77">
        <f>COUNTIF($D38:$Z38,BO$4)</f>
        <v>0</v>
      </c>
      <c r="BP38" s="67"/>
    </row>
    <row r="39" ht="19.5" customHeight="1" spans="1:68">
      <c r="A39" s="67"/>
      <c r="B39" s="76" t="s">
        <v>657</v>
      </c>
      <c r="D39" s="53" t="s">
        <v>56</v>
      </c>
      <c r="E39" s="60"/>
      <c r="F39" s="60"/>
      <c r="G39" s="60" t="s">
        <v>566</v>
      </c>
      <c r="I39" s="53"/>
      <c r="J39" s="60" t="s">
        <v>59</v>
      </c>
      <c r="K39" s="60"/>
      <c r="L39" s="60"/>
      <c r="M39" s="60"/>
      <c r="N39" s="60" t="s">
        <v>566</v>
      </c>
      <c r="O39" s="53"/>
      <c r="Q39" s="53"/>
      <c r="R39" s="53" t="s">
        <v>969</v>
      </c>
      <c r="S39" s="60" t="s">
        <v>56</v>
      </c>
      <c r="T39" s="53"/>
      <c r="U39" s="53"/>
      <c r="V39" s="53"/>
      <c r="W39" s="60" t="s">
        <v>59</v>
      </c>
      <c r="Y39" s="60" t="s">
        <v>566</v>
      </c>
      <c r="Z39" s="60" t="s">
        <v>573</v>
      </c>
      <c r="AA39" s="53"/>
      <c r="AB39" s="60"/>
      <c r="AD39" s="97" t="s">
        <v>58</v>
      </c>
      <c r="AF39" s="53" t="s">
        <v>350</v>
      </c>
      <c r="AG39" s="60" t="s">
        <v>93</v>
      </c>
      <c r="AH39" s="67">
        <f t="shared" ref="AH39:AP39" si="57">COUNTIF($C39:$AB39,AH$4)</f>
        <v>0</v>
      </c>
      <c r="AI39" s="67">
        <f t="shared" si="57"/>
        <v>2</v>
      </c>
      <c r="AJ39" s="67">
        <f t="shared" si="57"/>
        <v>2</v>
      </c>
      <c r="AK39" s="67">
        <f t="shared" si="57"/>
        <v>3</v>
      </c>
      <c r="AL39" s="67">
        <f t="shared" si="57"/>
        <v>0</v>
      </c>
      <c r="AM39" s="67">
        <f t="shared" si="57"/>
        <v>0</v>
      </c>
      <c r="AN39" s="67">
        <f t="shared" si="57"/>
        <v>0</v>
      </c>
      <c r="AO39" s="67">
        <f t="shared" si="57"/>
        <v>0</v>
      </c>
      <c r="AP39" s="67">
        <f t="shared" si="57"/>
        <v>0</v>
      </c>
      <c r="AQ39" s="76"/>
      <c r="AR39" s="76">
        <v>7</v>
      </c>
      <c r="AS39" s="77">
        <f>SUMPRODUCT(--(WEEKDAY(C$3:AG$3,2)&lt;5),--ISNUMBER(MATCH(C39:AG39,{"DM","CS1","CS2","SB1","AE","CS/B"},0)))</f>
        <v>5</v>
      </c>
      <c r="AT39" s="67"/>
      <c r="AU39" s="77">
        <f>SUMPRODUCT(--(WEEKDAY(C$3:AG$3,2)=5),--ISNUMBER(MATCH(C39:AG39,{"DM","CS1","CS2","SB1","AE","CS/B","WEEKEND OUTFIELD RESERVE"},0)))</f>
        <v>1</v>
      </c>
      <c r="AV39" s="77">
        <f>SUMPRODUCT(--(WEEKDAY(C$3:AG$3,2)&gt;5),--ISNUMBER(MATCH(C39:AG39,{"DM","CS1","CS2","SB1","AE","CS/B","WEEKEND OUTFIELD RESERVE"},0)))</f>
        <v>2</v>
      </c>
      <c r="AW39" s="67"/>
      <c r="AX39" s="77">
        <f t="shared" si="3"/>
        <v>3.5</v>
      </c>
      <c r="AY39" s="77">
        <f t="shared" si="4"/>
        <v>8</v>
      </c>
      <c r="AZ39" s="77">
        <f t="shared" si="5"/>
        <v>1</v>
      </c>
      <c r="BA39" s="76">
        <f t="shared" si="6"/>
        <v>4</v>
      </c>
      <c r="BB39" s="77">
        <f t="shared" si="7"/>
        <v>0.5</v>
      </c>
      <c r="BC39" s="77">
        <f t="shared" si="8"/>
        <v>0</v>
      </c>
      <c r="BD39" s="77">
        <f t="shared" si="9"/>
        <v>0</v>
      </c>
      <c r="BE39" s="77">
        <f t="shared" si="10"/>
        <v>0</v>
      </c>
      <c r="BF39" s="77">
        <f t="shared" si="11"/>
        <v>0</v>
      </c>
      <c r="BG39" s="77">
        <f t="shared" si="12"/>
        <v>0</v>
      </c>
      <c r="BH39" s="77">
        <f t="shared" si="13"/>
        <v>0</v>
      </c>
      <c r="BI39" s="77">
        <f t="shared" si="14"/>
        <v>1</v>
      </c>
      <c r="BJ39" s="77">
        <f t="shared" si="15"/>
        <v>0.5</v>
      </c>
      <c r="BK39" s="77">
        <f t="shared" si="16"/>
        <v>0</v>
      </c>
      <c r="BL39" s="77">
        <f t="shared" si="17"/>
        <v>0</v>
      </c>
      <c r="BM39" s="77">
        <f>COUNTIF($D39:$Z39,BM$4)</f>
        <v>0</v>
      </c>
      <c r="BN39" s="77">
        <f>COUNTIF($D39:$Z39,BN$4)</f>
        <v>0</v>
      </c>
      <c r="BO39" s="77">
        <f>COUNTIF($D39:$Z39,BO$4)</f>
        <v>0</v>
      </c>
      <c r="BP39" s="67"/>
    </row>
    <row r="40" ht="19.5" customHeight="1" spans="1:68">
      <c r="A40" s="67"/>
      <c r="B40" s="76" t="s">
        <v>970</v>
      </c>
      <c r="C40" s="60" t="s">
        <v>573</v>
      </c>
      <c r="D40" s="85" t="s">
        <v>971</v>
      </c>
      <c r="E40" s="60"/>
      <c r="F40" s="60"/>
      <c r="G40" s="60"/>
      <c r="H40" s="60" t="s">
        <v>949</v>
      </c>
      <c r="I40" s="53" t="s">
        <v>59</v>
      </c>
      <c r="K40" s="60"/>
      <c r="L40" s="60"/>
      <c r="M40" s="60" t="s">
        <v>972</v>
      </c>
      <c r="N40" s="60"/>
      <c r="O40" s="60" t="s">
        <v>566</v>
      </c>
      <c r="P40" s="60"/>
      <c r="Q40" s="60" t="s">
        <v>58</v>
      </c>
      <c r="R40" s="53"/>
      <c r="T40" s="53" t="s">
        <v>350</v>
      </c>
      <c r="U40" s="53"/>
      <c r="V40" s="53" t="s">
        <v>93</v>
      </c>
      <c r="W40" s="53" t="s">
        <v>962</v>
      </c>
      <c r="Y40" s="53" t="s">
        <v>973</v>
      </c>
      <c r="Z40" s="60" t="s">
        <v>58</v>
      </c>
      <c r="AB40" s="60"/>
      <c r="AC40" s="99" t="s">
        <v>56</v>
      </c>
      <c r="AH40" s="67">
        <f t="shared" ref="AH40:AP40" si="58">COUNTIF($C40:$AB40,AH$4)</f>
        <v>0</v>
      </c>
      <c r="AI40" s="67">
        <f t="shared" si="58"/>
        <v>0</v>
      </c>
      <c r="AJ40" s="67">
        <f t="shared" si="58"/>
        <v>1</v>
      </c>
      <c r="AK40" s="67">
        <f t="shared" si="58"/>
        <v>1</v>
      </c>
      <c r="AL40" s="67">
        <f t="shared" si="58"/>
        <v>2</v>
      </c>
      <c r="AM40" s="67">
        <f t="shared" si="58"/>
        <v>1</v>
      </c>
      <c r="AN40" s="67">
        <f t="shared" si="58"/>
        <v>0</v>
      </c>
      <c r="AO40" s="67">
        <f t="shared" si="58"/>
        <v>0</v>
      </c>
      <c r="AP40" s="67">
        <f t="shared" si="58"/>
        <v>0</v>
      </c>
      <c r="AQ40" s="76"/>
      <c r="AR40" s="76">
        <v>0.5</v>
      </c>
      <c r="AS40" s="77">
        <f>SUMPRODUCT(--(WEEKDAY(C$3:AG$3,2)&lt;5),--ISNUMBER(MATCH(C40:AG40,{"DM","CS1","CS2","SB1","AE","CS/B"},0)))</f>
        <v>4</v>
      </c>
      <c r="AT40" s="67"/>
      <c r="AU40" s="77">
        <f>SUMPRODUCT(--(WEEKDAY(C$3:AG$3,2)=5),--ISNUMBER(MATCH(C40:AG40,{"DM","CS1","CS2","SB1","AE","CS/B","WEEKEND OUTFIELD RESERVE"},0)))</f>
        <v>1</v>
      </c>
      <c r="AV40" s="77">
        <f>SUMPRODUCT(--(WEEKDAY(C$3:AG$3,2)&gt;5),--ISNUMBER(MATCH(C40:AG40,{"DM","CS1","CS2","SB1","AE","CS/B","WEEKEND OUTFIELD RESERVE"},0)))</f>
        <v>0</v>
      </c>
      <c r="AW40" s="67"/>
      <c r="AX40" s="77">
        <f t="shared" si="3"/>
        <v>5.5</v>
      </c>
      <c r="AY40" s="77">
        <f t="shared" si="4"/>
        <v>5</v>
      </c>
      <c r="AZ40" s="77">
        <f t="shared" si="5"/>
        <v>4</v>
      </c>
      <c r="BA40" s="76">
        <f t="shared" si="6"/>
        <v>7.5</v>
      </c>
      <c r="BB40" s="77">
        <f t="shared" si="7"/>
        <v>2</v>
      </c>
      <c r="BC40" s="77">
        <f t="shared" si="8"/>
        <v>0</v>
      </c>
      <c r="BD40" s="77">
        <f t="shared" si="9"/>
        <v>0</v>
      </c>
      <c r="BE40" s="77">
        <f t="shared" si="10"/>
        <v>0</v>
      </c>
      <c r="BF40" s="77">
        <f t="shared" si="11"/>
        <v>0</v>
      </c>
      <c r="BG40" s="77">
        <f t="shared" si="12"/>
        <v>1</v>
      </c>
      <c r="BH40" s="77">
        <f t="shared" si="13"/>
        <v>0.5</v>
      </c>
      <c r="BI40" s="77">
        <f t="shared" si="14"/>
        <v>3</v>
      </c>
      <c r="BJ40" s="77">
        <f t="shared" si="15"/>
        <v>1.5</v>
      </c>
      <c r="BK40" s="77">
        <f t="shared" si="16"/>
        <v>0</v>
      </c>
      <c r="BL40" s="77">
        <f t="shared" si="17"/>
        <v>0</v>
      </c>
      <c r="BM40" s="77">
        <f>COUNTIF($D40:$Z40,BM$4)</f>
        <v>0</v>
      </c>
      <c r="BN40" s="77">
        <f>COUNTIF($D40:$Z40,BN$4)</f>
        <v>1</v>
      </c>
      <c r="BO40" s="77">
        <f>COUNTIF($D40:$Z40,BO$4)</f>
        <v>0</v>
      </c>
      <c r="BP40" s="67"/>
    </row>
    <row r="41" ht="19.5" customHeight="1" spans="1:68">
      <c r="A41" s="67"/>
      <c r="B41" s="76" t="s">
        <v>974</v>
      </c>
      <c r="C41" s="53" t="s">
        <v>55</v>
      </c>
      <c r="D41" s="53" t="s">
        <v>55</v>
      </c>
      <c r="E41" s="60" t="s">
        <v>55</v>
      </c>
      <c r="F41" s="60"/>
      <c r="G41" s="60"/>
      <c r="H41" s="53" t="s">
        <v>93</v>
      </c>
      <c r="I41" s="53"/>
      <c r="J41" s="60"/>
      <c r="K41" s="60" t="s">
        <v>65</v>
      </c>
      <c r="L41" s="60"/>
      <c r="M41" s="60"/>
      <c r="O41" s="53"/>
      <c r="P41" s="53" t="s">
        <v>573</v>
      </c>
      <c r="R41" s="53" t="s">
        <v>65</v>
      </c>
      <c r="T41" s="53"/>
      <c r="U41" s="60" t="s">
        <v>65</v>
      </c>
      <c r="V41" s="53"/>
      <c r="W41" s="60" t="s">
        <v>56</v>
      </c>
      <c r="X41" s="60"/>
      <c r="Y41" s="53" t="s">
        <v>975</v>
      </c>
      <c r="AA41" s="60" t="s">
        <v>88</v>
      </c>
      <c r="AB41" s="60" t="s">
        <v>88</v>
      </c>
      <c r="AD41" s="53" t="s">
        <v>56</v>
      </c>
      <c r="AE41" s="100" t="s">
        <v>976</v>
      </c>
      <c r="AF41" s="53"/>
      <c r="AG41" s="60" t="s">
        <v>977</v>
      </c>
      <c r="AH41" s="67">
        <f t="shared" ref="AH41:AP41" si="59">COUNTIF($E41:$AF41,AH$4)</f>
        <v>0</v>
      </c>
      <c r="AI41" s="67">
        <f t="shared" si="59"/>
        <v>2</v>
      </c>
      <c r="AJ41" s="67">
        <f t="shared" si="59"/>
        <v>0</v>
      </c>
      <c r="AK41" s="67">
        <f t="shared" si="59"/>
        <v>0</v>
      </c>
      <c r="AL41" s="67">
        <f t="shared" si="59"/>
        <v>0</v>
      </c>
      <c r="AM41" s="67">
        <f t="shared" si="59"/>
        <v>1</v>
      </c>
      <c r="AN41" s="67">
        <f t="shared" si="59"/>
        <v>3</v>
      </c>
      <c r="AO41" s="67">
        <f t="shared" si="59"/>
        <v>0</v>
      </c>
      <c r="AP41" s="67">
        <f t="shared" si="59"/>
        <v>0</v>
      </c>
      <c r="AQ41" s="76"/>
      <c r="AR41" s="76"/>
      <c r="AS41" s="77">
        <f>SUMPRODUCT(--(WEEKDAY(C$3:AG$3,2)&lt;5),--ISNUMBER(MATCH(C41:AG41,{"DM","CS1","CS2","SB1","AE","CS/B"},0)))</f>
        <v>4</v>
      </c>
      <c r="AT41" s="67"/>
      <c r="AU41" s="77">
        <f>SUMPRODUCT(--(WEEKDAY(C$3:AG$3,2)=5),--ISNUMBER(MATCH(C41:AG41,{"DM","CS1","CS2","SB1","AE","CS/B","WEEKEND OUTFIELD RESERVE"},0)))</f>
        <v>0</v>
      </c>
      <c r="AV41" s="77">
        <f>SUMPRODUCT(--(WEEKDAY(C$3:AG$3,2)&gt;5),--ISNUMBER(MATCH(C41:AG41,{"DM","CS1","CS2","SB1","AE","CS/B","WEEKEND OUTFIELD RESERVE"},0)))</f>
        <v>1</v>
      </c>
      <c r="AW41" s="67"/>
      <c r="AX41" s="77">
        <f t="shared" si="3"/>
        <v>6.5</v>
      </c>
      <c r="AY41" s="77">
        <f t="shared" si="4"/>
        <v>5</v>
      </c>
      <c r="AZ41" s="77">
        <f t="shared" si="5"/>
        <v>4</v>
      </c>
      <c r="BA41" s="76">
        <f t="shared" si="6"/>
        <v>9.5</v>
      </c>
      <c r="BB41" s="77">
        <f t="shared" si="7"/>
        <v>3</v>
      </c>
      <c r="BC41" s="77">
        <f t="shared" si="8"/>
        <v>0</v>
      </c>
      <c r="BD41" s="77">
        <f t="shared" si="9"/>
        <v>0</v>
      </c>
      <c r="BE41" s="77">
        <f t="shared" si="10"/>
        <v>0</v>
      </c>
      <c r="BF41" s="77">
        <f t="shared" si="11"/>
        <v>0</v>
      </c>
      <c r="BG41" s="77">
        <f t="shared" si="12"/>
        <v>0</v>
      </c>
      <c r="BH41" s="77">
        <f t="shared" si="13"/>
        <v>0</v>
      </c>
      <c r="BI41" s="77">
        <f t="shared" si="14"/>
        <v>2</v>
      </c>
      <c r="BJ41" s="77">
        <f t="shared" si="15"/>
        <v>1</v>
      </c>
      <c r="BK41" s="77">
        <f t="shared" si="16"/>
        <v>2</v>
      </c>
      <c r="BL41" s="77">
        <f t="shared" si="17"/>
        <v>2</v>
      </c>
      <c r="BM41" s="77">
        <f>COUNTIF($K41:$Y41,BM$4)</f>
        <v>0</v>
      </c>
      <c r="BN41" s="77">
        <f>COUNTIF($K41:$Y41,BN$4)</f>
        <v>0</v>
      </c>
      <c r="BO41" s="77">
        <f>COUNTIF($K41:$Y41,BO$4)</f>
        <v>0</v>
      </c>
      <c r="BP41" s="67"/>
    </row>
    <row r="42" ht="19.5" customHeight="1" spans="1:68">
      <c r="A42" s="67"/>
      <c r="B42" s="76" t="s">
        <v>978</v>
      </c>
      <c r="C42" s="53" t="s">
        <v>218</v>
      </c>
      <c r="D42" s="53" t="s">
        <v>218</v>
      </c>
      <c r="E42" s="53" t="s">
        <v>218</v>
      </c>
      <c r="F42" s="53" t="s">
        <v>65</v>
      </c>
      <c r="G42" s="53"/>
      <c r="H42" s="53" t="s">
        <v>218</v>
      </c>
      <c r="I42" s="53" t="s">
        <v>218</v>
      </c>
      <c r="J42" s="53" t="s">
        <v>218</v>
      </c>
      <c r="K42" s="53" t="s">
        <v>218</v>
      </c>
      <c r="L42" s="53" t="s">
        <v>218</v>
      </c>
      <c r="M42" s="60" t="s">
        <v>54</v>
      </c>
      <c r="N42" s="53" t="s">
        <v>54</v>
      </c>
      <c r="O42" s="60"/>
      <c r="P42" s="60" t="s">
        <v>59</v>
      </c>
      <c r="Q42" s="60"/>
      <c r="R42" s="60"/>
      <c r="S42" s="60" t="s">
        <v>979</v>
      </c>
      <c r="T42" s="60"/>
      <c r="U42" s="53"/>
      <c r="V42" s="53"/>
      <c r="W42" s="53"/>
      <c r="X42" s="53" t="s">
        <v>65</v>
      </c>
      <c r="Y42" s="60"/>
      <c r="Z42" s="53" t="s">
        <v>65</v>
      </c>
      <c r="AA42" s="60"/>
      <c r="AB42" s="53"/>
      <c r="AC42" s="53" t="s">
        <v>566</v>
      </c>
      <c r="AD42" s="53"/>
      <c r="AE42" s="101" t="s">
        <v>65</v>
      </c>
      <c r="AF42" s="60" t="s">
        <v>980</v>
      </c>
      <c r="AG42" s="60" t="s">
        <v>350</v>
      </c>
      <c r="AH42" s="67">
        <f t="shared" ref="AH42:AP42" si="60">COUNTIF($C42:$AF42,AH$4)</f>
        <v>0</v>
      </c>
      <c r="AI42" s="67">
        <f t="shared" si="60"/>
        <v>0</v>
      </c>
      <c r="AJ42" s="67">
        <f t="shared" si="60"/>
        <v>1</v>
      </c>
      <c r="AK42" s="67">
        <f t="shared" si="60"/>
        <v>1</v>
      </c>
      <c r="AL42" s="67">
        <f t="shared" si="60"/>
        <v>0</v>
      </c>
      <c r="AM42" s="67">
        <f t="shared" si="60"/>
        <v>0</v>
      </c>
      <c r="AN42" s="67">
        <f t="shared" si="60"/>
        <v>4</v>
      </c>
      <c r="AO42" s="67">
        <f t="shared" si="60"/>
        <v>0</v>
      </c>
      <c r="AP42" s="67">
        <f t="shared" si="60"/>
        <v>0</v>
      </c>
      <c r="AQ42" s="76"/>
      <c r="AR42" s="76">
        <v>1</v>
      </c>
      <c r="AS42" s="77">
        <f>SUMPRODUCT(--(WEEKDAY(C$3:AG$3,2)&lt;5),--ISNUMBER(MATCH(C42:AG42,{"DM","CS1","CS2","SB1","AE","CS/B"},0)))</f>
        <v>4</v>
      </c>
      <c r="AT42" s="67"/>
      <c r="AU42" s="77">
        <f>SUMPRODUCT(--(WEEKDAY(C$3:AG$3,2)=5),--ISNUMBER(MATCH(C42:AG42,{"DM","CS1","CS2","SB1","AE","CS/B","WEEKEND OUTFIELD RESERVE"},0)))</f>
        <v>1</v>
      </c>
      <c r="AV42" s="77">
        <f>SUMPRODUCT(--(WEEKDAY(C$3:AG$3,2)&gt;5),--ISNUMBER(MATCH(C42:AG42,{"DM","CS1","CS2","SB1","AE","CS/B","WEEKEND OUTFIELD RESERVE"},0)))</f>
        <v>1</v>
      </c>
      <c r="AW42" s="67"/>
      <c r="AX42" s="77">
        <f t="shared" si="3"/>
        <v>6.5</v>
      </c>
      <c r="AY42" s="77">
        <f t="shared" si="4"/>
        <v>6</v>
      </c>
      <c r="AZ42" s="77">
        <f t="shared" si="5"/>
        <v>2</v>
      </c>
      <c r="BA42" s="76">
        <f t="shared" si="6"/>
        <v>7.5</v>
      </c>
      <c r="BB42" s="77">
        <f t="shared" si="7"/>
        <v>1</v>
      </c>
      <c r="BC42" s="77">
        <f t="shared" si="8"/>
        <v>0</v>
      </c>
      <c r="BD42" s="77">
        <f t="shared" si="9"/>
        <v>0</v>
      </c>
      <c r="BE42" s="77">
        <f t="shared" si="10"/>
        <v>0</v>
      </c>
      <c r="BF42" s="77">
        <f t="shared" si="11"/>
        <v>0</v>
      </c>
      <c r="BG42" s="77">
        <f t="shared" si="12"/>
        <v>1</v>
      </c>
      <c r="BH42" s="77">
        <f t="shared" si="13"/>
        <v>0.5</v>
      </c>
      <c r="BI42" s="77">
        <f t="shared" si="14"/>
        <v>1</v>
      </c>
      <c r="BJ42" s="77">
        <f t="shared" si="15"/>
        <v>0.5</v>
      </c>
      <c r="BK42" s="77">
        <f t="shared" si="16"/>
        <v>0</v>
      </c>
      <c r="BL42" s="77">
        <f t="shared" si="17"/>
        <v>0</v>
      </c>
      <c r="BM42" s="77">
        <f>COUNTIF($D42:$Z42,BM$4)</f>
        <v>0</v>
      </c>
      <c r="BN42" s="77">
        <f>COUNTIF($D42:$Z42,BN$4)</f>
        <v>0</v>
      </c>
      <c r="BO42" s="77">
        <f>COUNTIF($D42:$Z42,BO$4)</f>
        <v>0</v>
      </c>
      <c r="BP42" s="67"/>
    </row>
    <row r="43" ht="19.5" customHeight="1" spans="1:68">
      <c r="A43" s="67"/>
      <c r="B43" s="76" t="s">
        <v>981</v>
      </c>
      <c r="C43" s="60" t="s">
        <v>65</v>
      </c>
      <c r="D43" s="60"/>
      <c r="E43" s="60" t="s">
        <v>350</v>
      </c>
      <c r="F43" s="60"/>
      <c r="G43" s="53"/>
      <c r="H43" s="60"/>
      <c r="I43" s="53" t="s">
        <v>65</v>
      </c>
      <c r="J43" s="60"/>
      <c r="L43" s="60"/>
      <c r="M43" s="53"/>
      <c r="N43" s="53"/>
      <c r="O43" s="60" t="s">
        <v>967</v>
      </c>
      <c r="P43" s="53"/>
      <c r="Q43" s="60" t="s">
        <v>65</v>
      </c>
      <c r="S43" s="60"/>
      <c r="T43" s="60"/>
      <c r="U43" s="53"/>
      <c r="V43" s="60" t="s">
        <v>982</v>
      </c>
      <c r="W43" s="60" t="s">
        <v>350</v>
      </c>
      <c r="X43" s="60"/>
      <c r="Y43" s="60" t="s">
        <v>573</v>
      </c>
      <c r="Z43" s="53"/>
      <c r="AA43" s="53" t="s">
        <v>59</v>
      </c>
      <c r="AB43" s="53"/>
      <c r="AC43" s="60" t="s">
        <v>767</v>
      </c>
      <c r="AD43" s="60" t="s">
        <v>767</v>
      </c>
      <c r="AE43" s="136" t="s">
        <v>602</v>
      </c>
      <c r="AF43" s="60" t="s">
        <v>983</v>
      </c>
      <c r="AG43" s="60" t="s">
        <v>713</v>
      </c>
      <c r="AH43" s="67">
        <f t="shared" ref="AH43:AP43" si="61">COUNTIF($C43:$AF43,AH$4)</f>
        <v>0</v>
      </c>
      <c r="AI43" s="67">
        <f t="shared" si="61"/>
        <v>0</v>
      </c>
      <c r="AJ43" s="67">
        <f t="shared" si="61"/>
        <v>1</v>
      </c>
      <c r="AK43" s="67">
        <f t="shared" si="61"/>
        <v>0</v>
      </c>
      <c r="AL43" s="67">
        <f t="shared" si="61"/>
        <v>0</v>
      </c>
      <c r="AM43" s="67">
        <f t="shared" si="61"/>
        <v>0</v>
      </c>
      <c r="AN43" s="67">
        <f t="shared" si="61"/>
        <v>3</v>
      </c>
      <c r="AO43" s="67">
        <f t="shared" si="61"/>
        <v>2</v>
      </c>
      <c r="AP43" s="67">
        <f t="shared" si="61"/>
        <v>0</v>
      </c>
      <c r="AQ43" s="76">
        <v>2.5</v>
      </c>
      <c r="AR43" s="76"/>
      <c r="AS43" s="77">
        <f>SUMPRODUCT(--(WEEKDAY(C$3:AG$3,2)&lt;5),--ISNUMBER(MATCH(C43:AG43,{"DM","CS1","CS2","SB1","AE","CS/B"},0)))</f>
        <v>3</v>
      </c>
      <c r="AT43" s="67"/>
      <c r="AU43" s="77">
        <f>SUMPRODUCT(--(WEEKDAY(C$3:AG$3,2)=5),--ISNUMBER(MATCH(C43:AG43,{"DM","CS1","CS2","SB1","AE","CS/B","WEEKEND OUTFIELD RESERVE"},0)))</f>
        <v>1</v>
      </c>
      <c r="AV43" s="77">
        <f>SUMPRODUCT(--(WEEKDAY(C$3:AG$3,2)&gt;5),--ISNUMBER(MATCH(C43:AG43,{"DM","CS1","CS2","SB1","AE","CS/B","WEEKEND OUTFIELD RESERVE"},0)))</f>
        <v>1</v>
      </c>
      <c r="AW43" s="67"/>
      <c r="AX43" s="77">
        <f t="shared" si="3"/>
        <v>10</v>
      </c>
      <c r="AY43" s="77">
        <f t="shared" si="4"/>
        <v>5</v>
      </c>
      <c r="AZ43" s="77">
        <f t="shared" si="5"/>
        <v>4</v>
      </c>
      <c r="BA43" s="76">
        <f t="shared" si="6"/>
        <v>14</v>
      </c>
      <c r="BB43" s="77">
        <f t="shared" si="7"/>
        <v>4</v>
      </c>
      <c r="BC43" s="77">
        <f t="shared" si="8"/>
        <v>2</v>
      </c>
      <c r="BD43" s="77">
        <f t="shared" si="9"/>
        <v>3</v>
      </c>
      <c r="BE43" s="77">
        <f t="shared" si="10"/>
        <v>0</v>
      </c>
      <c r="BF43" s="77">
        <f t="shared" si="11"/>
        <v>0</v>
      </c>
      <c r="BG43" s="77">
        <f t="shared" si="12"/>
        <v>0</v>
      </c>
      <c r="BH43" s="77">
        <f t="shared" si="13"/>
        <v>0</v>
      </c>
      <c r="BI43" s="77">
        <f t="shared" si="14"/>
        <v>2</v>
      </c>
      <c r="BJ43" s="77">
        <f t="shared" si="15"/>
        <v>1</v>
      </c>
      <c r="BK43" s="77">
        <f t="shared" si="16"/>
        <v>0</v>
      </c>
      <c r="BL43" s="77">
        <f t="shared" si="17"/>
        <v>0</v>
      </c>
      <c r="BM43" s="77">
        <f>COUNTIF($D43:$Y43,BM$4)</f>
        <v>0</v>
      </c>
      <c r="BN43" s="77">
        <f>COUNTIF($D43:$Y43,BN$4)</f>
        <v>2</v>
      </c>
      <c r="BO43" s="77">
        <f>COUNTIF($D43:$Y43,BO$4)</f>
        <v>0</v>
      </c>
      <c r="BP43" s="67"/>
    </row>
    <row r="44" ht="49.5" customHeight="1" spans="1:68">
      <c r="A44" s="67"/>
      <c r="B44" s="76" t="s">
        <v>984</v>
      </c>
      <c r="C44" s="60"/>
      <c r="D44" s="60" t="s">
        <v>65</v>
      </c>
      <c r="E44" s="60"/>
      <c r="F44" s="60"/>
      <c r="G44" s="53"/>
      <c r="H44" s="60" t="s">
        <v>985</v>
      </c>
      <c r="I44" s="53"/>
      <c r="J44" s="53"/>
      <c r="K44" s="85" t="s">
        <v>986</v>
      </c>
      <c r="L44" s="60"/>
      <c r="M44" s="60"/>
      <c r="N44" s="60"/>
      <c r="O44" s="60" t="s">
        <v>573</v>
      </c>
      <c r="P44" s="60"/>
      <c r="Q44" s="60"/>
      <c r="S44" s="60"/>
      <c r="T44" s="60" t="s">
        <v>65</v>
      </c>
      <c r="U44" s="53"/>
      <c r="V44" s="60"/>
      <c r="W44" s="53"/>
      <c r="X44" s="60" t="s">
        <v>573</v>
      </c>
      <c r="Y44" s="60"/>
      <c r="Z44" s="60"/>
      <c r="AC44" s="60" t="s">
        <v>88</v>
      </c>
      <c r="AD44" s="60" t="s">
        <v>88</v>
      </c>
      <c r="AE44" s="95" t="s">
        <v>88</v>
      </c>
      <c r="AF44" s="53"/>
      <c r="AG44" s="60" t="s">
        <v>713</v>
      </c>
      <c r="AH44" s="67">
        <f t="shared" ref="AH44:AP44" si="62">COUNTIF($C44:$AF44,AH$4)</f>
        <v>0</v>
      </c>
      <c r="AI44" s="67">
        <f t="shared" si="62"/>
        <v>0</v>
      </c>
      <c r="AJ44" s="67">
        <f t="shared" si="62"/>
        <v>0</v>
      </c>
      <c r="AK44" s="67">
        <f t="shared" si="62"/>
        <v>0</v>
      </c>
      <c r="AL44" s="67">
        <f t="shared" si="62"/>
        <v>0</v>
      </c>
      <c r="AM44" s="67">
        <f t="shared" si="62"/>
        <v>0</v>
      </c>
      <c r="AN44" s="67">
        <f t="shared" si="62"/>
        <v>2</v>
      </c>
      <c r="AO44" s="67">
        <f t="shared" si="62"/>
        <v>0</v>
      </c>
      <c r="AP44" s="67">
        <f t="shared" si="62"/>
        <v>0</v>
      </c>
      <c r="AQ44" s="76">
        <v>0</v>
      </c>
      <c r="AR44" s="76"/>
      <c r="AS44" s="77">
        <f>SUMPRODUCT(--(WEEKDAY(C$3:AG$3,2)&lt;5),--ISNUMBER(MATCH(C44:AG44,{"DM","CS1","CS2","SB1","AE","CS/B"},0)))</f>
        <v>1</v>
      </c>
      <c r="AT44" s="67"/>
      <c r="AU44" s="77">
        <f>SUMPRODUCT(--(WEEKDAY(C$3:AG$3,2)=5),--ISNUMBER(MATCH(C44:AG44,{"DM","CS1","CS2","SB1","AE","CS/B","WEEKEND OUTFIELD RESERVE"},0)))</f>
        <v>1</v>
      </c>
      <c r="AV44" s="77">
        <f>SUMPRODUCT(--(WEEKDAY(C$3:AG$3,2)&gt;5),--ISNUMBER(MATCH(C44:AG44,{"DM","CS1","CS2","SB1","AE","CS/B","WEEKEND OUTFIELD RESERVE"},0)))</f>
        <v>1</v>
      </c>
      <c r="AW44" s="67"/>
      <c r="AX44" s="77">
        <f t="shared" si="3"/>
        <v>4.5</v>
      </c>
      <c r="AY44" s="77">
        <f t="shared" si="4"/>
        <v>3</v>
      </c>
      <c r="AZ44" s="77">
        <f t="shared" si="5"/>
        <v>5</v>
      </c>
      <c r="BA44" s="76">
        <f t="shared" si="6"/>
        <v>9.5</v>
      </c>
      <c r="BB44" s="77">
        <f t="shared" si="7"/>
        <v>5</v>
      </c>
      <c r="BC44" s="77">
        <f t="shared" si="8"/>
        <v>0</v>
      </c>
      <c r="BD44" s="77">
        <f t="shared" si="9"/>
        <v>0</v>
      </c>
      <c r="BE44" s="77">
        <f t="shared" si="10"/>
        <v>2</v>
      </c>
      <c r="BF44" s="77">
        <f t="shared" si="11"/>
        <v>2</v>
      </c>
      <c r="BG44" s="77">
        <f t="shared" si="12"/>
        <v>0</v>
      </c>
      <c r="BH44" s="77">
        <f t="shared" si="13"/>
        <v>0</v>
      </c>
      <c r="BI44" s="77">
        <f t="shared" si="14"/>
        <v>0</v>
      </c>
      <c r="BJ44" s="77">
        <f t="shared" si="15"/>
        <v>0</v>
      </c>
      <c r="BK44" s="77">
        <f t="shared" si="16"/>
        <v>3</v>
      </c>
      <c r="BL44" s="77">
        <f t="shared" si="17"/>
        <v>3</v>
      </c>
      <c r="BM44" s="77">
        <f>COUNTIF($D44:$Y44,BM$4)</f>
        <v>0</v>
      </c>
      <c r="BN44" s="77">
        <f>COUNTIF($D44:$Y44,BN$4)</f>
        <v>0</v>
      </c>
      <c r="BO44" s="77">
        <f>COUNTIF($D44:$Y44,BO$4)</f>
        <v>0</v>
      </c>
      <c r="BP44" s="67"/>
    </row>
    <row r="45" ht="37.5" customHeight="1" spans="1:68">
      <c r="A45" s="67"/>
      <c r="B45" s="76" t="s">
        <v>987</v>
      </c>
      <c r="C45" s="60"/>
      <c r="D45" s="60"/>
      <c r="E45" s="60"/>
      <c r="F45" s="60"/>
      <c r="G45" s="53"/>
      <c r="H45" s="53" t="s">
        <v>65</v>
      </c>
      <c r="I45" s="53"/>
      <c r="J45" s="53" t="s">
        <v>65</v>
      </c>
      <c r="L45" s="60"/>
      <c r="M45" s="60"/>
      <c r="N45" s="60"/>
      <c r="O45" s="60" t="s">
        <v>934</v>
      </c>
      <c r="P45" s="60" t="s">
        <v>934</v>
      </c>
      <c r="Q45" s="60" t="s">
        <v>934</v>
      </c>
      <c r="R45" s="60" t="s">
        <v>934</v>
      </c>
      <c r="S45" s="60" t="s">
        <v>934</v>
      </c>
      <c r="T45" s="60" t="s">
        <v>934</v>
      </c>
      <c r="U45" s="60" t="s">
        <v>934</v>
      </c>
      <c r="V45" s="60" t="s">
        <v>934</v>
      </c>
      <c r="W45" s="60" t="s">
        <v>934</v>
      </c>
      <c r="X45" s="60" t="s">
        <v>934</v>
      </c>
      <c r="Y45" s="60" t="s">
        <v>934</v>
      </c>
      <c r="Z45" s="60" t="s">
        <v>934</v>
      </c>
      <c r="AA45" s="60" t="s">
        <v>934</v>
      </c>
      <c r="AB45" s="60" t="s">
        <v>934</v>
      </c>
      <c r="AC45" s="60" t="s">
        <v>934</v>
      </c>
      <c r="AD45" s="60" t="s">
        <v>934</v>
      </c>
      <c r="AE45" s="83" t="s">
        <v>934</v>
      </c>
      <c r="AF45" s="60" t="s">
        <v>934</v>
      </c>
      <c r="AG45" s="60" t="s">
        <v>934</v>
      </c>
      <c r="AH45" s="67">
        <f t="shared" ref="AH45:AP45" si="63">COUNTIF($C45:$AF45,AH$4)</f>
        <v>0</v>
      </c>
      <c r="AI45" s="67">
        <f t="shared" si="63"/>
        <v>0</v>
      </c>
      <c r="AJ45" s="67">
        <f t="shared" si="63"/>
        <v>0</v>
      </c>
      <c r="AK45" s="67">
        <f t="shared" si="63"/>
        <v>0</v>
      </c>
      <c r="AL45" s="67">
        <f t="shared" si="63"/>
        <v>0</v>
      </c>
      <c r="AM45" s="67">
        <f t="shared" si="63"/>
        <v>0</v>
      </c>
      <c r="AN45" s="67">
        <f t="shared" si="63"/>
        <v>2</v>
      </c>
      <c r="AO45" s="67">
        <f t="shared" si="63"/>
        <v>0</v>
      </c>
      <c r="AP45" s="67">
        <f t="shared" si="63"/>
        <v>0</v>
      </c>
      <c r="AQ45" s="76"/>
      <c r="AR45" s="76"/>
      <c r="AS45" s="77">
        <f>SUMPRODUCT(--(WEEKDAY(C$3:AG$3,2)&lt;5),--ISNUMBER(MATCH(C45:AG45,{"DM","CS1","CS2","SB1","AE","CS/B"},0)))</f>
        <v>2</v>
      </c>
      <c r="AT45" s="67"/>
      <c r="AU45" s="77">
        <f>SUMPRODUCT(--(WEEKDAY(C$3:AG$3,2)=5),--ISNUMBER(MATCH(C45:AG45,{"DM","CS1","CS2","SB1","AE","CS/B","WEEKEND OUTFIELD RESERVE"},0)))</f>
        <v>0</v>
      </c>
      <c r="AV45" s="77">
        <f>SUMPRODUCT(--(WEEKDAY(C$3:AG$3,2)&gt;5),--ISNUMBER(MATCH(C45:AG45,{"DM","CS1","CS2","SB1","AE","CS/B","WEEKEND OUTFIELD RESERVE"},0)))</f>
        <v>0</v>
      </c>
      <c r="AW45" s="67"/>
      <c r="AX45" s="77">
        <f t="shared" si="3"/>
        <v>2</v>
      </c>
      <c r="AY45" s="77">
        <f t="shared" si="4"/>
        <v>2</v>
      </c>
      <c r="AZ45" s="77">
        <f t="shared" si="5"/>
        <v>0</v>
      </c>
      <c r="BA45" s="76">
        <f t="shared" si="6"/>
        <v>2</v>
      </c>
      <c r="BB45" s="77">
        <f t="shared" si="7"/>
        <v>0</v>
      </c>
      <c r="BC45" s="77">
        <f t="shared" si="8"/>
        <v>0</v>
      </c>
      <c r="BD45" s="77">
        <f t="shared" si="9"/>
        <v>0</v>
      </c>
      <c r="BE45" s="77">
        <f t="shared" si="10"/>
        <v>0</v>
      </c>
      <c r="BF45" s="77">
        <f t="shared" si="11"/>
        <v>0</v>
      </c>
      <c r="BG45" s="77">
        <f t="shared" si="12"/>
        <v>0</v>
      </c>
      <c r="BH45" s="77">
        <f t="shared" si="13"/>
        <v>0</v>
      </c>
      <c r="BI45" s="77">
        <f t="shared" si="14"/>
        <v>0</v>
      </c>
      <c r="BJ45" s="77">
        <f t="shared" si="15"/>
        <v>0</v>
      </c>
      <c r="BK45" s="77">
        <f t="shared" si="16"/>
        <v>0</v>
      </c>
      <c r="BL45" s="77">
        <f t="shared" si="17"/>
        <v>0</v>
      </c>
      <c r="BM45" s="77">
        <f>COUNTIF($D45:$Y45,BM$4)</f>
        <v>0</v>
      </c>
      <c r="BN45" s="77">
        <f>COUNTIF($D45:$Y45,BN$4)</f>
        <v>0</v>
      </c>
      <c r="BO45" s="77">
        <f>COUNTIF($D45:$Y45,BO$4)</f>
        <v>0</v>
      </c>
      <c r="BP45" s="67"/>
    </row>
    <row r="46" ht="43.5" customHeight="1" spans="1:68">
      <c r="A46" s="67"/>
      <c r="B46" s="76" t="s">
        <v>988</v>
      </c>
      <c r="C46" s="60" t="s">
        <v>409</v>
      </c>
      <c r="D46" s="60" t="s">
        <v>409</v>
      </c>
      <c r="E46" s="60" t="s">
        <v>409</v>
      </c>
      <c r="F46" s="60" t="s">
        <v>409</v>
      </c>
      <c r="G46" s="60" t="s">
        <v>409</v>
      </c>
      <c r="H46" s="60" t="s">
        <v>409</v>
      </c>
      <c r="I46" s="60" t="s">
        <v>409</v>
      </c>
      <c r="J46" s="60" t="s">
        <v>409</v>
      </c>
      <c r="K46" s="60" t="s">
        <v>409</v>
      </c>
      <c r="L46" s="60" t="s">
        <v>409</v>
      </c>
      <c r="M46" s="60" t="s">
        <v>409</v>
      </c>
      <c r="N46" s="60" t="s">
        <v>409</v>
      </c>
      <c r="O46" s="60" t="s">
        <v>409</v>
      </c>
      <c r="P46" s="60" t="s">
        <v>409</v>
      </c>
      <c r="Q46" s="60" t="s">
        <v>409</v>
      </c>
      <c r="R46" s="60" t="s">
        <v>409</v>
      </c>
      <c r="S46" s="60" t="s">
        <v>409</v>
      </c>
      <c r="T46" s="60" t="s">
        <v>409</v>
      </c>
      <c r="U46" s="60" t="s">
        <v>409</v>
      </c>
      <c r="V46" s="60" t="s">
        <v>409</v>
      </c>
      <c r="W46" s="60" t="s">
        <v>409</v>
      </c>
      <c r="X46" s="60" t="s">
        <v>409</v>
      </c>
      <c r="Y46" s="60" t="s">
        <v>409</v>
      </c>
      <c r="Z46" s="60" t="s">
        <v>409</v>
      </c>
      <c r="AA46" s="60" t="s">
        <v>409</v>
      </c>
      <c r="AB46" s="60" t="s">
        <v>409</v>
      </c>
      <c r="AC46" s="60" t="s">
        <v>409</v>
      </c>
      <c r="AD46" s="60" t="s">
        <v>409</v>
      </c>
      <c r="AE46" s="78" t="s">
        <v>409</v>
      </c>
      <c r="AF46" s="60" t="s">
        <v>409</v>
      </c>
      <c r="AG46" s="60" t="s">
        <v>409</v>
      </c>
      <c r="AH46" s="67">
        <f t="shared" ref="AH46:AP46" si="64">COUNTIF($C46:$AF46,AH$4)</f>
        <v>0</v>
      </c>
      <c r="AI46" s="67">
        <f t="shared" si="64"/>
        <v>0</v>
      </c>
      <c r="AJ46" s="67">
        <f t="shared" si="64"/>
        <v>0</v>
      </c>
      <c r="AK46" s="67">
        <f t="shared" si="64"/>
        <v>0</v>
      </c>
      <c r="AL46" s="67">
        <f t="shared" si="64"/>
        <v>0</v>
      </c>
      <c r="AM46" s="67">
        <f t="shared" si="64"/>
        <v>0</v>
      </c>
      <c r="AN46" s="67">
        <f t="shared" si="64"/>
        <v>0</v>
      </c>
      <c r="AO46" s="67">
        <f t="shared" si="64"/>
        <v>0</v>
      </c>
      <c r="AP46" s="67">
        <f t="shared" si="64"/>
        <v>0</v>
      </c>
      <c r="AQ46" s="76"/>
      <c r="AR46" s="76"/>
      <c r="AS46" s="77">
        <f>SUMPRODUCT(--(WEEKDAY(C$3:AG$3,2)&lt;5),--ISNUMBER(MATCH(C46:AG46,{"DM","CS1","CS2","SB1","AE","CS/B"},0)))</f>
        <v>0</v>
      </c>
      <c r="AT46" s="67"/>
      <c r="AU46" s="77">
        <f>SUMPRODUCT(--(WEEKDAY(C$3:AG$3,2)=5),--ISNUMBER(MATCH(C46:AG46,{"DM","CS1","CS2","SB1","AE","CS/B","WEEKEND OUTFIELD RESERVE"},0)))</f>
        <v>0</v>
      </c>
      <c r="AV46" s="77">
        <f>SUMPRODUCT(--(WEEKDAY(C$3:AG$3,2)&gt;5),--ISNUMBER(MATCH(C46:AG46,{"DM","CS1","CS2","SB1","AE","CS/B","WEEKEND OUTFIELD RESERVE"},0)))</f>
        <v>0</v>
      </c>
      <c r="AW46" s="67"/>
      <c r="AX46" s="77">
        <f t="shared" si="3"/>
        <v>0</v>
      </c>
      <c r="AY46" s="77">
        <f t="shared" si="4"/>
        <v>0</v>
      </c>
      <c r="AZ46" s="77">
        <f t="shared" si="5"/>
        <v>0</v>
      </c>
      <c r="BA46" s="76">
        <f t="shared" si="6"/>
        <v>0</v>
      </c>
      <c r="BB46" s="77">
        <f t="shared" si="7"/>
        <v>0</v>
      </c>
      <c r="BC46" s="77">
        <f t="shared" si="8"/>
        <v>0</v>
      </c>
      <c r="BD46" s="77">
        <f t="shared" si="9"/>
        <v>0</v>
      </c>
      <c r="BE46" s="77">
        <f t="shared" si="10"/>
        <v>0</v>
      </c>
      <c r="BF46" s="77">
        <f t="shared" si="11"/>
        <v>0</v>
      </c>
      <c r="BG46" s="77">
        <f t="shared" si="12"/>
        <v>0</v>
      </c>
      <c r="BH46" s="77">
        <f t="shared" si="13"/>
        <v>0</v>
      </c>
      <c r="BI46" s="77">
        <f t="shared" si="14"/>
        <v>0</v>
      </c>
      <c r="BJ46" s="77">
        <f t="shared" si="15"/>
        <v>0</v>
      </c>
      <c r="BK46" s="77">
        <f t="shared" si="16"/>
        <v>0</v>
      </c>
      <c r="BL46" s="77">
        <f t="shared" si="17"/>
        <v>0</v>
      </c>
      <c r="BM46" s="77">
        <f>COUNTIF($D46:$Y46,BM$4)</f>
        <v>0</v>
      </c>
      <c r="BN46" s="77">
        <f>COUNTIF($D46:$Y46,BN$4)</f>
        <v>0</v>
      </c>
      <c r="BO46" s="77">
        <f>COUNTIF($D46:$Y46,BO$4)</f>
        <v>0</v>
      </c>
      <c r="BP46" s="67"/>
    </row>
    <row r="47" ht="19.5" customHeight="1" spans="1:68">
      <c r="A47" s="67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60"/>
      <c r="AH47" s="67"/>
      <c r="AI47" s="67"/>
      <c r="AJ47" s="67"/>
      <c r="AK47" s="67"/>
      <c r="AL47" s="67"/>
      <c r="AM47" s="67"/>
      <c r="AN47" s="67"/>
      <c r="AO47" s="67"/>
      <c r="AP47" s="67"/>
      <c r="AQ47" s="76"/>
      <c r="AR47" s="76"/>
      <c r="AS47" s="77"/>
      <c r="AT47" s="67"/>
      <c r="AU47" s="77"/>
      <c r="AV47" s="77">
        <f>SUMPRODUCT(--(WEEKDAY(C$3:AF$3,2)&gt;5),--ISNUMBER(MATCH(C47:AF47,{"DM","CS1","CS2","SB1","AE","CS/B"},0)))</f>
        <v>0</v>
      </c>
      <c r="AW47" s="67"/>
      <c r="AX47" s="77"/>
      <c r="AY47" s="77"/>
      <c r="AZ47" s="77"/>
      <c r="BA47" s="76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67"/>
    </row>
    <row r="48" ht="19.5" customHeight="1" spans="1:68">
      <c r="A48" s="67"/>
      <c r="B48" s="60" t="s">
        <v>57</v>
      </c>
      <c r="C48" s="103" t="str">
        <f t="shared" ref="C48:AG48" si="65">INDEX($B$4:$B$46,MATCH($B48,C$4:C$46,0))</f>
        <v>CPL WONG JI FENG WILLARD</v>
      </c>
      <c r="D48" s="103" t="str">
        <f t="shared" si="65"/>
        <v>CPL TAN JUN YANG KELVIN</v>
      </c>
      <c r="E48" s="103" t="str">
        <f t="shared" si="65"/>
        <v>CPL ZHANG ZHONGHAO</v>
      </c>
      <c r="F48" s="103" t="str">
        <f t="shared" si="65"/>
        <v>CFC DERRICK CHIN</v>
      </c>
      <c r="G48" s="103" t="str">
        <f t="shared" si="65"/>
        <v>CPL TAN JUN YANG KELVIN</v>
      </c>
      <c r="H48" s="103" t="str">
        <f t="shared" si="65"/>
        <v>LCP KOO YI XIAN RAPHAEL </v>
      </c>
      <c r="I48" s="103" t="str">
        <f t="shared" si="65"/>
        <v>LCP CHYE JING AN MAXIMUS</v>
      </c>
      <c r="J48" s="103" t="str">
        <f t="shared" si="65"/>
        <v>3SG SAMUEL TAN ENG WEE</v>
      </c>
      <c r="K48" s="103" t="str">
        <f t="shared" si="65"/>
        <v>CFC DERRICK CHIN</v>
      </c>
      <c r="L48" s="103" t="str">
        <f t="shared" si="65"/>
        <v>CPL TAN JUN YANG KELVIN</v>
      </c>
      <c r="M48" s="103" t="str">
        <f t="shared" si="65"/>
        <v>CPL FANG JIANGRUI</v>
      </c>
      <c r="N48" s="103" t="str">
        <f t="shared" si="65"/>
        <v>CPL TAN JUN YANG KELVIN</v>
      </c>
      <c r="O48" s="103" t="str">
        <f t="shared" si="65"/>
        <v>3SG SAMUEL TAN ENG WEE</v>
      </c>
      <c r="P48" s="103" t="str">
        <f t="shared" si="65"/>
        <v>LCP KOO YI XIAN RAPHAEL </v>
      </c>
      <c r="Q48" s="103" t="str">
        <f t="shared" si="65"/>
        <v>CFC GERALD TAN </v>
      </c>
      <c r="R48" s="103" t="str">
        <f t="shared" si="65"/>
        <v>CPL WONG JI FENG WILLARD</v>
      </c>
      <c r="S48" s="103" t="str">
        <f t="shared" si="65"/>
        <v>LCP CHYE JING AN MAXIMUS</v>
      </c>
      <c r="T48" s="103" t="str">
        <f t="shared" si="65"/>
        <v>CPL QUEK ZI YI</v>
      </c>
      <c r="U48" s="103" t="str">
        <f t="shared" si="65"/>
        <v>CPL ZHANG ZHONGHAO</v>
      </c>
      <c r="V48" s="103" t="str">
        <f t="shared" si="65"/>
        <v>LCP TRAN MINH KHOA</v>
      </c>
      <c r="W48" s="103" t="str">
        <f t="shared" si="65"/>
        <v>LCP RON NG </v>
      </c>
      <c r="X48" s="103" t="str">
        <f t="shared" si="65"/>
        <v>CPL ZHANG ZHONGHAO</v>
      </c>
      <c r="Y48" s="103" t="str">
        <f t="shared" si="65"/>
        <v>LCP EKLAYVA PINGALI</v>
      </c>
      <c r="Z48" s="103" t="str">
        <f t="shared" si="65"/>
        <v>LCP MATTHEW HWANG YEW SENG</v>
      </c>
      <c r="AA48" s="103" t="str">
        <f t="shared" si="65"/>
        <v>LCP CHYE JING AN MAXIMUS</v>
      </c>
      <c r="AB48" s="103" t="str">
        <f t="shared" si="65"/>
        <v>LCP TRAN MINH KHOA</v>
      </c>
      <c r="AC48" s="103" t="str">
        <f t="shared" si="65"/>
        <v>LCP MUHAMMAD YASIR BIN MUHAMMAD HIJAZ</v>
      </c>
      <c r="AD48" s="103" t="str">
        <f t="shared" si="65"/>
        <v>CPL WONG JI FENG WILLARD</v>
      </c>
      <c r="AE48" s="103" t="str">
        <f t="shared" si="65"/>
        <v>CPL TAN JUN YANG KELVIN</v>
      </c>
      <c r="AF48" s="103" t="str">
        <f t="shared" si="65"/>
        <v>LCP RON NG </v>
      </c>
      <c r="AG48" s="103" t="str">
        <f t="shared" si="65"/>
        <v>LCP EKLAYVA PINGALI</v>
      </c>
      <c r="AH48" s="67"/>
      <c r="AI48" s="67"/>
      <c r="AJ48" s="67"/>
      <c r="AK48" s="67"/>
      <c r="AL48" s="67"/>
      <c r="AM48" s="67"/>
      <c r="AN48" s="67"/>
      <c r="AO48" s="67"/>
      <c r="AP48" s="67"/>
      <c r="AQ48" s="76"/>
      <c r="AR48" s="76"/>
      <c r="AS48" s="77"/>
      <c r="AT48" s="67"/>
      <c r="AU48" s="77"/>
      <c r="AV48" s="77">
        <f>SUMPRODUCT(--(WEEKDAY(C$3:AF$3,2)&gt;5),--ISNUMBER(MATCH(C48:AF48,{"DM","CS1","CS2","SB1","AE","CS/B"},0)))</f>
        <v>0</v>
      </c>
      <c r="AW48" s="67"/>
      <c r="AX48" s="77"/>
      <c r="AY48" s="77"/>
      <c r="AZ48" s="77"/>
      <c r="BA48" s="76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67"/>
    </row>
    <row r="49" ht="19.5" customHeight="1" spans="1:68">
      <c r="A49" s="67"/>
      <c r="B49" s="60" t="s">
        <v>56</v>
      </c>
      <c r="C49" s="103" t="str">
        <f t="shared" ref="C49:AG49" si="66">INDEX($B$4:$B$46,MATCH($B49,C$4:C$46,0))</f>
        <v>LCP CHYE JING AN MAXIMUS</v>
      </c>
      <c r="D49" s="103" t="str">
        <f t="shared" si="66"/>
        <v>LCP SHLOK PUROHIT</v>
      </c>
      <c r="E49" s="103" t="str">
        <f t="shared" si="66"/>
        <v>CPL HO SHENGHUI HAYDEN</v>
      </c>
      <c r="F49" s="103" t="str">
        <f t="shared" si="66"/>
        <v>LCP EKLAYVA PINGALI</v>
      </c>
      <c r="G49" s="103" t="str">
        <f t="shared" si="66"/>
        <v>CFC GERALD TAN </v>
      </c>
      <c r="H49" s="103" t="str">
        <f t="shared" si="66"/>
        <v>LCP CHOA ZONGHAN ETIENNE</v>
      </c>
      <c r="I49" s="103" t="str">
        <f t="shared" si="66"/>
        <v>LCP STEPHEN TAY </v>
      </c>
      <c r="J49" s="103" t="str">
        <f t="shared" si="66"/>
        <v>PTE MENDEZ RALPH JUSTINE MACALINO</v>
      </c>
      <c r="K49" s="103" t="str">
        <f t="shared" si="66"/>
        <v>LCP CHYE JING AN MAXIMUS</v>
      </c>
      <c r="L49" s="103" t="str">
        <f t="shared" si="66"/>
        <v>PTE DANIEL ISKANDAR BIN SANUSI</v>
      </c>
      <c r="M49" s="103" t="str">
        <f t="shared" si="66"/>
        <v>LCP EKLAYVA PINGALI</v>
      </c>
      <c r="N49" s="103" t="str">
        <f t="shared" si="66"/>
        <v>CPL HO SHENGHUI HAYDEN</v>
      </c>
      <c r="O49" s="103" t="str">
        <f t="shared" si="66"/>
        <v>LCP EDWARD GAN BOON WEI </v>
      </c>
      <c r="P49" s="103" t="str">
        <f t="shared" si="66"/>
        <v>LCP CHYE JING AN MAXIMUS</v>
      </c>
      <c r="Q49" s="103" t="str">
        <f t="shared" si="66"/>
        <v>CPL FANG JIANGRUI</v>
      </c>
      <c r="R49" s="103" t="str">
        <f t="shared" si="66"/>
        <v>PTE MENDEZ RALPH JUSTINE MACALINO</v>
      </c>
      <c r="S49" s="103" t="str">
        <f t="shared" si="66"/>
        <v>LCP SHLOK PUROHIT</v>
      </c>
      <c r="T49" s="103" t="str">
        <f t="shared" si="66"/>
        <v>CPL TAN JUN YANG KELVIN</v>
      </c>
      <c r="U49" s="103" t="str">
        <f t="shared" si="66"/>
        <v>LCP MUHAMAD ZULKHAIRI BIN MOHAMAD SAPARI</v>
      </c>
      <c r="V49" s="103" t="str">
        <f t="shared" si="66"/>
        <v>LCP CHOA ZONGHAN ETIENNE</v>
      </c>
      <c r="W49" s="103" t="str">
        <f t="shared" si="66"/>
        <v>LCP MUHAMMAD SHAUKI BIN MOHD SHAM</v>
      </c>
      <c r="X49" s="103" t="str">
        <f t="shared" si="66"/>
        <v>CFC GERALD TAN </v>
      </c>
      <c r="Y49" s="103" t="str">
        <f t="shared" si="66"/>
        <v>CPL TAN JUN YANG KELVIN</v>
      </c>
      <c r="Z49" s="103" t="str">
        <f t="shared" si="66"/>
        <v>PTE MENDEZ RALPH JUSTINE MACALINO</v>
      </c>
      <c r="AA49" s="103" t="e">
        <f t="shared" si="66"/>
        <v>#N/A</v>
      </c>
      <c r="AB49" s="103" t="str">
        <f t="shared" si="66"/>
        <v>LCP KOO YI XIAN RAPHAEL </v>
      </c>
      <c r="AC49" s="103" t="str">
        <f t="shared" si="66"/>
        <v>CPL HYDER ISKANDAR BIN ZULKILFILY</v>
      </c>
      <c r="AD49" s="103" t="str">
        <f t="shared" si="66"/>
        <v>LCP MUHAMMAD SHAUKI BIN MOHD SHAM</v>
      </c>
      <c r="AE49" s="103" t="str">
        <f t="shared" si="66"/>
        <v>3SG SAMUEL TAN ENG WEE</v>
      </c>
      <c r="AF49" s="103" t="str">
        <f t="shared" si="66"/>
        <v>CPL FANG JIANGRUI</v>
      </c>
      <c r="AG49" s="103" t="str">
        <f t="shared" si="66"/>
        <v>LCP TRAN MINH KHOA</v>
      </c>
      <c r="AH49" s="67"/>
      <c r="AI49" s="67"/>
      <c r="AJ49" s="67"/>
      <c r="AK49" s="67"/>
      <c r="AL49" s="67"/>
      <c r="AM49" s="67"/>
      <c r="AN49" s="67"/>
      <c r="AO49" s="67"/>
      <c r="AP49" s="67"/>
      <c r="AQ49" s="76"/>
      <c r="AR49" s="76"/>
      <c r="AS49" s="77"/>
      <c r="AT49" s="67"/>
      <c r="AU49" s="77"/>
      <c r="AV49" s="77">
        <f>SUMPRODUCT(--(WEEKDAY(C$3:AF$3,2)&gt;5),--ISNUMBER(MATCH(C49:AF49,{"DM","CS1","CS2","SB1","AE","CS/B"},0)))</f>
        <v>0</v>
      </c>
      <c r="AW49" s="67"/>
      <c r="AX49" s="77"/>
      <c r="AY49" s="77"/>
      <c r="AZ49" s="77"/>
      <c r="BA49" s="76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67"/>
    </row>
    <row r="50" ht="19.5" customHeight="1" spans="1:68">
      <c r="A50" s="67"/>
      <c r="B50" s="60" t="s">
        <v>59</v>
      </c>
      <c r="C50" s="103" t="str">
        <f>INDEX($B$4:$B$46,MATCH($B50,C$4:C$46,0))</f>
        <v>LCP RAIYAN ZUFAYRI BIN MOHAMAD HELMY</v>
      </c>
      <c r="D50" s="103" t="e">
        <f t="shared" ref="D50:AG50" si="67">INDEX($B$4:$B$44,MATCH($B50,D$4:D$46,0))</f>
        <v>#N/A</v>
      </c>
      <c r="E50" s="103" t="str">
        <f t="shared" si="67"/>
        <v>LCP EDWARD GAN BOON WEI </v>
      </c>
      <c r="F50" s="103" t="str">
        <f t="shared" si="67"/>
        <v>CPL WONG JI FENG WILLARD</v>
      </c>
      <c r="G50" s="103" t="e">
        <f t="shared" si="67"/>
        <v>#N/A</v>
      </c>
      <c r="H50" s="103" t="e">
        <f t="shared" si="67"/>
        <v>#N/A</v>
      </c>
      <c r="I50" s="103" t="str">
        <f t="shared" si="67"/>
        <v>CPL HYDER ISKANDAR BIN ZULKILFILY</v>
      </c>
      <c r="J50" s="103" t="str">
        <f t="shared" si="67"/>
        <v>LCP SHLOK PUROHIT</v>
      </c>
      <c r="K50" s="103" t="e">
        <f t="shared" si="67"/>
        <v>#N/A</v>
      </c>
      <c r="L50" s="103" t="str">
        <f t="shared" si="67"/>
        <v>LCP KOO YI XIAN RAPHAEL </v>
      </c>
      <c r="M50" s="103" t="str">
        <f t="shared" si="67"/>
        <v>LCP MUHAMMAD YASIR BIN MUHAMMAD HIJAZ</v>
      </c>
      <c r="N50" s="103" t="e">
        <f t="shared" si="67"/>
        <v>#N/A</v>
      </c>
      <c r="O50" s="103" t="e">
        <f t="shared" si="67"/>
        <v>#N/A</v>
      </c>
      <c r="P50" s="103" t="str">
        <f t="shared" si="67"/>
        <v>LCP HUANG JIHUI</v>
      </c>
      <c r="Q50" s="103" t="str">
        <f t="shared" si="67"/>
        <v>CPL QUEK ZI YI</v>
      </c>
      <c r="R50" s="103" t="e">
        <f t="shared" si="67"/>
        <v>#N/A</v>
      </c>
      <c r="S50" s="103" t="str">
        <f t="shared" si="67"/>
        <v>LCP MATTHEW HWANG YEW SENG</v>
      </c>
      <c r="T50" s="103" t="str">
        <f t="shared" si="67"/>
        <v>CPL FANG JIANGRUI</v>
      </c>
      <c r="U50" s="103" t="e">
        <f t="shared" si="67"/>
        <v>#N/A</v>
      </c>
      <c r="V50" s="103" t="e">
        <f t="shared" si="67"/>
        <v>#N/A</v>
      </c>
      <c r="W50" s="103" t="str">
        <f t="shared" si="67"/>
        <v>LCP SHLOK PUROHIT</v>
      </c>
      <c r="X50" s="103" t="str">
        <f t="shared" si="67"/>
        <v>3SG SAMUEL TAN ENG WEE</v>
      </c>
      <c r="Y50" s="103" t="e">
        <f t="shared" si="67"/>
        <v>#N/A</v>
      </c>
      <c r="Z50" s="103" t="e">
        <f t="shared" si="67"/>
        <v>#N/A</v>
      </c>
      <c r="AA50" s="103" t="str">
        <f t="shared" si="67"/>
        <v>LCP MUHAMMAD HAMZA ZUBERI</v>
      </c>
      <c r="AB50" s="103" t="e">
        <f t="shared" si="67"/>
        <v>#N/A</v>
      </c>
      <c r="AC50" s="103" t="e">
        <f t="shared" si="67"/>
        <v>#N/A</v>
      </c>
      <c r="AD50" s="103" t="str">
        <f t="shared" si="67"/>
        <v>LCP EKLAYVA PINGALI</v>
      </c>
      <c r="AE50" s="103" t="str">
        <f t="shared" si="67"/>
        <v>LCP MATTHEW HWANG YEW SENG</v>
      </c>
      <c r="AF50" s="103" t="e">
        <f t="shared" si="67"/>
        <v>#N/A</v>
      </c>
      <c r="AG50" s="103" t="str">
        <f t="shared" si="67"/>
        <v>LCP MUHAMMAD YASIR BIN MUHAMMAD HIJAZ</v>
      </c>
      <c r="AH50" s="67"/>
      <c r="AI50" s="67"/>
      <c r="AJ50" s="67"/>
      <c r="AK50" s="67"/>
      <c r="AL50" s="67"/>
      <c r="AM50" s="67"/>
      <c r="AN50" s="67"/>
      <c r="AO50" s="67"/>
      <c r="AP50" s="67"/>
      <c r="AQ50" s="76"/>
      <c r="AR50" s="76"/>
      <c r="AS50" s="77"/>
      <c r="AT50" s="67"/>
      <c r="AU50" s="77"/>
      <c r="AV50" s="77">
        <f>SUMPRODUCT(--(WEEKDAY(C$3:AF$3,2)&gt;5),--ISNUMBER(MATCH(C50:AF50,{"DM","CS1","CS2","SB1","AE","CS/B"},0)))</f>
        <v>0</v>
      </c>
      <c r="AW50" s="67"/>
      <c r="AX50" s="77"/>
      <c r="AY50" s="77"/>
      <c r="AZ50" s="77"/>
      <c r="BA50" s="76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67"/>
    </row>
    <row r="51" ht="19.5" customHeight="1" spans="1:68">
      <c r="A51" s="67"/>
      <c r="B51" s="60" t="s">
        <v>566</v>
      </c>
      <c r="C51" s="103" t="e">
        <f t="shared" ref="C51:AG51" si="68">INDEX($B$4:$B$46,MATCH($B51,C$4:C$46,0))</f>
        <v>#N/A</v>
      </c>
      <c r="D51" s="103" t="str">
        <f t="shared" si="68"/>
        <v>CPL QUEK ZI YI</v>
      </c>
      <c r="E51" s="103" t="e">
        <f t="shared" si="68"/>
        <v>#N/A</v>
      </c>
      <c r="F51" s="103" t="e">
        <f t="shared" si="68"/>
        <v>#N/A</v>
      </c>
      <c r="G51" s="103" t="str">
        <f t="shared" si="68"/>
        <v>LCP SHLOK PUROHIT</v>
      </c>
      <c r="H51" s="103" t="str">
        <f t="shared" si="68"/>
        <v>LCP RAIYAN ZUFAYRI BIN MOHAMAD HELMY</v>
      </c>
      <c r="I51" s="103" t="e">
        <f t="shared" si="68"/>
        <v>#N/A</v>
      </c>
      <c r="J51" s="103" t="e">
        <f t="shared" si="68"/>
        <v>#N/A</v>
      </c>
      <c r="K51" s="103" t="str">
        <f t="shared" si="68"/>
        <v>LCP MUHAMMAD YASIR BIN MUHAMMAD HIJAZ</v>
      </c>
      <c r="L51" s="103" t="e">
        <f t="shared" si="68"/>
        <v>#N/A</v>
      </c>
      <c r="M51" s="103" t="e">
        <f t="shared" si="68"/>
        <v>#N/A</v>
      </c>
      <c r="N51" s="103" t="str">
        <f t="shared" si="68"/>
        <v>LCP SHLOK PUROHIT</v>
      </c>
      <c r="O51" s="103" t="str">
        <f t="shared" si="68"/>
        <v>CPL HYDER ISKANDAR BIN ZULKILFILY</v>
      </c>
      <c r="P51" s="103" t="e">
        <f t="shared" si="68"/>
        <v>#N/A</v>
      </c>
      <c r="Q51" s="103" t="e">
        <f t="shared" si="68"/>
        <v>#N/A</v>
      </c>
      <c r="R51" s="103" t="str">
        <f t="shared" si="68"/>
        <v>3SG SAMUEL TAN ENG WEE</v>
      </c>
      <c r="S51" s="103" t="e">
        <f t="shared" si="68"/>
        <v>#N/A</v>
      </c>
      <c r="T51" s="103" t="e">
        <f t="shared" si="68"/>
        <v>#N/A</v>
      </c>
      <c r="U51" s="103" t="str">
        <f t="shared" si="68"/>
        <v>LCP RON NG </v>
      </c>
      <c r="V51" s="103" t="str">
        <f t="shared" si="68"/>
        <v>PTE MENDEZ RALPH JUSTINE MACALINO</v>
      </c>
      <c r="W51" s="103" t="e">
        <f t="shared" si="68"/>
        <v>#N/A</v>
      </c>
      <c r="X51" s="103" t="e">
        <f t="shared" si="68"/>
        <v>#N/A</v>
      </c>
      <c r="Y51" s="103" t="str">
        <f t="shared" si="68"/>
        <v>LCP SHLOK PUROHIT</v>
      </c>
      <c r="Z51" s="103" t="e">
        <f t="shared" si="68"/>
        <v>#N/A</v>
      </c>
      <c r="AA51" s="103" t="e">
        <f t="shared" si="68"/>
        <v>#N/A</v>
      </c>
      <c r="AB51" s="103" t="str">
        <f t="shared" si="68"/>
        <v>LCP IGNATIUS QUEK </v>
      </c>
      <c r="AC51" s="103" t="str">
        <f t="shared" si="68"/>
        <v>LCP HUANG JIHUI</v>
      </c>
      <c r="AD51" s="103" t="e">
        <f t="shared" si="68"/>
        <v>#N/A</v>
      </c>
      <c r="AE51" s="103" t="e">
        <f t="shared" si="68"/>
        <v>#N/A</v>
      </c>
      <c r="AF51" s="103" t="str">
        <f t="shared" si="68"/>
        <v>LCP IGNATIUS QUEK </v>
      </c>
      <c r="AG51" s="103" t="e">
        <f t="shared" si="68"/>
        <v>#N/A</v>
      </c>
      <c r="AH51" s="67"/>
      <c r="AI51" s="67"/>
      <c r="AJ51" s="67"/>
      <c r="AK51" s="67"/>
      <c r="AL51" s="67"/>
      <c r="AM51" s="67"/>
      <c r="AN51" s="67"/>
      <c r="AO51" s="67"/>
      <c r="AP51" s="67"/>
      <c r="AQ51" s="76"/>
      <c r="AR51" s="76"/>
      <c r="AS51" s="77"/>
      <c r="AT51" s="67"/>
      <c r="AU51" s="77"/>
      <c r="AV51" s="77">
        <f>SUMPRODUCT(--(WEEKDAY(C$3:AF$3,2)&gt;5),--ISNUMBER(MATCH(C51:AF51,{"DM","CS1","CS2","SB1","AE","CS/B"},0)))</f>
        <v>0</v>
      </c>
      <c r="AW51" s="67"/>
      <c r="AX51" s="77"/>
      <c r="AY51" s="77"/>
      <c r="AZ51" s="77"/>
      <c r="BA51" s="76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67"/>
    </row>
    <row r="52" ht="19.5" customHeight="1" spans="1:68">
      <c r="A52" s="67"/>
      <c r="B52" s="60" t="s">
        <v>58</v>
      </c>
      <c r="C52" s="103" t="str">
        <f t="shared" ref="C52:AG52" si="69">INDEX($B$4:$B$46,MATCH($B52,C$4:C$46,0))</f>
        <v>3SG SAMUEL TAN ENG WEE</v>
      </c>
      <c r="D52" s="103" t="e">
        <f t="shared" si="69"/>
        <v>#N/A</v>
      </c>
      <c r="E52" s="103" t="str">
        <f t="shared" si="69"/>
        <v>LCP STEPHEN TAY </v>
      </c>
      <c r="F52" s="103" t="str">
        <f t="shared" si="69"/>
        <v>LCP RAIYAN ZUFAYRI BIN MOHAMAD HELMY</v>
      </c>
      <c r="G52" s="103" t="e">
        <f t="shared" si="69"/>
        <v>#N/A</v>
      </c>
      <c r="H52" s="103" t="e">
        <f t="shared" si="69"/>
        <v>#N/A</v>
      </c>
      <c r="I52" s="103" t="str">
        <f t="shared" si="69"/>
        <v>CPL HO SHENGHUI HAYDEN</v>
      </c>
      <c r="J52" s="103" t="str">
        <f t="shared" si="69"/>
        <v>LCP CHOA ZONGHAN ETIENNE</v>
      </c>
      <c r="K52" s="103" t="e">
        <f t="shared" si="69"/>
        <v>#N/A</v>
      </c>
      <c r="L52" s="103" t="str">
        <f t="shared" si="69"/>
        <v>LCP JARED JUAY (BCF)</v>
      </c>
      <c r="M52" s="103" t="str">
        <f t="shared" si="69"/>
        <v>PTE MENDEZ RALPH JUSTINE MACALINO</v>
      </c>
      <c r="N52" s="103" t="e">
        <f t="shared" si="69"/>
        <v>#N/A</v>
      </c>
      <c r="O52" s="103" t="e">
        <f t="shared" si="69"/>
        <v>#N/A</v>
      </c>
      <c r="P52" s="103" t="str">
        <f t="shared" si="69"/>
        <v>LCP RAIYAN ZUFAYRI BIN MOHAMAD HELMY</v>
      </c>
      <c r="Q52" s="103" t="str">
        <f t="shared" si="69"/>
        <v>CPL HYDER ISKANDAR BIN ZULKILFILY</v>
      </c>
      <c r="R52" s="103" t="e">
        <f t="shared" si="69"/>
        <v>#N/A</v>
      </c>
      <c r="S52" s="103" t="str">
        <f t="shared" si="69"/>
        <v>PTE JAR RUI (BCF)</v>
      </c>
      <c r="T52" s="103" t="str">
        <f t="shared" si="69"/>
        <v>LCP EDWARD GAN BOON WEI </v>
      </c>
      <c r="U52" s="103" t="e">
        <f t="shared" si="69"/>
        <v>#N/A</v>
      </c>
      <c r="V52" s="103" t="e">
        <f t="shared" si="69"/>
        <v>#N/A</v>
      </c>
      <c r="W52" s="103" t="str">
        <f t="shared" si="69"/>
        <v>LCP RAIYAN ZUFAYRI BIN MOHAMAD HELMY</v>
      </c>
      <c r="X52" s="103" t="str">
        <f t="shared" si="69"/>
        <v>PTE JEROME TEO (BCF)</v>
      </c>
      <c r="Y52" s="103" t="e">
        <f t="shared" si="69"/>
        <v>#N/A</v>
      </c>
      <c r="Z52" s="103" t="str">
        <f t="shared" si="69"/>
        <v>CPL HYDER ISKANDAR BIN ZULKILFILY</v>
      </c>
      <c r="AA52" s="103" t="str">
        <f t="shared" si="69"/>
        <v>3SG SAMUEL TAN ENG WEE</v>
      </c>
      <c r="AB52" s="103" t="e">
        <f t="shared" si="69"/>
        <v>#N/A</v>
      </c>
      <c r="AC52" s="103" t="e">
        <f t="shared" si="69"/>
        <v>#N/A</v>
      </c>
      <c r="AD52" s="103" t="str">
        <f t="shared" si="69"/>
        <v>LCP SHLOK PUROHIT</v>
      </c>
      <c r="AE52" s="103" t="str">
        <f t="shared" si="69"/>
        <v>CPL ZHANG ZHONGHAO</v>
      </c>
      <c r="AF52" s="103" t="e">
        <f t="shared" si="69"/>
        <v>#N/A</v>
      </c>
      <c r="AG52" s="103" t="str">
        <f t="shared" si="69"/>
        <v>PTE JAR RUI (BCF)</v>
      </c>
      <c r="AH52" s="67"/>
      <c r="AI52" s="67"/>
      <c r="AJ52" s="67"/>
      <c r="AK52" s="67"/>
      <c r="AL52" s="67"/>
      <c r="AM52" s="67"/>
      <c r="AN52" s="67"/>
      <c r="AO52" s="67"/>
      <c r="AP52" s="67"/>
      <c r="AQ52" s="76"/>
      <c r="AR52" s="76"/>
      <c r="AS52" s="77"/>
      <c r="AT52" s="67"/>
      <c r="AU52" s="77"/>
      <c r="AV52" s="77">
        <f>SUMPRODUCT(--(WEEKDAY(C$3:AF$3,2)&gt;5),--ISNUMBER(MATCH(C52:AF52,{"DM","CS1","CS2","SB1","AE","CS/B"},0)))</f>
        <v>0</v>
      </c>
      <c r="AW52" s="67"/>
      <c r="AX52" s="77"/>
      <c r="AY52" s="77"/>
      <c r="AZ52" s="77"/>
      <c r="BA52" s="76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67"/>
    </row>
    <row r="53" ht="19.5" customHeight="1" spans="1:68">
      <c r="A53" s="67"/>
      <c r="B53" s="60" t="s">
        <v>93</v>
      </c>
      <c r="C53" s="103" t="str">
        <f t="shared" ref="C53:AG53" si="70">INDEX($B$4:$B$46,MATCH($B53,C$4:C$46,0))</f>
        <v>PTE KERK NATHAN</v>
      </c>
      <c r="D53" s="103" t="str">
        <f t="shared" si="70"/>
        <v>CFC DERRICK CHIN</v>
      </c>
      <c r="E53" s="103" t="str">
        <f t="shared" si="70"/>
        <v>PTE KERK NATHAN</v>
      </c>
      <c r="F53" s="103" t="e">
        <f t="shared" si="70"/>
        <v>#N/A</v>
      </c>
      <c r="G53" s="103" t="e">
        <f t="shared" si="70"/>
        <v>#N/A</v>
      </c>
      <c r="H53" s="103" t="str">
        <f t="shared" si="70"/>
        <v>LCP MUHAMMAD SHAUKI BIN MOHD SHAM</v>
      </c>
      <c r="I53" s="103" t="str">
        <f t="shared" si="70"/>
        <v>LCP EDWARD GAN BOON WEI </v>
      </c>
      <c r="J53" s="103" t="str">
        <f t="shared" si="70"/>
        <v>LCP RAIYAN ZUFAYRI BIN MOHAMAD HELMY</v>
      </c>
      <c r="K53" s="103" t="str">
        <f t="shared" si="70"/>
        <v>LCP STEPHEN TAY </v>
      </c>
      <c r="L53" s="103" t="str">
        <f t="shared" si="70"/>
        <v>LCP CHOA ZONGHAN ETIENNE</v>
      </c>
      <c r="M53" s="103" t="e">
        <f t="shared" si="70"/>
        <v>#N/A</v>
      </c>
      <c r="N53" s="103" t="e">
        <f t="shared" si="70"/>
        <v>#N/A</v>
      </c>
      <c r="O53" s="103" t="str">
        <f t="shared" si="70"/>
        <v>LCP JARED JUAY (BCF)</v>
      </c>
      <c r="P53" s="103" t="str">
        <f t="shared" si="70"/>
        <v>PTE EUGENE ANG (BCF)</v>
      </c>
      <c r="Q53" s="103" t="str">
        <f t="shared" si="70"/>
        <v>CPL TAN JUN YANG KELVIN</v>
      </c>
      <c r="R53" s="103" t="str">
        <f t="shared" si="70"/>
        <v>LCP RON NG </v>
      </c>
      <c r="S53" s="103" t="str">
        <f t="shared" si="70"/>
        <v>LCP STEPHEN TAY </v>
      </c>
      <c r="T53" s="103" t="e">
        <f t="shared" si="70"/>
        <v>#N/A</v>
      </c>
      <c r="U53" s="103" t="e">
        <f t="shared" si="70"/>
        <v>#N/A</v>
      </c>
      <c r="V53" s="103" t="str">
        <f t="shared" si="70"/>
        <v>CPL HYDER ISKANDAR BIN ZULKILFILY</v>
      </c>
      <c r="W53" s="103" t="str">
        <f t="shared" si="70"/>
        <v>LCP MUHAMAD ZULKHAIRI BIN MOHAMAD SAPARI</v>
      </c>
      <c r="X53" s="103" t="str">
        <f t="shared" si="70"/>
        <v>CPL HO SHENGHUI HAYDEN</v>
      </c>
      <c r="Y53" s="103" t="str">
        <f t="shared" si="70"/>
        <v>LCP LAU KAN SHEN (BCF)</v>
      </c>
      <c r="Z53" s="103" t="str">
        <f t="shared" si="70"/>
        <v>PTE JEROME TEO (BCF)</v>
      </c>
      <c r="AA53" s="103" t="e">
        <f t="shared" si="70"/>
        <v>#N/A</v>
      </c>
      <c r="AB53" s="103" t="e">
        <f t="shared" si="70"/>
        <v>#N/A</v>
      </c>
      <c r="AC53" s="103" t="str">
        <f t="shared" si="70"/>
        <v>CFC GERALD TAN </v>
      </c>
      <c r="AD53" s="103" t="str">
        <f t="shared" si="70"/>
        <v>CPL ZHANG ZHONGHAO</v>
      </c>
      <c r="AE53" s="103" t="str">
        <f t="shared" si="70"/>
        <v>LCP JARED JUAY (BCF)</v>
      </c>
      <c r="AF53" s="103" t="str">
        <f t="shared" si="70"/>
        <v>LCP EKLAYVA PINGALI</v>
      </c>
      <c r="AG53" s="103" t="str">
        <f t="shared" si="70"/>
        <v>LCP SHLOK PUROHIT</v>
      </c>
      <c r="AH53" s="67"/>
      <c r="AI53" s="67"/>
      <c r="AJ53" s="67"/>
      <c r="AK53" s="67"/>
      <c r="AL53" s="67"/>
      <c r="AM53" s="67"/>
      <c r="AN53" s="67"/>
      <c r="AO53" s="67"/>
      <c r="AP53" s="67"/>
      <c r="AQ53" s="76"/>
      <c r="AR53" s="76"/>
      <c r="AS53" s="77"/>
      <c r="AT53" s="67"/>
      <c r="AU53" s="77"/>
      <c r="AV53" s="77">
        <f>SUMPRODUCT(--(WEEKDAY(C$3:AF$3,2)&gt;5),--ISNUMBER(MATCH(C53:AF53,{"DM","CS1","CS2","SB1","AE","CS/B"},0)))</f>
        <v>0</v>
      </c>
      <c r="AW53" s="67"/>
      <c r="AX53" s="77"/>
      <c r="AY53" s="77"/>
      <c r="AZ53" s="77"/>
      <c r="BA53" s="76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67"/>
    </row>
    <row r="54" ht="19.5" customHeight="1" spans="1:68">
      <c r="A54" s="67"/>
      <c r="B54" s="60" t="s">
        <v>65</v>
      </c>
      <c r="C54" s="103" t="str">
        <f t="shared" ref="C54:AG54" si="71">INDEX($B$4:$B$46,MATCH($B54,C$4:C$46,0))</f>
        <v>LCP MUHAMMAD HAMZA ZUBERI</v>
      </c>
      <c r="D54" s="103" t="str">
        <f t="shared" si="71"/>
        <v>LCP RAGURAMAN ANIRUDH</v>
      </c>
      <c r="E54" s="103" t="str">
        <f t="shared" si="71"/>
        <v>PTE DANIEL ISKANDAR BIN SANUSI</v>
      </c>
      <c r="F54" s="103" t="str">
        <f t="shared" si="71"/>
        <v>LCP HUANG JIHUI</v>
      </c>
      <c r="G54" s="103" t="str">
        <f t="shared" si="71"/>
        <v>PTE OWEN LEE</v>
      </c>
      <c r="H54" s="103" t="str">
        <f t="shared" si="71"/>
        <v>PTE PATIL AMEYA MANOJ</v>
      </c>
      <c r="I54" s="103" t="str">
        <f t="shared" si="71"/>
        <v>LCP MUHAMMAD HAMZA ZUBERI</v>
      </c>
      <c r="J54" s="103" t="str">
        <f t="shared" si="71"/>
        <v>PTE PATIL AMEYA MANOJ</v>
      </c>
      <c r="K54" s="103" t="str">
        <f t="shared" si="71"/>
        <v>LCP MUHAMMAD SHAUKI BIN MOHD SHAM</v>
      </c>
      <c r="L54" s="103" t="str">
        <f t="shared" si="71"/>
        <v>PTE JEROME TEO (BCF)</v>
      </c>
      <c r="M54" s="103" t="str">
        <f t="shared" si="71"/>
        <v>LCP LAU KAN SHEN (BCF)</v>
      </c>
      <c r="N54" s="103" t="str">
        <f t="shared" si="71"/>
        <v>PTE JEROME TEO (BCF)</v>
      </c>
      <c r="O54" s="103" t="str">
        <f t="shared" si="71"/>
        <v>LCP STEPHEN TAY </v>
      </c>
      <c r="P54" s="103" t="str">
        <f t="shared" si="71"/>
        <v>LCP AHMAD IMRAN (BCF)</v>
      </c>
      <c r="Q54" s="103" t="str">
        <f t="shared" si="71"/>
        <v>LCP MUHAMMAD HAMZA ZUBERI</v>
      </c>
      <c r="R54" s="103" t="str">
        <f t="shared" si="71"/>
        <v>LCP MUHAMMAD SHAUKI BIN MOHD SHAM</v>
      </c>
      <c r="S54" s="103" t="str">
        <f t="shared" si="71"/>
        <v>LCP RAIYAN ZUFAYRI BIN MOHAMAD HELMY</v>
      </c>
      <c r="T54" s="103" t="str">
        <f t="shared" si="71"/>
        <v>LCP RAGURAMAN ANIRUDH</v>
      </c>
      <c r="U54" s="103" t="str">
        <f t="shared" si="71"/>
        <v>LCP MUHAMMAD SHAUKI BIN MOHD SHAM</v>
      </c>
      <c r="V54" s="103" t="str">
        <f t="shared" si="71"/>
        <v>LCP STEPHEN TAY </v>
      </c>
      <c r="W54" s="103" t="str">
        <f t="shared" si="71"/>
        <v>PTE JAR RUI (BCF)</v>
      </c>
      <c r="X54" s="103" t="str">
        <f t="shared" si="71"/>
        <v>LCP HUANG JIHUI</v>
      </c>
      <c r="Y54" s="103" t="str">
        <f t="shared" si="71"/>
        <v>LCP AHMAD IMRAN (BCF)</v>
      </c>
      <c r="Z54" s="103" t="str">
        <f t="shared" si="71"/>
        <v>LCP HUANG JIHUI</v>
      </c>
      <c r="AA54" s="103" t="str">
        <f t="shared" si="71"/>
        <v>PTE JEROME TEO (BCF)</v>
      </c>
      <c r="AB54" s="103" t="str">
        <f t="shared" si="71"/>
        <v>LCP STEPHEN TAY </v>
      </c>
      <c r="AC54" s="103" t="str">
        <f t="shared" si="71"/>
        <v>LCP LAU KAN SHEN (BCF)</v>
      </c>
      <c r="AD54" s="103" t="str">
        <f t="shared" si="71"/>
        <v>PTE JAR RUI (BCF)</v>
      </c>
      <c r="AE54" s="103" t="str">
        <f t="shared" si="71"/>
        <v>LCP HUANG JIHUI</v>
      </c>
      <c r="AF54" s="103" t="str">
        <f t="shared" si="71"/>
        <v>PTE MENDEZ RALPH JUSTINE MACALINO</v>
      </c>
      <c r="AG54" s="103" t="str">
        <f t="shared" si="71"/>
        <v>PTE DANIEL ISKANDAR BIN SANUSI</v>
      </c>
      <c r="AH54" s="67"/>
      <c r="AI54" s="67"/>
      <c r="AJ54" s="67"/>
      <c r="AK54" s="67"/>
      <c r="AL54" s="67"/>
      <c r="AM54" s="67"/>
      <c r="AN54" s="67"/>
      <c r="AO54" s="67"/>
      <c r="AP54" s="67"/>
      <c r="AQ54" s="76"/>
      <c r="AR54" s="76"/>
      <c r="AS54" s="77"/>
      <c r="AT54" s="67"/>
      <c r="AU54" s="77"/>
      <c r="AV54" s="77">
        <f>SUMPRODUCT(--(WEEKDAY(C$3:AF$3,2)&gt;5),--ISNUMBER(MATCH(C54:AF54,{"DM","CS1","CS2","SB1","AE","CS/B"},0)))</f>
        <v>0</v>
      </c>
      <c r="AW54" s="67"/>
      <c r="AX54" s="77"/>
      <c r="AY54" s="77"/>
      <c r="AZ54" s="77"/>
      <c r="BA54" s="76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67"/>
    </row>
    <row r="55" ht="19.5" customHeight="1" spans="1:68">
      <c r="A55" s="67"/>
      <c r="B55" s="104" t="s">
        <v>350</v>
      </c>
      <c r="C55" s="103" t="e">
        <f t="shared" ref="C55:AG55" si="72">INDEX($B$4:$B$46,MATCH($B55,C$4:C$46,0))</f>
        <v>#N/A</v>
      </c>
      <c r="D55" s="103" t="str">
        <f t="shared" si="72"/>
        <v>LCP MATTHEW HWANG YEW SENG</v>
      </c>
      <c r="E55" s="103" t="str">
        <f t="shared" si="72"/>
        <v>LCP MUHAMMAD HAMZA ZUBERI</v>
      </c>
      <c r="F55" s="103" t="str">
        <f t="shared" si="72"/>
        <v>CPL FANG JIANGRUI</v>
      </c>
      <c r="G55" s="103" t="str">
        <f t="shared" si="72"/>
        <v>LCP CHYE JING AN MAXIMUS</v>
      </c>
      <c r="H55" s="103" t="str">
        <f t="shared" si="72"/>
        <v>3SG SAMUEL TAN ENG WEE</v>
      </c>
      <c r="I55" s="103" t="str">
        <f t="shared" si="72"/>
        <v>CPL WONG JI FENG WILLARD</v>
      </c>
      <c r="J55" s="103" t="str">
        <f t="shared" si="72"/>
        <v>PTE DANIEL ISKANDAR BIN SANUSI</v>
      </c>
      <c r="K55" s="103" t="str">
        <f t="shared" si="72"/>
        <v>LCP MATTHEW HWANG YEW SENG</v>
      </c>
      <c r="L55" s="103" t="str">
        <f t="shared" si="72"/>
        <v>LCP EDWARD GAN BOON WEI </v>
      </c>
      <c r="M55" s="103" t="e">
        <f t="shared" si="72"/>
        <v>#N/A</v>
      </c>
      <c r="N55" s="103" t="str">
        <f t="shared" si="72"/>
        <v>LCP MATTHEW HWANG YEW SENG</v>
      </c>
      <c r="O55" s="103" t="str">
        <f t="shared" si="72"/>
        <v>CPL WONG JI FENG WILLARD</v>
      </c>
      <c r="P55" s="103" t="str">
        <f t="shared" si="72"/>
        <v>CPL HO SHENGHUI HAYDEN</v>
      </c>
      <c r="Q55" s="103" t="str">
        <f t="shared" si="72"/>
        <v>LCP STEPHEN TAY </v>
      </c>
      <c r="R55" s="103" t="str">
        <f t="shared" si="72"/>
        <v>CFC DERRICK CHIN</v>
      </c>
      <c r="S55" s="103" t="str">
        <f t="shared" si="72"/>
        <v>PTE DANIEL ISKANDAR BIN SANUSI</v>
      </c>
      <c r="T55" s="103" t="str">
        <f t="shared" si="72"/>
        <v>CPL HYDER ISKANDAR BIN ZULKILFILY</v>
      </c>
      <c r="U55" s="103" t="str">
        <f t="shared" si="72"/>
        <v>LCP KOO YI XIAN RAPHAEL </v>
      </c>
      <c r="V55" s="103" t="str">
        <f t="shared" si="72"/>
        <v>LCP MATTHEW HWANG YEW SENG</v>
      </c>
      <c r="W55" s="103" t="str">
        <f t="shared" si="72"/>
        <v>LCP MUHAMMAD HAMZA ZUBERI</v>
      </c>
      <c r="X55" s="103" t="str">
        <f t="shared" si="72"/>
        <v>LCP CHOA ZONGHAN ETIENNE</v>
      </c>
      <c r="Y55" s="103" t="str">
        <f t="shared" si="72"/>
        <v>LCP STEPHEN TAY </v>
      </c>
      <c r="Z55" s="103" t="str">
        <f t="shared" si="72"/>
        <v>3SG SAMUEL TAN ENG WEE</v>
      </c>
      <c r="AA55" s="103" t="str">
        <f t="shared" si="72"/>
        <v>CPL ZHANG ZHONGHAO</v>
      </c>
      <c r="AB55" s="103" t="str">
        <f t="shared" si="72"/>
        <v>LCP MATTHEW HWANG YEW SENG</v>
      </c>
      <c r="AC55" s="103" t="str">
        <f t="shared" si="72"/>
        <v>3SG SAMUEL TAN ENG WEE</v>
      </c>
      <c r="AD55" s="103" t="str">
        <f t="shared" si="72"/>
        <v>PTE MENDEZ RALPH JUSTINE MACALINO</v>
      </c>
      <c r="AE55" s="103" t="str">
        <f t="shared" si="72"/>
        <v>LCP KOO YI XIAN RAPHAEL </v>
      </c>
      <c r="AF55" s="103" t="str">
        <f t="shared" si="72"/>
        <v>LCP SHLOK PUROHIT</v>
      </c>
      <c r="AG55" s="103" t="str">
        <f t="shared" si="72"/>
        <v>LCP HUANG JIHUI</v>
      </c>
      <c r="AH55" s="67"/>
      <c r="AI55" s="67"/>
      <c r="AJ55" s="67"/>
      <c r="AK55" s="67"/>
      <c r="AL55" s="67"/>
      <c r="AM55" s="67"/>
      <c r="AN55" s="67"/>
      <c r="AO55" s="67"/>
      <c r="AP55" s="67"/>
      <c r="AQ55" s="76"/>
      <c r="AR55" s="76"/>
      <c r="AS55" s="77"/>
      <c r="AT55" s="67"/>
      <c r="AU55" s="77"/>
      <c r="AV55" s="77">
        <f>SUMPRODUCT(--(WEEKDAY(C$3:AF$3,2)&gt;5),--ISNUMBER(MATCH(C55:AF55,{"DM","CS1","CS2","SB1","AE","CS/B"},0)))</f>
        <v>0</v>
      </c>
      <c r="AW55" s="67"/>
      <c r="AX55" s="77"/>
      <c r="AY55" s="77"/>
      <c r="AZ55" s="77"/>
      <c r="BA55" s="76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67"/>
    </row>
    <row r="56" ht="19.5" customHeight="1" spans="1:68">
      <c r="A56" s="67"/>
      <c r="B56" s="105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5">
        <f t="shared" ref="AH56:AP56" si="73">COUNTIF($C56:$AF56,AH$4)</f>
        <v>0</v>
      </c>
      <c r="AI56" s="105">
        <f t="shared" si="73"/>
        <v>0</v>
      </c>
      <c r="AJ56" s="105">
        <f t="shared" si="73"/>
        <v>0</v>
      </c>
      <c r="AK56" s="105">
        <f t="shared" si="73"/>
        <v>0</v>
      </c>
      <c r="AL56" s="105">
        <f t="shared" si="73"/>
        <v>0</v>
      </c>
      <c r="AM56" s="105">
        <f t="shared" si="73"/>
        <v>0</v>
      </c>
      <c r="AN56" s="105">
        <f t="shared" si="73"/>
        <v>0</v>
      </c>
      <c r="AO56" s="105">
        <f t="shared" si="73"/>
        <v>0</v>
      </c>
      <c r="AP56" s="105">
        <f t="shared" si="73"/>
        <v>0</v>
      </c>
      <c r="AQ56" s="105">
        <v>1</v>
      </c>
      <c r="AR56" s="105"/>
      <c r="AS56" s="105">
        <f t="array" ref="AS56">SUMPRODUCT(--(WEEKDAY(C$3:AF$3,2)&lt;5),--ISNUMBER(MATCH(C56:AF56,{"DM","CS1","CS2","SB1","AE","CS/B"},0)))</f>
        <v>0</v>
      </c>
      <c r="AT56" s="105"/>
      <c r="AU56" s="105">
        <f t="array" ref="AU56">SUMPRODUCT(--(WEEKDAY(C$3:AF$3,2)=5),--ISNUMBER(MATCH(C56:AF56,{"DM","CS1","CS2","SB1","AE","CS/B"},0)))</f>
        <v>0</v>
      </c>
      <c r="AV56" s="77">
        <f>SUMPRODUCT(--(WEEKDAY(C$3:AF$3,2)&gt;5),--ISNUMBER(MATCH(C56:AF56,{"DM","CS1","CS2","SB1","AE","CS/B"},0)))</f>
        <v>0</v>
      </c>
      <c r="AW56" s="105"/>
      <c r="AX56" s="105">
        <f>(AS56-AT56)+AU56*1.5+(AV56-AW56)*2+AM56*0.5+AO56*0.5+AQ56-AR56</f>
        <v>1</v>
      </c>
      <c r="AY56" s="105">
        <f t="shared" ref="AY56:AY76" si="74">AS56+AU56+AV56</f>
        <v>0</v>
      </c>
      <c r="AZ56" s="105">
        <f t="shared" ref="AZ56:AZ76" si="75">BC56+BE56+BG56+BI56+BK56</f>
        <v>0</v>
      </c>
      <c r="BA56" s="105">
        <f t="shared" ref="BA56:BA76" si="76">AX56+BB56</f>
        <v>1</v>
      </c>
      <c r="BB56" s="105">
        <f t="shared" ref="BB56:BB76" si="77">BD56+BF56+BH56+BJ56+BL56</f>
        <v>0</v>
      </c>
      <c r="BC56" s="105">
        <f t="shared" ref="BC56:BC76" si="78">COUNTIF(A56:AH56,"*$BTP*")</f>
        <v>0</v>
      </c>
      <c r="BD56" s="105">
        <f t="shared" ref="BD56:BD76" si="79">BC56*1.5</f>
        <v>0</v>
      </c>
      <c r="BE56" s="105">
        <f t="shared" ref="BE56:BE76" si="80">COUNTIF(A56:AH56,"*$M*")</f>
        <v>0</v>
      </c>
      <c r="BF56" s="105">
        <f t="shared" ref="BF56:BF76" si="81">BE56*1</f>
        <v>0</v>
      </c>
      <c r="BG56" s="105">
        <f t="shared" ref="BG56:BG76" si="82">COUNTIF(A56:AH56,"*$PM*")</f>
        <v>0</v>
      </c>
      <c r="BH56" s="105">
        <f t="shared" ref="BH56:BH76" si="83">BG56*0.5</f>
        <v>0</v>
      </c>
      <c r="BI56" s="105">
        <f t="shared" ref="BI56:BI76" si="84">COUNTIF(A56:AH56,"*$AM*")</f>
        <v>0</v>
      </c>
      <c r="BJ56" s="105">
        <f t="shared" ref="BJ56:BJ76" si="85">BI56*0.5</f>
        <v>0</v>
      </c>
      <c r="BK56" s="105">
        <f t="shared" ref="BK56:BK76" si="86">COUNTIF(A56:AH56,"*$FC*")</f>
        <v>0</v>
      </c>
      <c r="BL56" s="105">
        <f t="shared" ref="BL56:BL76" si="87">BK56*1</f>
        <v>0</v>
      </c>
      <c r="BM56" s="105">
        <f>COUNTIF($D56:$Y56,BM$4)</f>
        <v>0</v>
      </c>
      <c r="BN56" s="105">
        <f>COUNTIF($D56:$Y56,BN$4)</f>
        <v>0</v>
      </c>
      <c r="BO56" s="105"/>
      <c r="BP56" s="105"/>
    </row>
    <row r="57" ht="19.5" customHeight="1" spans="1:68">
      <c r="A57" s="67"/>
      <c r="B57" s="76" t="s">
        <v>814</v>
      </c>
      <c r="C57" s="53"/>
      <c r="D57" s="106"/>
      <c r="E57" s="106"/>
      <c r="F57" s="60"/>
      <c r="G57" s="60"/>
      <c r="H57" s="60"/>
      <c r="I57" s="60" t="s">
        <v>261</v>
      </c>
      <c r="J57" s="60" t="s">
        <v>56</v>
      </c>
      <c r="K57" s="53"/>
      <c r="L57" s="60"/>
      <c r="M57" s="53" t="s">
        <v>989</v>
      </c>
      <c r="N57" s="60"/>
      <c r="O57" s="60" t="s">
        <v>93</v>
      </c>
      <c r="P57" s="60"/>
      <c r="Q57" s="53"/>
      <c r="R57" s="53" t="s">
        <v>56</v>
      </c>
      <c r="S57" s="60" t="s">
        <v>58</v>
      </c>
      <c r="T57" s="53" t="s">
        <v>58</v>
      </c>
      <c r="U57" s="60"/>
      <c r="V57" s="60"/>
      <c r="W57" s="60"/>
      <c r="X57" s="60" t="s">
        <v>61</v>
      </c>
      <c r="Y57" s="60" t="s">
        <v>979</v>
      </c>
      <c r="Z57" s="60" t="s">
        <v>56</v>
      </c>
      <c r="AA57" s="53"/>
      <c r="AB57" s="60"/>
      <c r="AC57" s="60" t="s">
        <v>990</v>
      </c>
      <c r="AD57" s="1" t="s">
        <v>990</v>
      </c>
      <c r="AE57" s="108" t="s">
        <v>991</v>
      </c>
      <c r="AF57" s="108"/>
      <c r="AG57" s="108"/>
      <c r="AH57" s="67">
        <f t="shared" ref="AH57:AP57" si="88">COUNTIF($C57:$AD57,AH$4)</f>
        <v>0</v>
      </c>
      <c r="AI57" s="67">
        <f t="shared" si="88"/>
        <v>3</v>
      </c>
      <c r="AJ57" s="67">
        <f t="shared" si="88"/>
        <v>0</v>
      </c>
      <c r="AK57" s="67">
        <f t="shared" si="88"/>
        <v>0</v>
      </c>
      <c r="AL57" s="67">
        <f t="shared" si="88"/>
        <v>2</v>
      </c>
      <c r="AM57" s="67">
        <f t="shared" si="88"/>
        <v>1</v>
      </c>
      <c r="AN57" s="67">
        <f t="shared" si="88"/>
        <v>0</v>
      </c>
      <c r="AO57" s="67">
        <f t="shared" si="88"/>
        <v>0</v>
      </c>
      <c r="AP57" s="67">
        <f t="shared" si="88"/>
        <v>0</v>
      </c>
      <c r="AQ57" s="76"/>
      <c r="AR57" s="76"/>
      <c r="AS57" s="77">
        <f>SUMPRODUCT(--(WEEKDAY(C$3:AG$3,2)&lt;5),--ISNUMBER(MATCH(C57:AG57,{"SB1","SB2"},0)))</f>
        <v>1</v>
      </c>
      <c r="AT57" s="67"/>
      <c r="AU57" s="77">
        <f>SUMPRODUCT(--(WEEKDAY(C$3:AG$3,2)=5),--ISNUMBER(MATCH(C57:AG57,{"SB1","SB2"},0)))</f>
        <v>1</v>
      </c>
      <c r="AV57" s="77">
        <f>SUMPRODUCT(--(WEEKDAY(C$3:AG$3,2)&gt;5),--ISNUMBER(MATCH(C57:AG57,{"SB1","SB2"},0)))</f>
        <v>1</v>
      </c>
      <c r="AW57" s="67"/>
      <c r="AX57" s="77">
        <f t="shared" ref="AX57:AX76" si="89">(AS57-AT57)+AU57*1.5+(AV57-AW57)*2+(AO57+AH57+AI57+AJ57+AK57+AN57)*0.5+AQ57-AR57</f>
        <v>6</v>
      </c>
      <c r="AY57" s="77">
        <f t="shared" si="74"/>
        <v>3</v>
      </c>
      <c r="AZ57" s="77">
        <f t="shared" si="75"/>
        <v>4</v>
      </c>
      <c r="BA57" s="76">
        <f t="shared" si="76"/>
        <v>9.5</v>
      </c>
      <c r="BB57" s="77">
        <f t="shared" si="77"/>
        <v>3.5</v>
      </c>
      <c r="BC57" s="77">
        <f t="shared" si="78"/>
        <v>0</v>
      </c>
      <c r="BD57" s="77">
        <f t="shared" si="79"/>
        <v>0</v>
      </c>
      <c r="BE57" s="77">
        <f t="shared" si="80"/>
        <v>0</v>
      </c>
      <c r="BF57" s="77">
        <f t="shared" si="81"/>
        <v>0</v>
      </c>
      <c r="BG57" s="77">
        <f t="shared" si="82"/>
        <v>0</v>
      </c>
      <c r="BH57" s="77">
        <f t="shared" si="83"/>
        <v>0</v>
      </c>
      <c r="BI57" s="77">
        <f t="shared" si="84"/>
        <v>1</v>
      </c>
      <c r="BJ57" s="77">
        <f t="shared" si="85"/>
        <v>0.5</v>
      </c>
      <c r="BK57" s="77">
        <f t="shared" si="86"/>
        <v>3</v>
      </c>
      <c r="BL57" s="77">
        <f t="shared" si="87"/>
        <v>3</v>
      </c>
      <c r="BM57" s="77">
        <f>COUNTIF($E57:$AG57,BM$4)</f>
        <v>0</v>
      </c>
      <c r="BN57" s="77">
        <f>COUNTIF($E57:$AG57,BN$4)</f>
        <v>0</v>
      </c>
      <c r="BO57" s="77">
        <f>COUNTIF($E57:$Y57,BO$4)</f>
        <v>0</v>
      </c>
      <c r="BP57" s="67"/>
    </row>
    <row r="58" ht="19.5" customHeight="1" spans="1:68">
      <c r="A58" s="67" t="s">
        <v>487</v>
      </c>
      <c r="B58" s="76" t="s">
        <v>895</v>
      </c>
      <c r="C58" s="60"/>
      <c r="D58" s="53" t="s">
        <v>57</v>
      </c>
      <c r="E58" s="60" t="s">
        <v>56</v>
      </c>
      <c r="F58" s="107"/>
      <c r="G58" s="107" t="s">
        <v>58</v>
      </c>
      <c r="H58" s="60"/>
      <c r="I58" s="60" t="s">
        <v>55</v>
      </c>
      <c r="J58" s="60" t="s">
        <v>55</v>
      </c>
      <c r="K58" s="60" t="s">
        <v>55</v>
      </c>
      <c r="L58" s="60" t="s">
        <v>55</v>
      </c>
      <c r="M58" s="60" t="s">
        <v>989</v>
      </c>
      <c r="N58" s="60" t="s">
        <v>989</v>
      </c>
      <c r="O58" s="60" t="s">
        <v>992</v>
      </c>
      <c r="P58" s="60" t="s">
        <v>56</v>
      </c>
      <c r="Q58" s="60"/>
      <c r="R58" s="60" t="s">
        <v>65</v>
      </c>
      <c r="S58" s="108"/>
      <c r="T58" s="60"/>
      <c r="V58" s="60"/>
      <c r="W58" s="53" t="s">
        <v>65</v>
      </c>
      <c r="X58" s="60" t="s">
        <v>56</v>
      </c>
      <c r="Y58" s="60" t="s">
        <v>93</v>
      </c>
      <c r="Z58" s="60"/>
      <c r="AA58" s="53"/>
      <c r="AB58" s="60"/>
      <c r="AC58" s="60" t="s">
        <v>93</v>
      </c>
      <c r="AD58" s="106"/>
      <c r="AE58" s="4" t="s">
        <v>57</v>
      </c>
      <c r="AF58" s="60" t="s">
        <v>989</v>
      </c>
      <c r="AG58" s="60" t="s">
        <v>96</v>
      </c>
      <c r="AH58" s="67">
        <f t="shared" ref="AH58:AP58" si="90">COUNTIF($C58:$AF58,AH$4)</f>
        <v>2</v>
      </c>
      <c r="AI58" s="67">
        <f t="shared" si="90"/>
        <v>3</v>
      </c>
      <c r="AJ58" s="67">
        <f t="shared" si="90"/>
        <v>0</v>
      </c>
      <c r="AK58" s="67">
        <f t="shared" si="90"/>
        <v>0</v>
      </c>
      <c r="AL58" s="67">
        <f t="shared" si="90"/>
        <v>1</v>
      </c>
      <c r="AM58" s="67">
        <f t="shared" si="90"/>
        <v>2</v>
      </c>
      <c r="AN58" s="67">
        <f t="shared" si="90"/>
        <v>2</v>
      </c>
      <c r="AO58" s="67">
        <f t="shared" si="90"/>
        <v>0</v>
      </c>
      <c r="AP58" s="67">
        <f t="shared" si="90"/>
        <v>0</v>
      </c>
      <c r="AQ58" s="76"/>
      <c r="AR58" s="76"/>
      <c r="AS58" s="77">
        <f>SUMPRODUCT(--(WEEKDAY(C$3:AG$3,2)&lt;5),--ISNUMBER(MATCH(C58:AG58,{"SB1","SB2"},0)))</f>
        <v>2</v>
      </c>
      <c r="AT58" s="67"/>
      <c r="AU58" s="77">
        <f>SUMPRODUCT(--(WEEKDAY(C$3:AG$3,2)=5),--ISNUMBER(MATCH(C58:AG58,{"SB1","SB2"},0)))</f>
        <v>0</v>
      </c>
      <c r="AV58" s="77">
        <f>SUMPRODUCT(--(WEEKDAY(C$3:AG$3,2)&gt;5),--ISNUMBER(MATCH(C58:AG58,{"SB1","SB2"},0)))</f>
        <v>1</v>
      </c>
      <c r="AW58" s="67"/>
      <c r="AX58" s="77">
        <f t="shared" si="89"/>
        <v>7.5</v>
      </c>
      <c r="AY58" s="77">
        <f t="shared" si="74"/>
        <v>3</v>
      </c>
      <c r="AZ58" s="77">
        <f t="shared" si="75"/>
        <v>0</v>
      </c>
      <c r="BA58" s="76">
        <f t="shared" si="76"/>
        <v>7.5</v>
      </c>
      <c r="BB58" s="77">
        <f t="shared" si="77"/>
        <v>0</v>
      </c>
      <c r="BC58" s="77">
        <f t="shared" si="78"/>
        <v>0</v>
      </c>
      <c r="BD58" s="77">
        <f t="shared" si="79"/>
        <v>0</v>
      </c>
      <c r="BE58" s="77">
        <f t="shared" si="80"/>
        <v>0</v>
      </c>
      <c r="BF58" s="77">
        <f t="shared" si="81"/>
        <v>0</v>
      </c>
      <c r="BG58" s="77">
        <f t="shared" si="82"/>
        <v>0</v>
      </c>
      <c r="BH58" s="77">
        <f t="shared" si="83"/>
        <v>0</v>
      </c>
      <c r="BI58" s="77">
        <f t="shared" si="84"/>
        <v>0</v>
      </c>
      <c r="BJ58" s="77">
        <f t="shared" si="85"/>
        <v>0</v>
      </c>
      <c r="BK58" s="77">
        <f t="shared" si="86"/>
        <v>0</v>
      </c>
      <c r="BL58" s="77">
        <f t="shared" si="87"/>
        <v>0</v>
      </c>
      <c r="BM58" s="77">
        <f>COUNTIF($E58:$AG58,BM$4)</f>
        <v>0</v>
      </c>
      <c r="BN58" s="77">
        <f>COUNTIF($E58:$AG58,BN$4)</f>
        <v>0</v>
      </c>
      <c r="BO58" s="77">
        <f>COUNTIF($D58:$Y58,BO$4)</f>
        <v>4</v>
      </c>
      <c r="BP58" s="67"/>
    </row>
    <row r="59" ht="19.5" customHeight="1" spans="1:68">
      <c r="A59" s="67"/>
      <c r="B59" s="76" t="s">
        <v>820</v>
      </c>
      <c r="C59" s="60"/>
      <c r="D59" s="60" t="s">
        <v>253</v>
      </c>
      <c r="E59" s="60" t="s">
        <v>65</v>
      </c>
      <c r="F59" s="60"/>
      <c r="G59" s="53" t="s">
        <v>989</v>
      </c>
      <c r="H59" s="60"/>
      <c r="I59" s="60" t="s">
        <v>989</v>
      </c>
      <c r="J59" s="107" t="s">
        <v>989</v>
      </c>
      <c r="L59" s="60"/>
      <c r="M59" s="60"/>
      <c r="O59" s="60"/>
      <c r="P59" s="60"/>
      <c r="Q59" s="60"/>
      <c r="R59" s="106"/>
      <c r="S59" s="107" t="s">
        <v>57</v>
      </c>
      <c r="T59" s="54" t="s">
        <v>989</v>
      </c>
      <c r="U59" s="60"/>
      <c r="V59" s="1" t="s">
        <v>57</v>
      </c>
      <c r="W59" s="60"/>
      <c r="X59" s="60" t="s">
        <v>57</v>
      </c>
      <c r="Y59" s="108" t="s">
        <v>57</v>
      </c>
      <c r="AA59" s="60"/>
      <c r="AB59" s="60"/>
      <c r="AC59" s="107" t="s">
        <v>56</v>
      </c>
      <c r="AD59" s="60"/>
      <c r="AE59" s="106"/>
      <c r="AF59" s="60" t="s">
        <v>56</v>
      </c>
      <c r="AG59" s="54" t="s">
        <v>57</v>
      </c>
      <c r="AH59" s="67">
        <f t="shared" ref="AH59:AP59" si="91">COUNTIF($C59:$AF59,AH$4)</f>
        <v>4</v>
      </c>
      <c r="AI59" s="67">
        <f t="shared" si="91"/>
        <v>2</v>
      </c>
      <c r="AJ59" s="67">
        <f t="shared" si="91"/>
        <v>0</v>
      </c>
      <c r="AK59" s="67">
        <f t="shared" si="91"/>
        <v>0</v>
      </c>
      <c r="AL59" s="67">
        <f t="shared" si="91"/>
        <v>0</v>
      </c>
      <c r="AM59" s="67">
        <f t="shared" si="91"/>
        <v>0</v>
      </c>
      <c r="AN59" s="67">
        <f t="shared" si="91"/>
        <v>1</v>
      </c>
      <c r="AO59" s="67">
        <f t="shared" si="91"/>
        <v>0</v>
      </c>
      <c r="AP59" s="67">
        <f t="shared" si="91"/>
        <v>0</v>
      </c>
      <c r="AQ59" s="76"/>
      <c r="AR59" s="76"/>
      <c r="AS59" s="77">
        <f>SUMPRODUCT(--(WEEKDAY(C$3:AG$3,2)&lt;5),--ISNUMBER(MATCH(C59:AG59,{"SB1","SB2"},0)))</f>
        <v>0</v>
      </c>
      <c r="AT59" s="67"/>
      <c r="AU59" s="77">
        <f>SUMPRODUCT(--(WEEKDAY(C$3:AG$3,2)=5),--ISNUMBER(MATCH(C59:AG59,{"SB1","SB2"},0)))</f>
        <v>0</v>
      </c>
      <c r="AV59" s="77">
        <f>SUMPRODUCT(--(WEEKDAY(C$3:AG$3,2)&gt;5),--ISNUMBER(MATCH(C59:AG59,{"SB1","SB2"},0)))</f>
        <v>0</v>
      </c>
      <c r="AW59" s="67"/>
      <c r="AX59" s="77">
        <f t="shared" si="89"/>
        <v>3.5</v>
      </c>
      <c r="AY59" s="77">
        <f t="shared" si="74"/>
        <v>0</v>
      </c>
      <c r="AZ59" s="77">
        <f t="shared" si="75"/>
        <v>0</v>
      </c>
      <c r="BA59" s="76">
        <f t="shared" si="76"/>
        <v>3.5</v>
      </c>
      <c r="BB59" s="77">
        <f t="shared" si="77"/>
        <v>0</v>
      </c>
      <c r="BC59" s="77">
        <f t="shared" si="78"/>
        <v>0</v>
      </c>
      <c r="BD59" s="77">
        <f t="shared" si="79"/>
        <v>0</v>
      </c>
      <c r="BE59" s="77">
        <f t="shared" si="80"/>
        <v>0</v>
      </c>
      <c r="BF59" s="77">
        <f t="shared" si="81"/>
        <v>0</v>
      </c>
      <c r="BG59" s="77">
        <f t="shared" si="82"/>
        <v>0</v>
      </c>
      <c r="BH59" s="77">
        <f t="shared" si="83"/>
        <v>0</v>
      </c>
      <c r="BI59" s="77">
        <f t="shared" si="84"/>
        <v>0</v>
      </c>
      <c r="BJ59" s="77">
        <f t="shared" si="85"/>
        <v>0</v>
      </c>
      <c r="BK59" s="77">
        <f t="shared" si="86"/>
        <v>0</v>
      </c>
      <c r="BL59" s="77">
        <f t="shared" si="87"/>
        <v>0</v>
      </c>
      <c r="BM59" s="77">
        <f>COUNTIF($E59:$AG59,BM$4)</f>
        <v>0</v>
      </c>
      <c r="BN59" s="77">
        <f>COUNTIF($E59:$AG59,BN$4)</f>
        <v>0</v>
      </c>
      <c r="BO59" s="77">
        <f>COUNTIF($D59:$Y59,BO$4)</f>
        <v>0</v>
      </c>
      <c r="BP59" s="67"/>
    </row>
    <row r="60" ht="19.5" customHeight="1" spans="1:68">
      <c r="A60" s="67"/>
      <c r="B60" s="76" t="s">
        <v>821</v>
      </c>
      <c r="C60" s="60"/>
      <c r="D60" s="60"/>
      <c r="E60" s="54" t="s">
        <v>58</v>
      </c>
      <c r="F60" s="60"/>
      <c r="G60" s="60"/>
      <c r="H60" s="60" t="s">
        <v>58</v>
      </c>
      <c r="I60" s="60"/>
      <c r="J60" s="107" t="s">
        <v>822</v>
      </c>
      <c r="K60" s="60"/>
      <c r="L60" s="60" t="s">
        <v>56</v>
      </c>
      <c r="M60" s="60" t="s">
        <v>989</v>
      </c>
      <c r="N60" s="60" t="s">
        <v>989</v>
      </c>
      <c r="O60" s="60" t="s">
        <v>56</v>
      </c>
      <c r="P60" s="60" t="s">
        <v>993</v>
      </c>
      <c r="Q60" s="60" t="s">
        <v>56</v>
      </c>
      <c r="S60" s="60"/>
      <c r="T60" s="60" t="s">
        <v>989</v>
      </c>
      <c r="U60" s="60" t="s">
        <v>989</v>
      </c>
      <c r="V60" s="1"/>
      <c r="W60" s="107"/>
      <c r="X60" s="107" t="s">
        <v>900</v>
      </c>
      <c r="Y60" s="108" t="s">
        <v>65</v>
      </c>
      <c r="Z60" s="60" t="s">
        <v>994</v>
      </c>
      <c r="AA60" s="108"/>
      <c r="AB60" s="108"/>
      <c r="AC60" s="108"/>
      <c r="AD60" s="108" t="s">
        <v>56</v>
      </c>
      <c r="AE60" s="60"/>
      <c r="AF60" s="60" t="s">
        <v>58</v>
      </c>
      <c r="AG60" s="60" t="s">
        <v>65</v>
      </c>
      <c r="AH60" s="67">
        <f t="shared" ref="AH60:AP60" si="92">COUNTIF($C60:$AF60,AH$4)</f>
        <v>0</v>
      </c>
      <c r="AI60" s="67">
        <f t="shared" si="92"/>
        <v>4</v>
      </c>
      <c r="AJ60" s="67">
        <f t="shared" si="92"/>
        <v>0</v>
      </c>
      <c r="AK60" s="67">
        <f t="shared" si="92"/>
        <v>0</v>
      </c>
      <c r="AL60" s="67">
        <f t="shared" si="92"/>
        <v>3</v>
      </c>
      <c r="AM60" s="67">
        <f t="shared" si="92"/>
        <v>0</v>
      </c>
      <c r="AN60" s="67">
        <f t="shared" si="92"/>
        <v>1</v>
      </c>
      <c r="AO60" s="67">
        <f t="shared" si="92"/>
        <v>0</v>
      </c>
      <c r="AP60" s="67">
        <f t="shared" si="92"/>
        <v>0</v>
      </c>
      <c r="AQ60" s="76">
        <v>0.5</v>
      </c>
      <c r="AR60" s="76"/>
      <c r="AS60" s="77">
        <f>SUMPRODUCT(--(WEEKDAY(C$3:AG$3,2)&lt;5),--ISNUMBER(MATCH(C60:AG60,{"SB1","SB2"},0)))</f>
        <v>2</v>
      </c>
      <c r="AT60" s="67"/>
      <c r="AU60" s="77">
        <f>SUMPRODUCT(--(WEEKDAY(C$3:AG$3,2)=5),--ISNUMBER(MATCH(C60:AG60,{"SB1","SB2"},0)))</f>
        <v>1</v>
      </c>
      <c r="AV60" s="77">
        <f>SUMPRODUCT(--(WEEKDAY(C$3:AG$3,2)&gt;5),--ISNUMBER(MATCH(C60:AG60,{"SB1","SB2"},0)))</f>
        <v>0</v>
      </c>
      <c r="AW60" s="67"/>
      <c r="AX60" s="77">
        <f t="shared" si="89"/>
        <v>6.5</v>
      </c>
      <c r="AY60" s="77">
        <f t="shared" si="74"/>
        <v>3</v>
      </c>
      <c r="AZ60" s="77">
        <f t="shared" si="75"/>
        <v>2</v>
      </c>
      <c r="BA60" s="76">
        <f t="shared" si="76"/>
        <v>8</v>
      </c>
      <c r="BB60" s="77">
        <f t="shared" si="77"/>
        <v>1.5</v>
      </c>
      <c r="BC60" s="77">
        <f t="shared" si="78"/>
        <v>0</v>
      </c>
      <c r="BD60" s="77">
        <f t="shared" si="79"/>
        <v>0</v>
      </c>
      <c r="BE60" s="77">
        <f t="shared" si="80"/>
        <v>1</v>
      </c>
      <c r="BF60" s="77">
        <f t="shared" si="81"/>
        <v>1</v>
      </c>
      <c r="BG60" s="77">
        <f t="shared" si="82"/>
        <v>0</v>
      </c>
      <c r="BH60" s="77">
        <f t="shared" si="83"/>
        <v>0</v>
      </c>
      <c r="BI60" s="77">
        <f t="shared" si="84"/>
        <v>1</v>
      </c>
      <c r="BJ60" s="77">
        <f t="shared" si="85"/>
        <v>0.5</v>
      </c>
      <c r="BK60" s="77">
        <f t="shared" si="86"/>
        <v>0</v>
      </c>
      <c r="BL60" s="77">
        <f t="shared" si="87"/>
        <v>0</v>
      </c>
      <c r="BM60" s="77">
        <f>COUNTIF($E60:$AG60,BM$4)</f>
        <v>0</v>
      </c>
      <c r="BN60" s="77">
        <f>COUNTIF($E60:$AG60,BN$4)</f>
        <v>0</v>
      </c>
      <c r="BO60" s="77">
        <f>COUNTIF($D60:$Y60,BO$4)</f>
        <v>0</v>
      </c>
      <c r="BP60" s="67"/>
    </row>
    <row r="61" ht="24.75" customHeight="1" spans="1:68">
      <c r="A61" s="67"/>
      <c r="B61" s="76" t="s">
        <v>933</v>
      </c>
      <c r="C61" s="60" t="s">
        <v>995</v>
      </c>
      <c r="D61" s="60" t="s">
        <v>995</v>
      </c>
      <c r="E61" s="60" t="s">
        <v>995</v>
      </c>
      <c r="F61" s="60" t="s">
        <v>995</v>
      </c>
      <c r="G61" s="60" t="s">
        <v>995</v>
      </c>
      <c r="H61" s="60" t="s">
        <v>995</v>
      </c>
      <c r="I61" s="60" t="s">
        <v>995</v>
      </c>
      <c r="J61" s="60" t="s">
        <v>995</v>
      </c>
      <c r="K61" s="60" t="s">
        <v>995</v>
      </c>
      <c r="L61" s="60" t="s">
        <v>995</v>
      </c>
      <c r="M61" s="60" t="s">
        <v>995</v>
      </c>
      <c r="N61" s="60" t="s">
        <v>995</v>
      </c>
      <c r="O61" s="60" t="s">
        <v>822</v>
      </c>
      <c r="P61" s="60"/>
      <c r="Q61" s="60"/>
      <c r="R61" s="60" t="s">
        <v>261</v>
      </c>
      <c r="S61" s="60" t="s">
        <v>65</v>
      </c>
      <c r="T61" s="60" t="s">
        <v>989</v>
      </c>
      <c r="U61" s="60" t="s">
        <v>989</v>
      </c>
      <c r="V61" s="60" t="s">
        <v>65</v>
      </c>
      <c r="W61" s="60"/>
      <c r="X61" s="60" t="s">
        <v>65</v>
      </c>
      <c r="Y61" s="60"/>
      <c r="Z61" s="54" t="s">
        <v>65</v>
      </c>
      <c r="AA61" s="60" t="s">
        <v>989</v>
      </c>
      <c r="AB61" s="60" t="s">
        <v>989</v>
      </c>
      <c r="AC61" s="60"/>
      <c r="AD61" s="60" t="s">
        <v>65</v>
      </c>
      <c r="AE61" s="60"/>
      <c r="AF61" s="60"/>
      <c r="AG61" s="54"/>
      <c r="AH61" s="67">
        <f t="shared" ref="AH61:AP61" si="93">COUNTIF($C61:$AF61,AH$4)</f>
        <v>0</v>
      </c>
      <c r="AI61" s="67">
        <f t="shared" si="93"/>
        <v>0</v>
      </c>
      <c r="AJ61" s="67">
        <f t="shared" si="93"/>
        <v>0</v>
      </c>
      <c r="AK61" s="67">
        <f t="shared" si="93"/>
        <v>0</v>
      </c>
      <c r="AL61" s="67">
        <f t="shared" si="93"/>
        <v>0</v>
      </c>
      <c r="AM61" s="67">
        <f t="shared" si="93"/>
        <v>0</v>
      </c>
      <c r="AN61" s="67">
        <f t="shared" si="93"/>
        <v>5</v>
      </c>
      <c r="AO61" s="67">
        <f t="shared" si="93"/>
        <v>0</v>
      </c>
      <c r="AP61" s="67">
        <f t="shared" si="93"/>
        <v>0</v>
      </c>
      <c r="AQ61" s="76"/>
      <c r="AR61" s="76"/>
      <c r="AS61" s="77">
        <f>SUMPRODUCT(--(WEEKDAY(C$3:AG$3,2)&lt;5),--ISNUMBER(MATCH(C61:AG61,{"SB1","SB2"},0)))</f>
        <v>0</v>
      </c>
      <c r="AT61" s="67"/>
      <c r="AU61" s="77">
        <f>SUMPRODUCT(--(WEEKDAY(C$3:AG$3,2)=5),--ISNUMBER(MATCH(C61:AG61,{"SB1","SB2"},0)))</f>
        <v>0</v>
      </c>
      <c r="AV61" s="77">
        <f>SUMPRODUCT(--(WEEKDAY(C$3:AG$3,2)&gt;5),--ISNUMBER(MATCH(C61:AG61,{"SB1","SB2"},0)))</f>
        <v>0</v>
      </c>
      <c r="AW61" s="67"/>
      <c r="AX61" s="77">
        <f t="shared" si="89"/>
        <v>2.5</v>
      </c>
      <c r="AY61" s="77">
        <f t="shared" si="74"/>
        <v>0</v>
      </c>
      <c r="AZ61" s="77">
        <f t="shared" si="75"/>
        <v>0</v>
      </c>
      <c r="BA61" s="76">
        <f t="shared" si="76"/>
        <v>2.5</v>
      </c>
      <c r="BB61" s="77">
        <f t="shared" si="77"/>
        <v>0</v>
      </c>
      <c r="BC61" s="77">
        <f t="shared" si="78"/>
        <v>0</v>
      </c>
      <c r="BD61" s="77">
        <f t="shared" si="79"/>
        <v>0</v>
      </c>
      <c r="BE61" s="77">
        <f t="shared" si="80"/>
        <v>0</v>
      </c>
      <c r="BF61" s="77">
        <f t="shared" si="81"/>
        <v>0</v>
      </c>
      <c r="BG61" s="77">
        <f t="shared" si="82"/>
        <v>0</v>
      </c>
      <c r="BH61" s="77">
        <f t="shared" si="83"/>
        <v>0</v>
      </c>
      <c r="BI61" s="77">
        <f t="shared" si="84"/>
        <v>0</v>
      </c>
      <c r="BJ61" s="77">
        <f t="shared" si="85"/>
        <v>0</v>
      </c>
      <c r="BK61" s="77">
        <f t="shared" si="86"/>
        <v>0</v>
      </c>
      <c r="BL61" s="77">
        <f t="shared" si="87"/>
        <v>0</v>
      </c>
      <c r="BM61" s="77">
        <f>COUNTIF($D61:$AA61,BM$4)</f>
        <v>0</v>
      </c>
      <c r="BN61" s="77">
        <f>COUNTIF($D61:$AA61,BN$4)</f>
        <v>0</v>
      </c>
      <c r="BO61" s="77">
        <f>COUNTIF($D61:$AA61,BO$4)</f>
        <v>0</v>
      </c>
      <c r="BP61" s="77"/>
    </row>
    <row r="62" ht="24.75" customHeight="1" spans="1:68">
      <c r="A62" s="67"/>
      <c r="B62" s="76" t="s">
        <v>935</v>
      </c>
      <c r="C62" s="60" t="s">
        <v>995</v>
      </c>
      <c r="D62" s="60" t="s">
        <v>995</v>
      </c>
      <c r="E62" s="60" t="s">
        <v>995</v>
      </c>
      <c r="F62" s="60" t="s">
        <v>995</v>
      </c>
      <c r="G62" s="60" t="s">
        <v>995</v>
      </c>
      <c r="H62" s="60" t="s">
        <v>995</v>
      </c>
      <c r="I62" s="60" t="s">
        <v>995</v>
      </c>
      <c r="J62" s="60" t="s">
        <v>995</v>
      </c>
      <c r="K62" s="60" t="s">
        <v>995</v>
      </c>
      <c r="L62" s="60" t="s">
        <v>995</v>
      </c>
      <c r="M62" s="60" t="s">
        <v>995</v>
      </c>
      <c r="N62" s="60" t="s">
        <v>995</v>
      </c>
      <c r="O62" s="60"/>
      <c r="P62" s="60"/>
      <c r="Q62" s="60"/>
      <c r="R62" s="60" t="s">
        <v>58</v>
      </c>
      <c r="S62" s="53" t="s">
        <v>253</v>
      </c>
      <c r="T62" s="60"/>
      <c r="U62" s="60"/>
      <c r="V62" s="60" t="s">
        <v>93</v>
      </c>
      <c r="W62" s="60"/>
      <c r="X62" s="60"/>
      <c r="Y62" s="60"/>
      <c r="Z62" s="60"/>
      <c r="AA62" s="107" t="s">
        <v>58</v>
      </c>
      <c r="AB62" s="60"/>
      <c r="AC62" s="60" t="s">
        <v>65</v>
      </c>
      <c r="AD62" s="60"/>
      <c r="AE62" s="60" t="s">
        <v>65</v>
      </c>
      <c r="AF62" s="108"/>
      <c r="AG62" s="108"/>
      <c r="AH62" s="67">
        <f t="shared" ref="AH62:AP62" si="94">COUNTIF($C62:$AE62,AH$4)</f>
        <v>0</v>
      </c>
      <c r="AI62" s="67">
        <f t="shared" si="94"/>
        <v>0</v>
      </c>
      <c r="AJ62" s="67">
        <f t="shared" si="94"/>
        <v>0</v>
      </c>
      <c r="AK62" s="67">
        <f t="shared" si="94"/>
        <v>0</v>
      </c>
      <c r="AL62" s="67">
        <f t="shared" si="94"/>
        <v>2</v>
      </c>
      <c r="AM62" s="67">
        <f t="shared" si="94"/>
        <v>1</v>
      </c>
      <c r="AN62" s="67">
        <f t="shared" si="94"/>
        <v>2</v>
      </c>
      <c r="AO62" s="67">
        <f t="shared" si="94"/>
        <v>0</v>
      </c>
      <c r="AP62" s="67">
        <f t="shared" si="94"/>
        <v>0</v>
      </c>
      <c r="AQ62" s="76"/>
      <c r="AR62" s="76"/>
      <c r="AS62" s="77">
        <f>SUMPRODUCT(--(WEEKDAY(C$3:AG$3,2)&lt;5),--ISNUMBER(MATCH(C62:AG62,{"SB1","SB2"},0)))</f>
        <v>2</v>
      </c>
      <c r="AT62" s="67"/>
      <c r="AU62" s="77">
        <f>SUMPRODUCT(--(WEEKDAY(C$3:AG$3,2)=5),--ISNUMBER(MATCH(C62:AG62,{"SB1","SB2"},0)))</f>
        <v>0</v>
      </c>
      <c r="AV62" s="77">
        <f>SUMPRODUCT(--(WEEKDAY(C$3:AG$3,2)&gt;5),--ISNUMBER(MATCH(C62:AG62,{"SB1","SB2"},0)))</f>
        <v>1</v>
      </c>
      <c r="AW62" s="67"/>
      <c r="AX62" s="77">
        <f t="shared" si="89"/>
        <v>5</v>
      </c>
      <c r="AY62" s="77">
        <f t="shared" si="74"/>
        <v>3</v>
      </c>
      <c r="AZ62" s="77">
        <f t="shared" si="75"/>
        <v>0</v>
      </c>
      <c r="BA62" s="76">
        <f t="shared" si="76"/>
        <v>5</v>
      </c>
      <c r="BB62" s="77">
        <f t="shared" si="77"/>
        <v>0</v>
      </c>
      <c r="BC62" s="77">
        <f t="shared" si="78"/>
        <v>0</v>
      </c>
      <c r="BD62" s="77">
        <f t="shared" si="79"/>
        <v>0</v>
      </c>
      <c r="BE62" s="77">
        <f t="shared" si="80"/>
        <v>0</v>
      </c>
      <c r="BF62" s="77">
        <f t="shared" si="81"/>
        <v>0</v>
      </c>
      <c r="BG62" s="77">
        <f t="shared" si="82"/>
        <v>0</v>
      </c>
      <c r="BH62" s="77">
        <f t="shared" si="83"/>
        <v>0</v>
      </c>
      <c r="BI62" s="77">
        <f t="shared" si="84"/>
        <v>0</v>
      </c>
      <c r="BJ62" s="77">
        <f t="shared" si="85"/>
        <v>0</v>
      </c>
      <c r="BK62" s="77">
        <f t="shared" si="86"/>
        <v>0</v>
      </c>
      <c r="BL62" s="77">
        <f t="shared" si="87"/>
        <v>0</v>
      </c>
      <c r="BM62" s="77">
        <f>COUNTIF($D62:$AA62,BM$4)</f>
        <v>0</v>
      </c>
      <c r="BN62" s="77">
        <f>COUNTIF($D62:$AA62,BN$4)</f>
        <v>0</v>
      </c>
      <c r="BO62" s="77">
        <f>COUNTIF($D62:$AA62,BO$4)</f>
        <v>0</v>
      </c>
      <c r="BP62" s="77"/>
    </row>
    <row r="63" ht="19.5" customHeight="1" spans="1:68">
      <c r="A63" s="67"/>
      <c r="B63" s="67" t="s">
        <v>825</v>
      </c>
      <c r="C63" s="108" t="s">
        <v>55</v>
      </c>
      <c r="D63" s="109" t="s">
        <v>55</v>
      </c>
      <c r="E63" s="109" t="s">
        <v>55</v>
      </c>
      <c r="F63" s="109" t="s">
        <v>989</v>
      </c>
      <c r="G63" s="109" t="s">
        <v>989</v>
      </c>
      <c r="H63" s="109" t="s">
        <v>996</v>
      </c>
      <c r="I63" s="108" t="s">
        <v>55</v>
      </c>
      <c r="J63" s="108" t="s">
        <v>55</v>
      </c>
      <c r="K63" s="108" t="s">
        <v>55</v>
      </c>
      <c r="L63" s="108" t="s">
        <v>55</v>
      </c>
      <c r="M63" s="108"/>
      <c r="N63" s="108"/>
      <c r="O63" s="108" t="s">
        <v>57</v>
      </c>
      <c r="P63" s="108" t="s">
        <v>997</v>
      </c>
      <c r="Q63" s="108" t="s">
        <v>57</v>
      </c>
      <c r="R63" s="108" t="s">
        <v>997</v>
      </c>
      <c r="S63" s="109" t="s">
        <v>724</v>
      </c>
      <c r="T63" s="54"/>
      <c r="U63" s="110" t="s">
        <v>998</v>
      </c>
      <c r="V63" s="60" t="s">
        <v>998</v>
      </c>
      <c r="W63" s="60" t="s">
        <v>998</v>
      </c>
      <c r="X63" s="60" t="s">
        <v>998</v>
      </c>
      <c r="Y63" s="60" t="s">
        <v>998</v>
      </c>
      <c r="Z63" s="60" t="s">
        <v>998</v>
      </c>
      <c r="AA63" s="60" t="s">
        <v>998</v>
      </c>
      <c r="AB63" s="60" t="s">
        <v>998</v>
      </c>
      <c r="AC63" s="60" t="s">
        <v>998</v>
      </c>
      <c r="AD63" s="60" t="s">
        <v>998</v>
      </c>
      <c r="AE63" s="60" t="s">
        <v>998</v>
      </c>
      <c r="AF63" s="60" t="s">
        <v>998</v>
      </c>
      <c r="AG63" s="60" t="s">
        <v>998</v>
      </c>
      <c r="AH63" s="67">
        <f t="shared" ref="AH63:AP63" si="95">COUNTIF($C63:$AF63,AH$4)</f>
        <v>2</v>
      </c>
      <c r="AI63" s="67">
        <f t="shared" si="95"/>
        <v>0</v>
      </c>
      <c r="AJ63" s="67">
        <f t="shared" si="95"/>
        <v>0</v>
      </c>
      <c r="AK63" s="67">
        <f t="shared" si="95"/>
        <v>0</v>
      </c>
      <c r="AL63" s="67">
        <f t="shared" si="95"/>
        <v>0</v>
      </c>
      <c r="AM63" s="67">
        <f t="shared" si="95"/>
        <v>0</v>
      </c>
      <c r="AN63" s="67">
        <f t="shared" si="95"/>
        <v>0</v>
      </c>
      <c r="AO63" s="67">
        <f t="shared" si="95"/>
        <v>0</v>
      </c>
      <c r="AP63" s="67">
        <f t="shared" si="95"/>
        <v>0</v>
      </c>
      <c r="AQ63" s="76"/>
      <c r="AR63" s="76"/>
      <c r="AS63" s="77">
        <f>SUMPRODUCT(--(WEEKDAY(C$3:AG$3,2)&lt;5),--ISNUMBER(MATCH(C63:AG63,{"SB1","SB2"},0)))</f>
        <v>0</v>
      </c>
      <c r="AT63" s="67"/>
      <c r="AU63" s="77">
        <f>SUMPRODUCT(--(WEEKDAY(C$3:AG$3,2)=5),--ISNUMBER(MATCH(C63:AG63,{"SB1","SB2"},0)))</f>
        <v>0</v>
      </c>
      <c r="AV63" s="77">
        <f>SUMPRODUCT(--(WEEKDAY(C$3:AG$3,2)&gt;5),--ISNUMBER(MATCH(C63:AG63,{"SB1","SB2"},0)))</f>
        <v>0</v>
      </c>
      <c r="AW63" s="67"/>
      <c r="AX63" s="77">
        <f t="shared" si="89"/>
        <v>1</v>
      </c>
      <c r="AY63" s="77">
        <f t="shared" si="74"/>
        <v>0</v>
      </c>
      <c r="AZ63" s="77">
        <f t="shared" si="75"/>
        <v>0</v>
      </c>
      <c r="BA63" s="76">
        <f t="shared" si="76"/>
        <v>1</v>
      </c>
      <c r="BB63" s="77">
        <f t="shared" si="77"/>
        <v>0</v>
      </c>
      <c r="BC63" s="77">
        <f t="shared" si="78"/>
        <v>0</v>
      </c>
      <c r="BD63" s="77">
        <f t="shared" si="79"/>
        <v>0</v>
      </c>
      <c r="BE63" s="77">
        <f t="shared" si="80"/>
        <v>0</v>
      </c>
      <c r="BF63" s="77">
        <f t="shared" si="81"/>
        <v>0</v>
      </c>
      <c r="BG63" s="77">
        <f t="shared" si="82"/>
        <v>0</v>
      </c>
      <c r="BH63" s="77">
        <f t="shared" si="83"/>
        <v>0</v>
      </c>
      <c r="BI63" s="77">
        <f t="shared" si="84"/>
        <v>0</v>
      </c>
      <c r="BJ63" s="77">
        <f t="shared" si="85"/>
        <v>0</v>
      </c>
      <c r="BK63" s="77">
        <f t="shared" si="86"/>
        <v>0</v>
      </c>
      <c r="BL63" s="77">
        <f t="shared" si="87"/>
        <v>0</v>
      </c>
      <c r="BM63" s="77">
        <f t="shared" ref="BM63:BM74" si="96">COUNTIF($E63:$AG63,BM$4)</f>
        <v>0</v>
      </c>
      <c r="BN63" s="77">
        <f t="shared" ref="BN63:BN74" si="97">COUNTIF($E63:$AG63,BN$4)</f>
        <v>0</v>
      </c>
      <c r="BO63" s="77">
        <f>COUNTIF($D63:$Y63,BO$4)</f>
        <v>6</v>
      </c>
      <c r="BP63" s="67"/>
    </row>
    <row r="64" ht="19.5" customHeight="1" spans="1:68">
      <c r="A64" s="107"/>
      <c r="B64" s="107" t="s">
        <v>832</v>
      </c>
      <c r="C64" s="54"/>
      <c r="D64" s="53"/>
      <c r="E64" s="54" t="s">
        <v>900</v>
      </c>
      <c r="F64" s="60"/>
      <c r="G64" s="107"/>
      <c r="H64" s="107"/>
      <c r="I64" s="108" t="s">
        <v>56</v>
      </c>
      <c r="J64" s="107"/>
      <c r="K64" s="53" t="s">
        <v>58</v>
      </c>
      <c r="L64" s="108" t="s">
        <v>57</v>
      </c>
      <c r="M64" s="107"/>
      <c r="N64" s="107"/>
      <c r="O64" s="108" t="s">
        <v>65</v>
      </c>
      <c r="P64" s="60"/>
      <c r="Q64" s="107" t="s">
        <v>999</v>
      </c>
      <c r="R64" s="54" t="s">
        <v>1000</v>
      </c>
      <c r="S64" s="54" t="s">
        <v>989</v>
      </c>
      <c r="T64" s="54"/>
      <c r="U64" s="110"/>
      <c r="V64" s="107" t="s">
        <v>56</v>
      </c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67">
        <f t="shared" ref="AH64:AP64" si="98">COUNTIF($C64:$AF64,AH$4)</f>
        <v>1</v>
      </c>
      <c r="AI64" s="67">
        <f t="shared" si="98"/>
        <v>2</v>
      </c>
      <c r="AJ64" s="67">
        <f t="shared" si="98"/>
        <v>0</v>
      </c>
      <c r="AK64" s="67">
        <f t="shared" si="98"/>
        <v>0</v>
      </c>
      <c r="AL64" s="67">
        <f t="shared" si="98"/>
        <v>1</v>
      </c>
      <c r="AM64" s="67">
        <f t="shared" si="98"/>
        <v>0</v>
      </c>
      <c r="AN64" s="67">
        <f t="shared" si="98"/>
        <v>1</v>
      </c>
      <c r="AO64" s="67">
        <f t="shared" si="98"/>
        <v>0</v>
      </c>
      <c r="AP64" s="67">
        <f t="shared" si="98"/>
        <v>0</v>
      </c>
      <c r="AQ64" s="76"/>
      <c r="AR64" s="76"/>
      <c r="AS64" s="77">
        <f>SUMPRODUCT(--(WEEKDAY(C$3:AG$3,2)&lt;5),--ISNUMBER(MATCH(C64:AG64,{"SB1","SB2"},0)))</f>
        <v>1</v>
      </c>
      <c r="AT64" s="67"/>
      <c r="AU64" s="77">
        <f>SUMPRODUCT(--(WEEKDAY(C$3:AG$3,2)=5),--ISNUMBER(MATCH(C64:AG64,{"SB1","SB2"},0)))</f>
        <v>0</v>
      </c>
      <c r="AV64" s="77">
        <f>SUMPRODUCT(--(WEEKDAY(C$3:AG$3,2)&gt;5),--ISNUMBER(MATCH(C64:AG64,{"SB1","SB2"},0)))</f>
        <v>0</v>
      </c>
      <c r="AW64" s="67"/>
      <c r="AX64" s="77">
        <f t="shared" si="89"/>
        <v>3</v>
      </c>
      <c r="AY64" s="77">
        <f t="shared" si="74"/>
        <v>1</v>
      </c>
      <c r="AZ64" s="77">
        <f t="shared" si="75"/>
        <v>0</v>
      </c>
      <c r="BA64" s="76">
        <f t="shared" si="76"/>
        <v>3</v>
      </c>
      <c r="BB64" s="77">
        <f t="shared" si="77"/>
        <v>0</v>
      </c>
      <c r="BC64" s="77">
        <f t="shared" si="78"/>
        <v>0</v>
      </c>
      <c r="BD64" s="77">
        <f t="shared" si="79"/>
        <v>0</v>
      </c>
      <c r="BE64" s="77">
        <f t="shared" si="80"/>
        <v>0</v>
      </c>
      <c r="BF64" s="77">
        <f t="shared" si="81"/>
        <v>0</v>
      </c>
      <c r="BG64" s="77">
        <f t="shared" si="82"/>
        <v>0</v>
      </c>
      <c r="BH64" s="77">
        <f t="shared" si="83"/>
        <v>0</v>
      </c>
      <c r="BI64" s="77">
        <f t="shared" si="84"/>
        <v>0</v>
      </c>
      <c r="BJ64" s="77">
        <f t="shared" si="85"/>
        <v>0</v>
      </c>
      <c r="BK64" s="77">
        <f t="shared" si="86"/>
        <v>0</v>
      </c>
      <c r="BL64" s="77">
        <f t="shared" si="87"/>
        <v>0</v>
      </c>
      <c r="BM64" s="77">
        <f t="shared" si="96"/>
        <v>0</v>
      </c>
      <c r="BN64" s="77">
        <f t="shared" si="97"/>
        <v>0</v>
      </c>
      <c r="BO64" s="77">
        <f>COUNTIF($E64:$Y64,BO$4)</f>
        <v>0</v>
      </c>
      <c r="BP64" s="107"/>
    </row>
    <row r="65" ht="19.5" customHeight="1" spans="1:68">
      <c r="A65" s="107"/>
      <c r="B65" s="107" t="s">
        <v>835</v>
      </c>
      <c r="C65" s="54" t="s">
        <v>65</v>
      </c>
      <c r="D65" s="54"/>
      <c r="E65" s="54" t="s">
        <v>96</v>
      </c>
      <c r="F65" s="60"/>
      <c r="H65" s="54"/>
      <c r="I65" s="108" t="s">
        <v>65</v>
      </c>
      <c r="J65" s="60"/>
      <c r="K65" s="54"/>
      <c r="L65" s="108"/>
      <c r="M65" s="107"/>
      <c r="N65" s="107"/>
      <c r="O65" s="60"/>
      <c r="P65" s="107" t="s">
        <v>989</v>
      </c>
      <c r="Q65" s="107"/>
      <c r="R65" s="54" t="s">
        <v>93</v>
      </c>
      <c r="S65" s="54"/>
      <c r="T65" s="54"/>
      <c r="U65" s="54"/>
      <c r="V65" s="54" t="s">
        <v>989</v>
      </c>
      <c r="W65" s="111"/>
      <c r="X65" s="111"/>
      <c r="Y65" s="111"/>
      <c r="Z65" s="53" t="s">
        <v>57</v>
      </c>
      <c r="AA65" s="111"/>
      <c r="AB65" s="111"/>
      <c r="AC65" s="111"/>
      <c r="AD65" s="111"/>
      <c r="AE65" s="111"/>
      <c r="AF65" s="111"/>
      <c r="AG65" s="111"/>
      <c r="AH65" s="67">
        <f t="shared" ref="AH65:AP65" si="99">COUNTIF($C65:$AF65,AH$4)</f>
        <v>1</v>
      </c>
      <c r="AI65" s="67">
        <f t="shared" si="99"/>
        <v>0</v>
      </c>
      <c r="AJ65" s="67">
        <f t="shared" si="99"/>
        <v>0</v>
      </c>
      <c r="AK65" s="67">
        <f t="shared" si="99"/>
        <v>0</v>
      </c>
      <c r="AL65" s="67">
        <f t="shared" si="99"/>
        <v>0</v>
      </c>
      <c r="AM65" s="67">
        <f t="shared" si="99"/>
        <v>1</v>
      </c>
      <c r="AN65" s="67">
        <f t="shared" si="99"/>
        <v>2</v>
      </c>
      <c r="AO65" s="67">
        <f t="shared" si="99"/>
        <v>0</v>
      </c>
      <c r="AP65" s="67">
        <f t="shared" si="99"/>
        <v>0</v>
      </c>
      <c r="AQ65" s="76"/>
      <c r="AR65" s="76"/>
      <c r="AS65" s="77">
        <f>SUMPRODUCT(--(WEEKDAY(C$3:AG$3,2)&lt;5),--ISNUMBER(MATCH(C65:AG65,{"SB1","SB2"},0)))</f>
        <v>1</v>
      </c>
      <c r="AT65" s="67"/>
      <c r="AU65" s="77">
        <f>SUMPRODUCT(--(WEEKDAY(C$3:AG$3,2)=5),--ISNUMBER(MATCH(C65:AG65,{"SB1","SB2"},0)))</f>
        <v>0</v>
      </c>
      <c r="AV65" s="77">
        <f>SUMPRODUCT(--(WEEKDAY(C$3:AG$3,2)&gt;5),--ISNUMBER(MATCH(C65:AG65,{"SB1","SB2"},0)))</f>
        <v>0</v>
      </c>
      <c r="AW65" s="67"/>
      <c r="AX65" s="77">
        <f t="shared" si="89"/>
        <v>2.5</v>
      </c>
      <c r="AY65" s="77">
        <f t="shared" si="74"/>
        <v>1</v>
      </c>
      <c r="AZ65" s="77">
        <f t="shared" si="75"/>
        <v>0</v>
      </c>
      <c r="BA65" s="76">
        <f t="shared" si="76"/>
        <v>2.5</v>
      </c>
      <c r="BB65" s="77">
        <f t="shared" si="77"/>
        <v>0</v>
      </c>
      <c r="BC65" s="77">
        <f t="shared" si="78"/>
        <v>0</v>
      </c>
      <c r="BD65" s="77">
        <f t="shared" si="79"/>
        <v>0</v>
      </c>
      <c r="BE65" s="77">
        <f t="shared" si="80"/>
        <v>0</v>
      </c>
      <c r="BF65" s="77">
        <f t="shared" si="81"/>
        <v>0</v>
      </c>
      <c r="BG65" s="77">
        <f t="shared" si="82"/>
        <v>0</v>
      </c>
      <c r="BH65" s="77">
        <f t="shared" si="83"/>
        <v>0</v>
      </c>
      <c r="BI65" s="77">
        <f t="shared" si="84"/>
        <v>0</v>
      </c>
      <c r="BJ65" s="77">
        <f t="shared" si="85"/>
        <v>0</v>
      </c>
      <c r="BK65" s="77">
        <f t="shared" si="86"/>
        <v>0</v>
      </c>
      <c r="BL65" s="77">
        <f t="shared" si="87"/>
        <v>0</v>
      </c>
      <c r="BM65" s="77">
        <f t="shared" si="96"/>
        <v>0</v>
      </c>
      <c r="BN65" s="77">
        <f t="shared" si="97"/>
        <v>0</v>
      </c>
      <c r="BO65" s="77">
        <f>COUNTIF($D65:$Y65,BO$4)</f>
        <v>0</v>
      </c>
      <c r="BP65" s="107"/>
    </row>
    <row r="66" ht="19.5" customHeight="1" spans="1:68">
      <c r="A66" s="107"/>
      <c r="B66" s="107" t="s">
        <v>836</v>
      </c>
      <c r="C66" s="60" t="s">
        <v>1001</v>
      </c>
      <c r="D66" s="53" t="s">
        <v>507</v>
      </c>
      <c r="E66" s="53" t="s">
        <v>1002</v>
      </c>
      <c r="F66" s="53"/>
      <c r="G66" s="53"/>
      <c r="H66" s="53" t="s">
        <v>55</v>
      </c>
      <c r="I66" s="53" t="s">
        <v>55</v>
      </c>
      <c r="J66" s="107" t="s">
        <v>55</v>
      </c>
      <c r="K66" s="54" t="s">
        <v>380</v>
      </c>
      <c r="L66" s="54" t="s">
        <v>55</v>
      </c>
      <c r="M66" s="107"/>
      <c r="N66" s="107"/>
      <c r="O66" s="107" t="s">
        <v>1003</v>
      </c>
      <c r="P66" s="107" t="s">
        <v>1003</v>
      </c>
      <c r="Q66" s="60"/>
      <c r="R66" s="107"/>
      <c r="S66" s="1" t="s">
        <v>162</v>
      </c>
      <c r="T66" s="54"/>
      <c r="U66" s="110"/>
      <c r="V66" s="110" t="s">
        <v>71</v>
      </c>
      <c r="W66" s="110" t="s">
        <v>71</v>
      </c>
      <c r="X66" s="110" t="s">
        <v>71</v>
      </c>
      <c r="Y66" s="110" t="s">
        <v>71</v>
      </c>
      <c r="Z66" s="110" t="s">
        <v>71</v>
      </c>
      <c r="AA66" s="110" t="s">
        <v>71</v>
      </c>
      <c r="AB66" s="110" t="s">
        <v>71</v>
      </c>
      <c r="AC66" s="107"/>
      <c r="AD66" s="107"/>
      <c r="AE66" s="107" t="s">
        <v>56</v>
      </c>
      <c r="AF66" s="107"/>
      <c r="AG66" s="60"/>
      <c r="AH66" s="67">
        <f t="shared" ref="AH66:AP66" si="100">COUNTIF($C66:$AF66,AH$4)</f>
        <v>0</v>
      </c>
      <c r="AI66" s="67">
        <f t="shared" si="100"/>
        <v>1</v>
      </c>
      <c r="AJ66" s="67">
        <f t="shared" si="100"/>
        <v>0</v>
      </c>
      <c r="AK66" s="67">
        <f t="shared" si="100"/>
        <v>0</v>
      </c>
      <c r="AL66" s="67">
        <f t="shared" si="100"/>
        <v>0</v>
      </c>
      <c r="AM66" s="67">
        <f t="shared" si="100"/>
        <v>0</v>
      </c>
      <c r="AN66" s="67">
        <f t="shared" si="100"/>
        <v>0</v>
      </c>
      <c r="AO66" s="67">
        <f t="shared" si="100"/>
        <v>0</v>
      </c>
      <c r="AP66" s="67">
        <f t="shared" si="100"/>
        <v>0</v>
      </c>
      <c r="AQ66" s="76"/>
      <c r="AR66" s="76"/>
      <c r="AS66" s="77">
        <f>SUMPRODUCT(--(WEEKDAY(C$3:AG$3,2)&lt;5),--ISNUMBER(MATCH(C66:AG66,{"SB1","SB2"},0)))</f>
        <v>0</v>
      </c>
      <c r="AT66" s="67"/>
      <c r="AU66" s="77">
        <f>SUMPRODUCT(--(WEEKDAY(C$3:AG$3,2)=5),--ISNUMBER(MATCH(C66:AG66,{"SB1","SB2"},0)))</f>
        <v>0</v>
      </c>
      <c r="AV66" s="77">
        <f>SUMPRODUCT(--(WEEKDAY(C$3:AG$3,2)&gt;5),--ISNUMBER(MATCH(C66:AG66,{"SB1","SB2"},0)))</f>
        <v>0</v>
      </c>
      <c r="AW66" s="67"/>
      <c r="AX66" s="77">
        <f t="shared" si="89"/>
        <v>0.5</v>
      </c>
      <c r="AY66" s="77">
        <f t="shared" si="74"/>
        <v>0</v>
      </c>
      <c r="AZ66" s="77">
        <f t="shared" si="75"/>
        <v>0</v>
      </c>
      <c r="BA66" s="76">
        <f t="shared" si="76"/>
        <v>0.5</v>
      </c>
      <c r="BB66" s="77">
        <f t="shared" si="77"/>
        <v>0</v>
      </c>
      <c r="BC66" s="77">
        <f t="shared" si="78"/>
        <v>0</v>
      </c>
      <c r="BD66" s="77">
        <f t="shared" si="79"/>
        <v>0</v>
      </c>
      <c r="BE66" s="77">
        <f t="shared" si="80"/>
        <v>0</v>
      </c>
      <c r="BF66" s="77">
        <f t="shared" si="81"/>
        <v>0</v>
      </c>
      <c r="BG66" s="77">
        <f t="shared" si="82"/>
        <v>0</v>
      </c>
      <c r="BH66" s="77">
        <f t="shared" si="83"/>
        <v>0</v>
      </c>
      <c r="BI66" s="77">
        <f t="shared" si="84"/>
        <v>0</v>
      </c>
      <c r="BJ66" s="77">
        <f t="shared" si="85"/>
        <v>0</v>
      </c>
      <c r="BK66" s="77">
        <f t="shared" si="86"/>
        <v>0</v>
      </c>
      <c r="BL66" s="77">
        <f t="shared" si="87"/>
        <v>0</v>
      </c>
      <c r="BM66" s="77">
        <f t="shared" si="96"/>
        <v>0</v>
      </c>
      <c r="BN66" s="77">
        <f t="shared" si="97"/>
        <v>0</v>
      </c>
      <c r="BO66" s="77">
        <f>COUNTIF($E66:$Y66,BO$4)</f>
        <v>4</v>
      </c>
      <c r="BP66" s="107"/>
    </row>
    <row r="67" ht="19.5" customHeight="1" spans="1:68">
      <c r="A67" s="107"/>
      <c r="B67" s="107" t="s">
        <v>838</v>
      </c>
      <c r="C67" s="53"/>
      <c r="D67" s="54" t="s">
        <v>58</v>
      </c>
      <c r="E67" s="54"/>
      <c r="F67" s="53"/>
      <c r="G67" s="107"/>
      <c r="H67" s="54" t="s">
        <v>57</v>
      </c>
      <c r="I67" s="60"/>
      <c r="J67" s="107" t="s">
        <v>65</v>
      </c>
      <c r="K67" s="60" t="s">
        <v>93</v>
      </c>
      <c r="L67" s="53"/>
      <c r="M67" s="107"/>
      <c r="N67" s="60" t="s">
        <v>58</v>
      </c>
      <c r="O67" s="107" t="s">
        <v>989</v>
      </c>
      <c r="P67" s="106"/>
      <c r="Q67" s="106"/>
      <c r="R67" s="54"/>
      <c r="T67" s="53"/>
      <c r="U67" s="53"/>
      <c r="V67" s="107"/>
      <c r="W67" s="108" t="s">
        <v>1004</v>
      </c>
      <c r="Y67" s="53"/>
      <c r="Z67" s="53"/>
      <c r="AA67" s="53" t="s">
        <v>1005</v>
      </c>
      <c r="AB67" s="53" t="s">
        <v>1005</v>
      </c>
      <c r="AC67" s="53" t="s">
        <v>1005</v>
      </c>
      <c r="AD67" s="107" t="s">
        <v>1006</v>
      </c>
      <c r="AE67" s="4" t="s">
        <v>58</v>
      </c>
      <c r="AF67" s="107" t="s">
        <v>57</v>
      </c>
      <c r="AG67" s="106"/>
      <c r="AH67" s="67">
        <f t="shared" ref="AH67:AP67" si="101">COUNTIF($C67:$AF67,AH$4)</f>
        <v>2</v>
      </c>
      <c r="AI67" s="67">
        <f t="shared" si="101"/>
        <v>0</v>
      </c>
      <c r="AJ67" s="67">
        <f t="shared" si="101"/>
        <v>0</v>
      </c>
      <c r="AK67" s="67">
        <f t="shared" si="101"/>
        <v>0</v>
      </c>
      <c r="AL67" s="67">
        <f t="shared" si="101"/>
        <v>3</v>
      </c>
      <c r="AM67" s="67">
        <f t="shared" si="101"/>
        <v>1</v>
      </c>
      <c r="AN67" s="67">
        <f t="shared" si="101"/>
        <v>1</v>
      </c>
      <c r="AO67" s="67">
        <f t="shared" si="101"/>
        <v>0</v>
      </c>
      <c r="AP67" s="67">
        <f t="shared" si="101"/>
        <v>0</v>
      </c>
      <c r="AQ67" s="76"/>
      <c r="AR67" s="76"/>
      <c r="AS67" s="77">
        <f>SUMPRODUCT(--(WEEKDAY(C$3:AG$3,2)&lt;5),--ISNUMBER(MATCH(C67:AG67,{"SB1","SB2"},0)))</f>
        <v>3</v>
      </c>
      <c r="AT67" s="67"/>
      <c r="AU67" s="77">
        <f>SUMPRODUCT(--(WEEKDAY(C$3:AG$3,2)=5),--ISNUMBER(MATCH(C67:AG67,{"SB1","SB2"},0)))</f>
        <v>0</v>
      </c>
      <c r="AV67" s="77">
        <f>SUMPRODUCT(--(WEEKDAY(C$3:AG$3,2)&gt;5),--ISNUMBER(MATCH(C67:AG67,{"SB1","SB2"},0)))</f>
        <v>1</v>
      </c>
      <c r="AW67" s="67"/>
      <c r="AX67" s="77">
        <f t="shared" si="89"/>
        <v>6.5</v>
      </c>
      <c r="AY67" s="77">
        <f t="shared" si="74"/>
        <v>4</v>
      </c>
      <c r="AZ67" s="77">
        <f t="shared" si="75"/>
        <v>5</v>
      </c>
      <c r="BA67" s="76">
        <f t="shared" si="76"/>
        <v>10.5</v>
      </c>
      <c r="BB67" s="77">
        <f t="shared" si="77"/>
        <v>4</v>
      </c>
      <c r="BC67" s="77">
        <f t="shared" si="78"/>
        <v>0</v>
      </c>
      <c r="BD67" s="77">
        <f t="shared" si="79"/>
        <v>0</v>
      </c>
      <c r="BE67" s="77">
        <f t="shared" si="80"/>
        <v>0</v>
      </c>
      <c r="BF67" s="77">
        <f t="shared" si="81"/>
        <v>0</v>
      </c>
      <c r="BG67" s="77">
        <f t="shared" si="82"/>
        <v>2</v>
      </c>
      <c r="BH67" s="77">
        <f t="shared" si="83"/>
        <v>1</v>
      </c>
      <c r="BI67" s="77">
        <f t="shared" si="84"/>
        <v>0</v>
      </c>
      <c r="BJ67" s="77">
        <f t="shared" si="85"/>
        <v>0</v>
      </c>
      <c r="BK67" s="77">
        <f t="shared" si="86"/>
        <v>3</v>
      </c>
      <c r="BL67" s="77">
        <f t="shared" si="87"/>
        <v>3</v>
      </c>
      <c r="BM67" s="77">
        <f t="shared" si="96"/>
        <v>0</v>
      </c>
      <c r="BN67" s="77">
        <f t="shared" si="97"/>
        <v>0</v>
      </c>
      <c r="BO67" s="77">
        <f>COUNTIF($D67:$Y67,BO$4)</f>
        <v>0</v>
      </c>
      <c r="BP67" s="107"/>
    </row>
    <row r="68" ht="19.5" customHeight="1" spans="1:68">
      <c r="A68" s="107"/>
      <c r="B68" s="107" t="s">
        <v>840</v>
      </c>
      <c r="C68" s="54"/>
      <c r="D68" s="54"/>
      <c r="E68" s="54"/>
      <c r="F68" s="54"/>
      <c r="G68" s="54" t="s">
        <v>93</v>
      </c>
      <c r="H68" s="107"/>
      <c r="I68" s="107" t="s">
        <v>58</v>
      </c>
      <c r="J68" s="107"/>
      <c r="K68" s="54"/>
      <c r="L68" s="53" t="s">
        <v>1007</v>
      </c>
      <c r="M68" s="107"/>
      <c r="N68" s="107"/>
      <c r="O68" s="108"/>
      <c r="P68" s="107" t="s">
        <v>989</v>
      </c>
      <c r="Q68" s="107"/>
      <c r="R68" s="60"/>
      <c r="S68" s="54"/>
      <c r="T68" s="60"/>
      <c r="U68" s="110"/>
      <c r="V68" s="1" t="s">
        <v>58</v>
      </c>
      <c r="W68" s="110"/>
      <c r="X68" s="53" t="s">
        <v>61</v>
      </c>
      <c r="Y68" s="108" t="s">
        <v>1008</v>
      </c>
      <c r="Z68" s="54"/>
      <c r="AA68" s="107"/>
      <c r="AB68" s="107"/>
      <c r="AC68" s="107" t="s">
        <v>57</v>
      </c>
      <c r="AD68" s="1"/>
      <c r="AE68" s="60" t="s">
        <v>982</v>
      </c>
      <c r="AF68" s="1" t="s">
        <v>65</v>
      </c>
      <c r="AG68" s="60" t="s">
        <v>185</v>
      </c>
      <c r="AH68" s="67">
        <f t="shared" ref="AH68:AP68" si="102">COUNTIF($C68:$AF68,AH$4)</f>
        <v>1</v>
      </c>
      <c r="AI68" s="67">
        <f t="shared" si="102"/>
        <v>0</v>
      </c>
      <c r="AJ68" s="67">
        <f t="shared" si="102"/>
        <v>0</v>
      </c>
      <c r="AK68" s="67">
        <f t="shared" si="102"/>
        <v>0</v>
      </c>
      <c r="AL68" s="67">
        <f t="shared" si="102"/>
        <v>2</v>
      </c>
      <c r="AM68" s="67">
        <f t="shared" si="102"/>
        <v>1</v>
      </c>
      <c r="AN68" s="67">
        <f t="shared" si="102"/>
        <v>1</v>
      </c>
      <c r="AO68" s="67">
        <f t="shared" si="102"/>
        <v>0</v>
      </c>
      <c r="AP68" s="67">
        <f t="shared" si="102"/>
        <v>0</v>
      </c>
      <c r="AQ68" s="76"/>
      <c r="AR68" s="76"/>
      <c r="AS68" s="77">
        <f>SUMPRODUCT(--(WEEKDAY(C$3:AG$3,2)&lt;5),--ISNUMBER(MATCH(C68:AG68,{"SB1","SB2"},0)))</f>
        <v>2</v>
      </c>
      <c r="AT68" s="67"/>
      <c r="AU68" s="77">
        <f>SUMPRODUCT(--(WEEKDAY(C$3:AG$3,2)=5),--ISNUMBER(MATCH(C68:AG68,{"SB1","SB2"},0)))</f>
        <v>0</v>
      </c>
      <c r="AV68" s="77">
        <f>SUMPRODUCT(--(WEEKDAY(C$3:AG$3,2)&gt;5),--ISNUMBER(MATCH(C68:AG68,{"SB1","SB2"},0)))</f>
        <v>1</v>
      </c>
      <c r="AW68" s="67"/>
      <c r="AX68" s="77">
        <f t="shared" si="89"/>
        <v>5</v>
      </c>
      <c r="AY68" s="77">
        <f t="shared" si="74"/>
        <v>3</v>
      </c>
      <c r="AZ68" s="77">
        <f t="shared" si="75"/>
        <v>4</v>
      </c>
      <c r="BA68" s="76">
        <f t="shared" si="76"/>
        <v>7.5</v>
      </c>
      <c r="BB68" s="77">
        <f t="shared" si="77"/>
        <v>2.5</v>
      </c>
      <c r="BC68" s="77">
        <f t="shared" si="78"/>
        <v>0</v>
      </c>
      <c r="BD68" s="77">
        <f t="shared" si="79"/>
        <v>0</v>
      </c>
      <c r="BE68" s="77">
        <f t="shared" si="80"/>
        <v>1</v>
      </c>
      <c r="BF68" s="77">
        <f t="shared" si="81"/>
        <v>1</v>
      </c>
      <c r="BG68" s="77">
        <f t="shared" si="82"/>
        <v>0</v>
      </c>
      <c r="BH68" s="77">
        <f t="shared" si="83"/>
        <v>0</v>
      </c>
      <c r="BI68" s="77">
        <f t="shared" si="84"/>
        <v>3</v>
      </c>
      <c r="BJ68" s="77">
        <f t="shared" si="85"/>
        <v>1.5</v>
      </c>
      <c r="BK68" s="77">
        <f t="shared" si="86"/>
        <v>0</v>
      </c>
      <c r="BL68" s="77">
        <f t="shared" si="87"/>
        <v>0</v>
      </c>
      <c r="BM68" s="77">
        <f t="shared" si="96"/>
        <v>0</v>
      </c>
      <c r="BN68" s="77">
        <f t="shared" si="97"/>
        <v>0</v>
      </c>
      <c r="BO68" s="77">
        <f>COUNTIF($D68:$X68,BO$4)</f>
        <v>0</v>
      </c>
      <c r="BP68" s="107"/>
    </row>
    <row r="69" ht="84.75" customHeight="1" spans="1:68">
      <c r="A69" s="107"/>
      <c r="B69" s="107" t="s">
        <v>844</v>
      </c>
      <c r="C69" s="107" t="s">
        <v>58</v>
      </c>
      <c r="D69" s="54" t="s">
        <v>56</v>
      </c>
      <c r="E69" s="54" t="s">
        <v>57</v>
      </c>
      <c r="F69" s="107"/>
      <c r="G69" s="107"/>
      <c r="H69" s="54" t="s">
        <v>93</v>
      </c>
      <c r="I69" s="107" t="s">
        <v>57</v>
      </c>
      <c r="J69" s="107" t="s">
        <v>57</v>
      </c>
      <c r="K69" s="54"/>
      <c r="L69" s="108" t="s">
        <v>1009</v>
      </c>
      <c r="M69" s="53"/>
      <c r="N69" s="107" t="s">
        <v>93</v>
      </c>
      <c r="O69" s="108"/>
      <c r="P69" s="136" t="s">
        <v>1010</v>
      </c>
      <c r="Q69" s="107" t="s">
        <v>61</v>
      </c>
      <c r="R69" s="54" t="s">
        <v>57</v>
      </c>
      <c r="S69" s="54" t="s">
        <v>56</v>
      </c>
      <c r="T69" s="54"/>
      <c r="U69" s="53"/>
      <c r="V69" s="60" t="s">
        <v>1011</v>
      </c>
      <c r="X69" s="107" t="s">
        <v>54</v>
      </c>
      <c r="Y69" s="107" t="s">
        <v>54</v>
      </c>
      <c r="Z69" s="107" t="s">
        <v>54</v>
      </c>
      <c r="AA69" s="107" t="s">
        <v>54</v>
      </c>
      <c r="AB69" s="107" t="s">
        <v>54</v>
      </c>
      <c r="AC69" s="107" t="s">
        <v>54</v>
      </c>
      <c r="AD69" s="107" t="s">
        <v>54</v>
      </c>
      <c r="AE69" s="107"/>
      <c r="AG69" s="107" t="s">
        <v>56</v>
      </c>
      <c r="AH69" s="67">
        <f t="shared" ref="AH69:AP69" si="103">COUNTIF($C69:$AF69,AH$4)</f>
        <v>4</v>
      </c>
      <c r="AI69" s="67">
        <f t="shared" si="103"/>
        <v>2</v>
      </c>
      <c r="AJ69" s="67">
        <f t="shared" si="103"/>
        <v>0</v>
      </c>
      <c r="AK69" s="67">
        <f t="shared" si="103"/>
        <v>0</v>
      </c>
      <c r="AL69" s="67">
        <f t="shared" si="103"/>
        <v>1</v>
      </c>
      <c r="AM69" s="67">
        <f t="shared" si="103"/>
        <v>2</v>
      </c>
      <c r="AN69" s="67">
        <f t="shared" si="103"/>
        <v>0</v>
      </c>
      <c r="AO69" s="67">
        <f t="shared" si="103"/>
        <v>0</v>
      </c>
      <c r="AP69" s="67">
        <f t="shared" si="103"/>
        <v>0</v>
      </c>
      <c r="AQ69" s="76"/>
      <c r="AR69" s="76"/>
      <c r="AS69" s="77">
        <f>SUMPRODUCT(--(WEEKDAY(C$3:AG$3,2)&lt;5),--ISNUMBER(MATCH(C69:AG69,{"SB1","SB2"},0)))</f>
        <v>2</v>
      </c>
      <c r="AT69" s="67"/>
      <c r="AU69" s="77">
        <f>SUMPRODUCT(--(WEEKDAY(C$3:AG$3,2)=5),--ISNUMBER(MATCH(C69:AG69,{"SB1","SB2"},0)))</f>
        <v>0</v>
      </c>
      <c r="AV69" s="77">
        <f>SUMPRODUCT(--(WEEKDAY(C$3:AG$3,2)&gt;5),--ISNUMBER(MATCH(C69:AG69,{"SB1","SB2"},0)))</f>
        <v>1</v>
      </c>
      <c r="AW69" s="67"/>
      <c r="AX69" s="77">
        <f t="shared" si="89"/>
        <v>7</v>
      </c>
      <c r="AY69" s="77">
        <f t="shared" si="74"/>
        <v>3</v>
      </c>
      <c r="AZ69" s="77">
        <f t="shared" si="75"/>
        <v>2</v>
      </c>
      <c r="BA69" s="76">
        <f t="shared" si="76"/>
        <v>8</v>
      </c>
      <c r="BB69" s="77">
        <f t="shared" si="77"/>
        <v>1</v>
      </c>
      <c r="BC69" s="77">
        <f t="shared" si="78"/>
        <v>0</v>
      </c>
      <c r="BD69" s="77">
        <f t="shared" si="79"/>
        <v>0</v>
      </c>
      <c r="BE69" s="77">
        <f t="shared" si="80"/>
        <v>0</v>
      </c>
      <c r="BF69" s="77">
        <f t="shared" si="81"/>
        <v>0</v>
      </c>
      <c r="BG69" s="77">
        <f t="shared" si="82"/>
        <v>1</v>
      </c>
      <c r="BH69" s="77">
        <f t="shared" si="83"/>
        <v>0.5</v>
      </c>
      <c r="BI69" s="77">
        <f t="shared" si="84"/>
        <v>1</v>
      </c>
      <c r="BJ69" s="77">
        <f t="shared" si="85"/>
        <v>0.5</v>
      </c>
      <c r="BK69" s="77">
        <f t="shared" si="86"/>
        <v>0</v>
      </c>
      <c r="BL69" s="77">
        <f t="shared" si="87"/>
        <v>0</v>
      </c>
      <c r="BM69" s="77">
        <f t="shared" si="96"/>
        <v>0</v>
      </c>
      <c r="BN69" s="77">
        <f t="shared" si="97"/>
        <v>0</v>
      </c>
      <c r="BO69" s="77">
        <f>COUNTIF($D69:$Y69,BO$4)</f>
        <v>0</v>
      </c>
      <c r="BP69" s="107"/>
    </row>
    <row r="70" ht="19.5" customHeight="1" spans="1:68">
      <c r="A70" s="107"/>
      <c r="B70" s="107" t="s">
        <v>848</v>
      </c>
      <c r="C70" s="54" t="s">
        <v>1012</v>
      </c>
      <c r="D70" s="53"/>
      <c r="E70" s="54"/>
      <c r="F70" s="107"/>
      <c r="G70" s="107"/>
      <c r="H70" s="54" t="s">
        <v>989</v>
      </c>
      <c r="I70" s="107" t="s">
        <v>989</v>
      </c>
      <c r="J70" s="107" t="s">
        <v>989</v>
      </c>
      <c r="K70" s="54" t="s">
        <v>57</v>
      </c>
      <c r="L70" s="54" t="s">
        <v>65</v>
      </c>
      <c r="M70" s="107" t="s">
        <v>989</v>
      </c>
      <c r="N70" s="107" t="s">
        <v>989</v>
      </c>
      <c r="O70" s="107" t="s">
        <v>983</v>
      </c>
      <c r="P70" s="107" t="s">
        <v>57</v>
      </c>
      <c r="Q70" s="107" t="s">
        <v>58</v>
      </c>
      <c r="R70" s="54"/>
      <c r="S70" s="60"/>
      <c r="T70" s="54"/>
      <c r="U70" s="53" t="s">
        <v>93</v>
      </c>
      <c r="V70" s="107"/>
      <c r="W70" s="107" t="s">
        <v>57</v>
      </c>
      <c r="X70" s="107"/>
      <c r="Y70" s="60"/>
      <c r="Z70" s="54"/>
      <c r="AA70" s="110"/>
      <c r="AB70" s="107" t="s">
        <v>93</v>
      </c>
      <c r="AC70" s="60"/>
      <c r="AD70" s="60" t="s">
        <v>57</v>
      </c>
      <c r="AE70" s="60" t="s">
        <v>1013</v>
      </c>
      <c r="AF70" s="54" t="s">
        <v>990</v>
      </c>
      <c r="AG70" s="54" t="s">
        <v>990</v>
      </c>
      <c r="AH70" s="67">
        <f t="shared" ref="AH70:AP70" si="104">COUNTIF($C70:$AF70,AH$4)</f>
        <v>4</v>
      </c>
      <c r="AI70" s="67">
        <f t="shared" si="104"/>
        <v>0</v>
      </c>
      <c r="AJ70" s="67">
        <f t="shared" si="104"/>
        <v>0</v>
      </c>
      <c r="AK70" s="67">
        <f t="shared" si="104"/>
        <v>0</v>
      </c>
      <c r="AL70" s="67">
        <f t="shared" si="104"/>
        <v>1</v>
      </c>
      <c r="AM70" s="67">
        <f t="shared" si="104"/>
        <v>2</v>
      </c>
      <c r="AN70" s="67">
        <f t="shared" si="104"/>
        <v>1</v>
      </c>
      <c r="AO70" s="67">
        <f t="shared" si="104"/>
        <v>0</v>
      </c>
      <c r="AP70" s="67">
        <f t="shared" si="104"/>
        <v>0</v>
      </c>
      <c r="AQ70" s="76"/>
      <c r="AR70" s="76"/>
      <c r="AS70" s="77">
        <f>SUMPRODUCT(--(WEEKDAY(C$3:AG$3,2)&lt;5),--ISNUMBER(MATCH(C70:AG70,{"SB1","SB2"},0)))</f>
        <v>1</v>
      </c>
      <c r="AT70" s="67"/>
      <c r="AU70" s="77">
        <f>SUMPRODUCT(--(WEEKDAY(C$3:AG$3,2)=5),--ISNUMBER(MATCH(C70:AG70,{"SB1","SB2"},0)))</f>
        <v>0</v>
      </c>
      <c r="AV70" s="77">
        <f>SUMPRODUCT(--(WEEKDAY(C$3:AG$3,2)&gt;5),--ISNUMBER(MATCH(C70:AG70,{"SB1","SB2"},0)))</f>
        <v>2</v>
      </c>
      <c r="AW70" s="67"/>
      <c r="AX70" s="77">
        <f t="shared" si="89"/>
        <v>7.5</v>
      </c>
      <c r="AY70" s="77">
        <f t="shared" si="74"/>
        <v>3</v>
      </c>
      <c r="AZ70" s="77">
        <f t="shared" si="75"/>
        <v>4</v>
      </c>
      <c r="BA70" s="76">
        <f t="shared" si="76"/>
        <v>11</v>
      </c>
      <c r="BB70" s="77">
        <f t="shared" si="77"/>
        <v>3.5</v>
      </c>
      <c r="BC70" s="77">
        <f t="shared" si="78"/>
        <v>0</v>
      </c>
      <c r="BD70" s="77">
        <f t="shared" si="79"/>
        <v>0</v>
      </c>
      <c r="BE70" s="77">
        <f t="shared" si="80"/>
        <v>0</v>
      </c>
      <c r="BF70" s="77">
        <f t="shared" si="81"/>
        <v>0</v>
      </c>
      <c r="BG70" s="77">
        <f t="shared" si="82"/>
        <v>0</v>
      </c>
      <c r="BH70" s="77">
        <f t="shared" si="83"/>
        <v>0</v>
      </c>
      <c r="BI70" s="77">
        <f t="shared" si="84"/>
        <v>1</v>
      </c>
      <c r="BJ70" s="77">
        <f t="shared" si="85"/>
        <v>0.5</v>
      </c>
      <c r="BK70" s="77">
        <f t="shared" si="86"/>
        <v>3</v>
      </c>
      <c r="BL70" s="77">
        <f t="shared" si="87"/>
        <v>3</v>
      </c>
      <c r="BM70" s="77">
        <f t="shared" si="96"/>
        <v>0</v>
      </c>
      <c r="BN70" s="77">
        <f t="shared" si="97"/>
        <v>0</v>
      </c>
      <c r="BO70" s="77">
        <f>COUNTIF($D70:$Y70,BO$4)</f>
        <v>0</v>
      </c>
      <c r="BP70" s="107"/>
    </row>
    <row r="71" ht="19.5" customHeight="1" spans="1:68">
      <c r="A71" s="107"/>
      <c r="B71" s="107" t="s">
        <v>914</v>
      </c>
      <c r="C71" s="54" t="s">
        <v>57</v>
      </c>
      <c r="D71" s="53" t="s">
        <v>65</v>
      </c>
      <c r="E71" s="54" t="s">
        <v>261</v>
      </c>
      <c r="F71" s="53"/>
      <c r="G71" s="107"/>
      <c r="H71" s="54" t="s">
        <v>362</v>
      </c>
      <c r="I71" s="107" t="s">
        <v>167</v>
      </c>
      <c r="J71" s="107" t="s">
        <v>167</v>
      </c>
      <c r="K71" s="107" t="s">
        <v>167</v>
      </c>
      <c r="L71" s="107" t="s">
        <v>167</v>
      </c>
      <c r="M71" s="107" t="s">
        <v>167</v>
      </c>
      <c r="N71" s="107" t="s">
        <v>167</v>
      </c>
      <c r="O71" s="107" t="s">
        <v>167</v>
      </c>
      <c r="P71" s="107" t="s">
        <v>167</v>
      </c>
      <c r="Q71" s="107" t="s">
        <v>167</v>
      </c>
      <c r="R71" s="107" t="s">
        <v>167</v>
      </c>
      <c r="S71" s="107" t="s">
        <v>167</v>
      </c>
      <c r="T71" s="107" t="s">
        <v>167</v>
      </c>
      <c r="U71" s="107" t="s">
        <v>167</v>
      </c>
      <c r="V71" s="107" t="s">
        <v>167</v>
      </c>
      <c r="W71" s="107" t="s">
        <v>167</v>
      </c>
      <c r="X71" s="107" t="s">
        <v>167</v>
      </c>
      <c r="Y71" s="107" t="s">
        <v>167</v>
      </c>
      <c r="Z71" s="107" t="s">
        <v>167</v>
      </c>
      <c r="AA71" s="107" t="s">
        <v>167</v>
      </c>
      <c r="AB71" s="107" t="s">
        <v>167</v>
      </c>
      <c r="AC71" s="107" t="s">
        <v>167</v>
      </c>
      <c r="AD71" s="107"/>
      <c r="AE71" s="107" t="s">
        <v>216</v>
      </c>
      <c r="AF71" s="107" t="s">
        <v>1014</v>
      </c>
      <c r="AG71" s="107" t="s">
        <v>1015</v>
      </c>
      <c r="AH71" s="67">
        <f t="shared" ref="AH71:AP71" si="105">COUNTIF($C71:$AF71,AH$4)</f>
        <v>1</v>
      </c>
      <c r="AI71" s="67">
        <f t="shared" si="105"/>
        <v>0</v>
      </c>
      <c r="AJ71" s="67">
        <f t="shared" si="105"/>
        <v>0</v>
      </c>
      <c r="AK71" s="67">
        <f t="shared" si="105"/>
        <v>0</v>
      </c>
      <c r="AL71" s="67">
        <f t="shared" si="105"/>
        <v>0</v>
      </c>
      <c r="AM71" s="67">
        <f t="shared" si="105"/>
        <v>0</v>
      </c>
      <c r="AN71" s="67">
        <f t="shared" si="105"/>
        <v>1</v>
      </c>
      <c r="AO71" s="67">
        <f t="shared" si="105"/>
        <v>0</v>
      </c>
      <c r="AP71" s="67">
        <f t="shared" si="105"/>
        <v>0</v>
      </c>
      <c r="AQ71" s="76"/>
      <c r="AR71" s="76"/>
      <c r="AS71" s="77">
        <f>SUMPRODUCT(--(WEEKDAY(C$3:AG$3,2)&lt;5),--ISNUMBER(MATCH(C71:AG71,{"SB1","SB2"},0)))</f>
        <v>0</v>
      </c>
      <c r="AT71" s="67"/>
      <c r="AU71" s="77">
        <f>SUMPRODUCT(--(WEEKDAY(C$3:AG$3,2)=5),--ISNUMBER(MATCH(C71:AG71,{"SB1","SB2"},0)))</f>
        <v>0</v>
      </c>
      <c r="AV71" s="77">
        <f>SUMPRODUCT(--(WEEKDAY(C$3:AG$3,2)&gt;5),--ISNUMBER(MATCH(C71:AG71,{"SB1","SB2"},0)))</f>
        <v>0</v>
      </c>
      <c r="AW71" s="67"/>
      <c r="AX71" s="77">
        <f t="shared" si="89"/>
        <v>1</v>
      </c>
      <c r="AY71" s="77">
        <f t="shared" si="74"/>
        <v>0</v>
      </c>
      <c r="AZ71" s="77">
        <f t="shared" si="75"/>
        <v>0</v>
      </c>
      <c r="BA71" s="76">
        <f t="shared" si="76"/>
        <v>1</v>
      </c>
      <c r="BB71" s="77">
        <f t="shared" si="77"/>
        <v>0</v>
      </c>
      <c r="BC71" s="77">
        <f t="shared" si="78"/>
        <v>0</v>
      </c>
      <c r="BD71" s="77">
        <f t="shared" si="79"/>
        <v>0</v>
      </c>
      <c r="BE71" s="77">
        <f t="shared" si="80"/>
        <v>0</v>
      </c>
      <c r="BF71" s="77">
        <f t="shared" si="81"/>
        <v>0</v>
      </c>
      <c r="BG71" s="77">
        <f t="shared" si="82"/>
        <v>0</v>
      </c>
      <c r="BH71" s="77">
        <f t="shared" si="83"/>
        <v>0</v>
      </c>
      <c r="BI71" s="77">
        <f t="shared" si="84"/>
        <v>0</v>
      </c>
      <c r="BJ71" s="77">
        <f t="shared" si="85"/>
        <v>0</v>
      </c>
      <c r="BK71" s="77">
        <f t="shared" si="86"/>
        <v>0</v>
      </c>
      <c r="BL71" s="77">
        <f t="shared" si="87"/>
        <v>0</v>
      </c>
      <c r="BM71" s="77">
        <f t="shared" si="96"/>
        <v>0</v>
      </c>
      <c r="BN71" s="77">
        <f t="shared" si="97"/>
        <v>0</v>
      </c>
      <c r="BO71" s="77">
        <f>COUNTIF($D71:$Y71,BO$4)</f>
        <v>0</v>
      </c>
      <c r="BP71" s="107"/>
    </row>
    <row r="72" ht="19.5" customHeight="1" spans="1:68">
      <c r="A72" s="107"/>
      <c r="B72" s="107" t="s">
        <v>917</v>
      </c>
      <c r="C72" s="60"/>
      <c r="D72" s="53"/>
      <c r="E72" s="54"/>
      <c r="F72" s="53" t="s">
        <v>58</v>
      </c>
      <c r="G72" s="107"/>
      <c r="H72" s="54" t="s">
        <v>65</v>
      </c>
      <c r="I72" s="107" t="s">
        <v>1016</v>
      </c>
      <c r="J72" s="107"/>
      <c r="K72" s="54"/>
      <c r="L72" s="60"/>
      <c r="M72" s="53"/>
      <c r="N72" s="107" t="s">
        <v>989</v>
      </c>
      <c r="O72" s="60"/>
      <c r="P72" s="107" t="s">
        <v>58</v>
      </c>
      <c r="Q72" s="60"/>
      <c r="R72" s="112"/>
      <c r="S72" s="108"/>
      <c r="T72" s="108"/>
      <c r="U72" s="110"/>
      <c r="V72" s="53" t="s">
        <v>989</v>
      </c>
      <c r="W72" s="110"/>
      <c r="X72" s="54" t="s">
        <v>58</v>
      </c>
      <c r="Y72" s="53" t="s">
        <v>58</v>
      </c>
      <c r="Z72" s="54" t="s">
        <v>253</v>
      </c>
      <c r="AA72" s="107"/>
      <c r="AB72" s="107"/>
      <c r="AC72" s="1" t="s">
        <v>58</v>
      </c>
      <c r="AD72" s="107" t="s">
        <v>58</v>
      </c>
      <c r="AE72" s="60"/>
      <c r="AF72" s="54"/>
      <c r="AH72" s="67">
        <f t="shared" ref="AH72:AP72" si="106">COUNTIF($C72:$AF72,AH$4)</f>
        <v>0</v>
      </c>
      <c r="AI72" s="67">
        <f t="shared" si="106"/>
        <v>0</v>
      </c>
      <c r="AJ72" s="67">
        <f t="shared" si="106"/>
        <v>0</v>
      </c>
      <c r="AK72" s="67">
        <f t="shared" si="106"/>
        <v>0</v>
      </c>
      <c r="AL72" s="67">
        <f t="shared" si="106"/>
        <v>6</v>
      </c>
      <c r="AM72" s="67">
        <f t="shared" si="106"/>
        <v>0</v>
      </c>
      <c r="AN72" s="67">
        <f t="shared" si="106"/>
        <v>1</v>
      </c>
      <c r="AO72" s="67">
        <f t="shared" si="106"/>
        <v>0</v>
      </c>
      <c r="AP72" s="67">
        <f t="shared" si="106"/>
        <v>0</v>
      </c>
      <c r="AQ72" s="76"/>
      <c r="AR72" s="76"/>
      <c r="AS72" s="77">
        <f>SUMPRODUCT(--(WEEKDAY(C$3:AG$3,2)&lt;5),--ISNUMBER(MATCH(C72:AG72,{"SB1","SB2"},0)))</f>
        <v>5</v>
      </c>
      <c r="AT72" s="67"/>
      <c r="AU72" s="77">
        <f>SUMPRODUCT(--(WEEKDAY(C$3:AG$3,2)=5),--ISNUMBER(MATCH(C72:AG72,{"SB1","SB2"},0)))</f>
        <v>0</v>
      </c>
      <c r="AV72" s="77">
        <f>SUMPRODUCT(--(WEEKDAY(C$3:AG$3,2)&gt;5),--ISNUMBER(MATCH(C72:AG72,{"SB1","SB2"},0)))</f>
        <v>1</v>
      </c>
      <c r="AW72" s="67"/>
      <c r="AX72" s="77">
        <f t="shared" si="89"/>
        <v>7.5</v>
      </c>
      <c r="AY72" s="77">
        <f t="shared" si="74"/>
        <v>6</v>
      </c>
      <c r="AZ72" s="77">
        <f t="shared" si="75"/>
        <v>1</v>
      </c>
      <c r="BA72" s="76">
        <f t="shared" si="76"/>
        <v>8</v>
      </c>
      <c r="BB72" s="77">
        <f t="shared" si="77"/>
        <v>0.5</v>
      </c>
      <c r="BC72" s="77">
        <f t="shared" si="78"/>
        <v>0</v>
      </c>
      <c r="BD72" s="77">
        <f t="shared" si="79"/>
        <v>0</v>
      </c>
      <c r="BE72" s="77">
        <f t="shared" si="80"/>
        <v>0</v>
      </c>
      <c r="BF72" s="77">
        <f t="shared" si="81"/>
        <v>0</v>
      </c>
      <c r="BG72" s="77">
        <f t="shared" si="82"/>
        <v>1</v>
      </c>
      <c r="BH72" s="77">
        <f t="shared" si="83"/>
        <v>0.5</v>
      </c>
      <c r="BI72" s="77">
        <f t="shared" si="84"/>
        <v>0</v>
      </c>
      <c r="BJ72" s="77">
        <f t="shared" si="85"/>
        <v>0</v>
      </c>
      <c r="BK72" s="77">
        <f t="shared" si="86"/>
        <v>0</v>
      </c>
      <c r="BL72" s="77">
        <f t="shared" si="87"/>
        <v>0</v>
      </c>
      <c r="BM72" s="77">
        <f t="shared" si="96"/>
        <v>0</v>
      </c>
      <c r="BN72" s="77">
        <f t="shared" si="97"/>
        <v>0</v>
      </c>
      <c r="BO72" s="77">
        <f>COUNTIF($D72:$Y72,BO$4)</f>
        <v>0</v>
      </c>
      <c r="BP72" s="107"/>
    </row>
    <row r="73" ht="19.5" customHeight="1" spans="1:68">
      <c r="A73" s="107"/>
      <c r="B73" s="107" t="s">
        <v>921</v>
      </c>
      <c r="C73" s="54" t="s">
        <v>56</v>
      </c>
      <c r="D73" s="53"/>
      <c r="E73" s="54" t="s">
        <v>55</v>
      </c>
      <c r="F73" s="60" t="s">
        <v>989</v>
      </c>
      <c r="G73" s="107" t="s">
        <v>989</v>
      </c>
      <c r="H73" s="107" t="s">
        <v>989</v>
      </c>
      <c r="I73" s="107"/>
      <c r="J73" s="107" t="s">
        <v>58</v>
      </c>
      <c r="K73" s="107" t="s">
        <v>56</v>
      </c>
      <c r="L73" s="107" t="s">
        <v>58</v>
      </c>
      <c r="M73" s="113" t="s">
        <v>1017</v>
      </c>
      <c r="N73" s="107"/>
      <c r="O73" s="107"/>
      <c r="P73" s="1" t="s">
        <v>65</v>
      </c>
      <c r="Q73" s="60"/>
      <c r="S73" s="54"/>
      <c r="T73" s="54"/>
      <c r="U73" s="114"/>
      <c r="W73" s="110" t="s">
        <v>58</v>
      </c>
      <c r="X73" s="54" t="s">
        <v>261</v>
      </c>
      <c r="Y73" s="53" t="s">
        <v>975</v>
      </c>
      <c r="Z73" s="54" t="s">
        <v>1018</v>
      </c>
      <c r="AA73" s="60"/>
      <c r="AB73" s="107"/>
      <c r="AC73" s="107"/>
      <c r="AD73" s="107" t="s">
        <v>1019</v>
      </c>
      <c r="AE73" s="60"/>
      <c r="AF73" s="54"/>
      <c r="AG73" s="54" t="s">
        <v>841</v>
      </c>
      <c r="AH73" s="67">
        <f t="shared" ref="AH73:AP73" si="107">COUNTIF($C73:$AF73,AH$4)</f>
        <v>0</v>
      </c>
      <c r="AI73" s="67">
        <f t="shared" si="107"/>
        <v>2</v>
      </c>
      <c r="AJ73" s="67">
        <f t="shared" si="107"/>
        <v>0</v>
      </c>
      <c r="AK73" s="67">
        <f t="shared" si="107"/>
        <v>0</v>
      </c>
      <c r="AL73" s="67">
        <f t="shared" si="107"/>
        <v>3</v>
      </c>
      <c r="AM73" s="67">
        <f t="shared" si="107"/>
        <v>0</v>
      </c>
      <c r="AN73" s="67">
        <f t="shared" si="107"/>
        <v>1</v>
      </c>
      <c r="AO73" s="67">
        <f t="shared" si="107"/>
        <v>0</v>
      </c>
      <c r="AP73" s="67">
        <f t="shared" si="107"/>
        <v>0</v>
      </c>
      <c r="AQ73" s="76"/>
      <c r="AR73" s="76"/>
      <c r="AS73" s="77">
        <f>SUMPRODUCT(--(WEEKDAY(C$3:AG$3,2)&lt;5),--ISNUMBER(MATCH(C73:AG73,{"SB1","SB2"},0)))</f>
        <v>2</v>
      </c>
      <c r="AT73" s="67"/>
      <c r="AU73" s="77">
        <f>SUMPRODUCT(--(WEEKDAY(C$3:AG$3,2)=5),--ISNUMBER(MATCH(C73:AG73,{"SB1","SB2"},0)))</f>
        <v>1</v>
      </c>
      <c r="AV73" s="77">
        <f>SUMPRODUCT(--(WEEKDAY(C$3:AG$3,2)&gt;5),--ISNUMBER(MATCH(C73:AG73,{"SB1","SB2"},0)))</f>
        <v>0</v>
      </c>
      <c r="AW73" s="67"/>
      <c r="AX73" s="77">
        <f t="shared" si="89"/>
        <v>5</v>
      </c>
      <c r="AY73" s="77">
        <f t="shared" si="74"/>
        <v>3</v>
      </c>
      <c r="AZ73" s="77">
        <f t="shared" si="75"/>
        <v>4</v>
      </c>
      <c r="BA73" s="76">
        <f t="shared" si="76"/>
        <v>7.5</v>
      </c>
      <c r="BB73" s="77">
        <f t="shared" si="77"/>
        <v>2.5</v>
      </c>
      <c r="BC73" s="77">
        <f t="shared" si="78"/>
        <v>0</v>
      </c>
      <c r="BD73" s="77">
        <f t="shared" si="79"/>
        <v>0</v>
      </c>
      <c r="BE73" s="77">
        <f t="shared" si="80"/>
        <v>0</v>
      </c>
      <c r="BF73" s="77">
        <f t="shared" si="81"/>
        <v>0</v>
      </c>
      <c r="BG73" s="77">
        <f t="shared" si="82"/>
        <v>0</v>
      </c>
      <c r="BH73" s="77">
        <f t="shared" si="83"/>
        <v>0</v>
      </c>
      <c r="BI73" s="77">
        <f t="shared" si="84"/>
        <v>3</v>
      </c>
      <c r="BJ73" s="77">
        <f t="shared" si="85"/>
        <v>1.5</v>
      </c>
      <c r="BK73" s="77">
        <f t="shared" si="86"/>
        <v>1</v>
      </c>
      <c r="BL73" s="77">
        <f t="shared" si="87"/>
        <v>1</v>
      </c>
      <c r="BM73" s="77">
        <f t="shared" si="96"/>
        <v>0</v>
      </c>
      <c r="BN73" s="77">
        <f t="shared" si="97"/>
        <v>0</v>
      </c>
      <c r="BO73" s="77">
        <f>COUNTIF($E73:$Y73,BO$4)</f>
        <v>1</v>
      </c>
      <c r="BP73" s="107"/>
    </row>
    <row r="74" ht="19.5" customHeight="1" spans="1:68">
      <c r="A74" s="107"/>
      <c r="B74" s="107" t="s">
        <v>857</v>
      </c>
      <c r="C74" s="54"/>
      <c r="D74" s="54" t="s">
        <v>93</v>
      </c>
      <c r="E74" s="54"/>
      <c r="F74" s="54"/>
      <c r="G74" s="54"/>
      <c r="H74" s="107"/>
      <c r="I74" s="108" t="s">
        <v>1020</v>
      </c>
      <c r="J74" s="107"/>
      <c r="K74" s="54" t="s">
        <v>65</v>
      </c>
      <c r="L74" s="108"/>
      <c r="M74" s="107"/>
      <c r="N74" s="107"/>
      <c r="O74" s="60" t="s">
        <v>58</v>
      </c>
      <c r="P74" s="107"/>
      <c r="Q74" s="107"/>
      <c r="R74" s="54"/>
      <c r="S74" s="108"/>
      <c r="T74" s="60"/>
      <c r="U74" s="110"/>
      <c r="V74" s="107"/>
      <c r="W74" s="110" t="s">
        <v>56</v>
      </c>
      <c r="X74" s="107"/>
      <c r="Y74" s="54" t="s">
        <v>56</v>
      </c>
      <c r="Z74" s="54"/>
      <c r="AA74" s="53"/>
      <c r="AB74" s="60"/>
      <c r="AC74" s="108" t="s">
        <v>1021</v>
      </c>
      <c r="AD74" s="108" t="s">
        <v>1021</v>
      </c>
      <c r="AE74" s="108" t="s">
        <v>1021</v>
      </c>
      <c r="AF74" s="54"/>
      <c r="AG74" s="54" t="s">
        <v>58</v>
      </c>
      <c r="AH74" s="67">
        <f t="shared" ref="AH74:AP74" si="108">COUNTIF($C74:$AF74,AH$4)</f>
        <v>0</v>
      </c>
      <c r="AI74" s="67">
        <f t="shared" si="108"/>
        <v>2</v>
      </c>
      <c r="AJ74" s="67">
        <f t="shared" si="108"/>
        <v>0</v>
      </c>
      <c r="AK74" s="67">
        <f t="shared" si="108"/>
        <v>0</v>
      </c>
      <c r="AL74" s="67">
        <f t="shared" si="108"/>
        <v>1</v>
      </c>
      <c r="AM74" s="67">
        <f t="shared" si="108"/>
        <v>1</v>
      </c>
      <c r="AN74" s="67">
        <f t="shared" si="108"/>
        <v>1</v>
      </c>
      <c r="AO74" s="67">
        <f t="shared" si="108"/>
        <v>0</v>
      </c>
      <c r="AP74" s="67">
        <f t="shared" si="108"/>
        <v>0</v>
      </c>
      <c r="AQ74" s="76"/>
      <c r="AR74" s="76"/>
      <c r="AS74" s="77">
        <f>SUMPRODUCT(--(WEEKDAY(C$3:AG$3,2)&lt;5),--ISNUMBER(MATCH(C74:AG74,{"SB1","SB2"},0)))</f>
        <v>2</v>
      </c>
      <c r="AT74" s="67"/>
      <c r="AU74" s="77">
        <f>SUMPRODUCT(--(WEEKDAY(C$3:AG$3,2)=5),--ISNUMBER(MATCH(C74:AG74,{"SB1","SB2"},0)))</f>
        <v>1</v>
      </c>
      <c r="AV74" s="77">
        <f>SUMPRODUCT(--(WEEKDAY(C$3:AG$3,2)&gt;5),--ISNUMBER(MATCH(C74:AG74,{"SB1","SB2"},0)))</f>
        <v>0</v>
      </c>
      <c r="AW74" s="67"/>
      <c r="AX74" s="77">
        <f t="shared" si="89"/>
        <v>5</v>
      </c>
      <c r="AY74" s="77">
        <f t="shared" si="74"/>
        <v>3</v>
      </c>
      <c r="AZ74" s="77">
        <f t="shared" si="75"/>
        <v>4</v>
      </c>
      <c r="BA74" s="76">
        <f t="shared" si="76"/>
        <v>9</v>
      </c>
      <c r="BB74" s="77">
        <f t="shared" si="77"/>
        <v>4</v>
      </c>
      <c r="BC74" s="77">
        <f t="shared" si="78"/>
        <v>0</v>
      </c>
      <c r="BD74" s="77">
        <f t="shared" si="79"/>
        <v>0</v>
      </c>
      <c r="BE74" s="77">
        <f t="shared" si="80"/>
        <v>1</v>
      </c>
      <c r="BF74" s="77">
        <f t="shared" si="81"/>
        <v>1</v>
      </c>
      <c r="BG74" s="77">
        <f t="shared" si="82"/>
        <v>0</v>
      </c>
      <c r="BH74" s="77">
        <f t="shared" si="83"/>
        <v>0</v>
      </c>
      <c r="BI74" s="77">
        <f t="shared" si="84"/>
        <v>0</v>
      </c>
      <c r="BJ74" s="77">
        <f t="shared" si="85"/>
        <v>0</v>
      </c>
      <c r="BK74" s="77">
        <f t="shared" si="86"/>
        <v>3</v>
      </c>
      <c r="BL74" s="77">
        <f t="shared" si="87"/>
        <v>3</v>
      </c>
      <c r="BM74" s="77">
        <f t="shared" si="96"/>
        <v>0</v>
      </c>
      <c r="BN74" s="77">
        <f t="shared" si="97"/>
        <v>0</v>
      </c>
      <c r="BO74" s="77">
        <f>COUNTIF($D74:$Y74,BO$4)</f>
        <v>0</v>
      </c>
      <c r="BP74" s="107"/>
    </row>
    <row r="75" ht="31.5" customHeight="1" spans="1:68">
      <c r="A75" s="67"/>
      <c r="B75" s="74" t="s">
        <v>987</v>
      </c>
      <c r="C75" s="60" t="s">
        <v>995</v>
      </c>
      <c r="D75" s="60" t="s">
        <v>995</v>
      </c>
      <c r="E75" s="60" t="s">
        <v>995</v>
      </c>
      <c r="F75" s="60" t="s">
        <v>995</v>
      </c>
      <c r="G75" s="60" t="s">
        <v>995</v>
      </c>
      <c r="H75" s="60" t="s">
        <v>995</v>
      </c>
      <c r="I75" s="60" t="s">
        <v>995</v>
      </c>
      <c r="J75" s="60" t="s">
        <v>995</v>
      </c>
      <c r="K75" s="60" t="s">
        <v>995</v>
      </c>
      <c r="L75" s="60" t="s">
        <v>995</v>
      </c>
      <c r="M75" s="60" t="s">
        <v>995</v>
      </c>
      <c r="N75" s="60" t="s">
        <v>995</v>
      </c>
      <c r="O75" s="60"/>
      <c r="P75" s="60"/>
      <c r="Q75" s="107" t="s">
        <v>65</v>
      </c>
      <c r="R75" s="60"/>
      <c r="S75" s="60"/>
      <c r="T75" s="60"/>
      <c r="U75" s="114" t="s">
        <v>58</v>
      </c>
      <c r="V75" s="60"/>
      <c r="W75" s="60"/>
      <c r="X75" s="60"/>
      <c r="Z75" s="60" t="s">
        <v>58</v>
      </c>
      <c r="AA75" s="60"/>
      <c r="AB75" s="60" t="s">
        <v>58</v>
      </c>
      <c r="AC75" s="60"/>
      <c r="AD75" s="60" t="s">
        <v>261</v>
      </c>
      <c r="AE75" s="60"/>
      <c r="AF75" s="54" t="s">
        <v>93</v>
      </c>
      <c r="AG75" s="60"/>
      <c r="AH75" s="67">
        <f t="shared" ref="AH75:AP75" si="109">COUNTIF($C75:$AF75,AH$4)</f>
        <v>0</v>
      </c>
      <c r="AI75" s="67">
        <f t="shared" si="109"/>
        <v>0</v>
      </c>
      <c r="AJ75" s="67">
        <f t="shared" si="109"/>
        <v>0</v>
      </c>
      <c r="AK75" s="67">
        <f t="shared" si="109"/>
        <v>0</v>
      </c>
      <c r="AL75" s="67">
        <f t="shared" si="109"/>
        <v>3</v>
      </c>
      <c r="AM75" s="67">
        <f t="shared" si="109"/>
        <v>1</v>
      </c>
      <c r="AN75" s="67">
        <f t="shared" si="109"/>
        <v>1</v>
      </c>
      <c r="AO75" s="67">
        <f t="shared" si="109"/>
        <v>0</v>
      </c>
      <c r="AP75" s="67">
        <f t="shared" si="109"/>
        <v>0</v>
      </c>
      <c r="AQ75" s="76"/>
      <c r="AR75" s="76"/>
      <c r="AS75" s="77">
        <f>SUMPRODUCT(--(WEEKDAY(C$3:AG$3,2)&lt;5),--ISNUMBER(MATCH(C75:AG75,{"SB1","SB2"},0)))</f>
        <v>1</v>
      </c>
      <c r="AT75" s="67"/>
      <c r="AU75" s="77">
        <f>SUMPRODUCT(--(WEEKDAY(C$3:AG$3,2)=5),--ISNUMBER(MATCH(C75:AG75,{"SB1","SB2"},0)))</f>
        <v>1</v>
      </c>
      <c r="AV75" s="77">
        <f>SUMPRODUCT(--(WEEKDAY(C$3:AG$3,2)&gt;5),--ISNUMBER(MATCH(C75:AG75,{"SB1","SB2"},0)))</f>
        <v>2</v>
      </c>
      <c r="AW75" s="67"/>
      <c r="AX75" s="77">
        <f t="shared" si="89"/>
        <v>7</v>
      </c>
      <c r="AY75" s="77">
        <f t="shared" si="74"/>
        <v>4</v>
      </c>
      <c r="AZ75" s="77">
        <f t="shared" si="75"/>
        <v>0</v>
      </c>
      <c r="BA75" s="76">
        <f t="shared" si="76"/>
        <v>7</v>
      </c>
      <c r="BB75" s="77">
        <f t="shared" si="77"/>
        <v>0</v>
      </c>
      <c r="BC75" s="77">
        <f t="shared" si="78"/>
        <v>0</v>
      </c>
      <c r="BD75" s="77">
        <f t="shared" si="79"/>
        <v>0</v>
      </c>
      <c r="BE75" s="77">
        <f t="shared" si="80"/>
        <v>0</v>
      </c>
      <c r="BF75" s="77">
        <f t="shared" si="81"/>
        <v>0</v>
      </c>
      <c r="BG75" s="77">
        <f t="shared" si="82"/>
        <v>0</v>
      </c>
      <c r="BH75" s="77">
        <f t="shared" si="83"/>
        <v>0</v>
      </c>
      <c r="BI75" s="77">
        <f t="shared" si="84"/>
        <v>0</v>
      </c>
      <c r="BJ75" s="77">
        <f t="shared" si="85"/>
        <v>0</v>
      </c>
      <c r="BK75" s="77">
        <f t="shared" si="86"/>
        <v>0</v>
      </c>
      <c r="BL75" s="77">
        <f t="shared" si="87"/>
        <v>0</v>
      </c>
      <c r="BM75" s="77">
        <f>COUNTIF($D75:$Y75,BM$4)</f>
        <v>0</v>
      </c>
      <c r="BN75" s="77">
        <f>COUNTIF($D75:$Y75,BN$4)</f>
        <v>0</v>
      </c>
      <c r="BO75" s="77">
        <f>COUNTIF($D75:$Y75,BO$4)</f>
        <v>0</v>
      </c>
      <c r="BP75" s="67"/>
    </row>
    <row r="76" ht="31.5" customHeight="1" spans="1:68">
      <c r="A76" s="67"/>
      <c r="B76" s="74" t="s">
        <v>988</v>
      </c>
      <c r="C76" s="60" t="s">
        <v>409</v>
      </c>
      <c r="D76" s="60" t="s">
        <v>409</v>
      </c>
      <c r="E76" s="60" t="s">
        <v>409</v>
      </c>
      <c r="F76" s="60" t="s">
        <v>409</v>
      </c>
      <c r="G76" s="60" t="s">
        <v>409</v>
      </c>
      <c r="H76" s="60" t="s">
        <v>409</v>
      </c>
      <c r="I76" s="60" t="s">
        <v>409</v>
      </c>
      <c r="J76" s="60" t="s">
        <v>409</v>
      </c>
      <c r="K76" s="60" t="s">
        <v>409</v>
      </c>
      <c r="L76" s="60" t="s">
        <v>409</v>
      </c>
      <c r="M76" s="60" t="s">
        <v>409</v>
      </c>
      <c r="N76" s="60" t="s">
        <v>409</v>
      </c>
      <c r="O76" s="60" t="s">
        <v>409</v>
      </c>
      <c r="P76" s="60" t="s">
        <v>409</v>
      </c>
      <c r="Q76" s="60" t="s">
        <v>409</v>
      </c>
      <c r="R76" s="60" t="s">
        <v>409</v>
      </c>
      <c r="S76" s="60" t="s">
        <v>409</v>
      </c>
      <c r="T76" s="60" t="s">
        <v>409</v>
      </c>
      <c r="U76" s="60" t="s">
        <v>409</v>
      </c>
      <c r="V76" s="60" t="s">
        <v>409</v>
      </c>
      <c r="W76" s="60" t="s">
        <v>409</v>
      </c>
      <c r="X76" s="60" t="s">
        <v>409</v>
      </c>
      <c r="Y76" s="60" t="s">
        <v>409</v>
      </c>
      <c r="Z76" s="60" t="s">
        <v>409</v>
      </c>
      <c r="AA76" s="60" t="s">
        <v>409</v>
      </c>
      <c r="AB76" s="60" t="s">
        <v>409</v>
      </c>
      <c r="AC76" s="60" t="s">
        <v>409</v>
      </c>
      <c r="AD76" s="60" t="s">
        <v>409</v>
      </c>
      <c r="AE76" s="60" t="s">
        <v>409</v>
      </c>
      <c r="AF76" s="60" t="s">
        <v>409</v>
      </c>
      <c r="AG76" s="60" t="s">
        <v>409</v>
      </c>
      <c r="AH76" s="67">
        <f t="shared" ref="AH76:AP76" si="110">COUNTIF($C76:$AF76,AH$4)</f>
        <v>0</v>
      </c>
      <c r="AI76" s="67">
        <f t="shared" si="110"/>
        <v>0</v>
      </c>
      <c r="AJ76" s="67">
        <f t="shared" si="110"/>
        <v>0</v>
      </c>
      <c r="AK76" s="67">
        <f t="shared" si="110"/>
        <v>0</v>
      </c>
      <c r="AL76" s="67">
        <f t="shared" si="110"/>
        <v>0</v>
      </c>
      <c r="AM76" s="67">
        <f t="shared" si="110"/>
        <v>0</v>
      </c>
      <c r="AN76" s="67">
        <f t="shared" si="110"/>
        <v>0</v>
      </c>
      <c r="AO76" s="67">
        <f t="shared" si="110"/>
        <v>0</v>
      </c>
      <c r="AP76" s="67">
        <f t="shared" si="110"/>
        <v>0</v>
      </c>
      <c r="AQ76" s="76"/>
      <c r="AR76" s="76"/>
      <c r="AS76" s="77">
        <f>SUMPRODUCT(--(WEEKDAY(C$3:AG$3,2)&lt;5),--ISNUMBER(MATCH(C76:AG76,{"SB1","SB2"},0)))</f>
        <v>0</v>
      </c>
      <c r="AT76" s="67"/>
      <c r="AU76" s="77">
        <f>SUMPRODUCT(--(WEEKDAY(C$3:AG$3,2)=5),--ISNUMBER(MATCH(C76:AG76,{"SB1","SB2"},0)))</f>
        <v>0</v>
      </c>
      <c r="AV76" s="77">
        <f>SUMPRODUCT(--(WEEKDAY(C$3:AG$3,2)&gt;5),--ISNUMBER(MATCH(C76:AG76,{"SB1","SB2"},0)))</f>
        <v>0</v>
      </c>
      <c r="AW76" s="67"/>
      <c r="AX76" s="77">
        <f t="shared" si="89"/>
        <v>0</v>
      </c>
      <c r="AY76" s="77">
        <f t="shared" si="74"/>
        <v>0</v>
      </c>
      <c r="AZ76" s="77">
        <f t="shared" si="75"/>
        <v>0</v>
      </c>
      <c r="BA76" s="76">
        <f t="shared" si="76"/>
        <v>0</v>
      </c>
      <c r="BB76" s="77">
        <f t="shared" si="77"/>
        <v>0</v>
      </c>
      <c r="BC76" s="77">
        <f t="shared" si="78"/>
        <v>0</v>
      </c>
      <c r="BD76" s="77">
        <f t="shared" si="79"/>
        <v>0</v>
      </c>
      <c r="BE76" s="77">
        <f t="shared" si="80"/>
        <v>0</v>
      </c>
      <c r="BF76" s="77">
        <f t="shared" si="81"/>
        <v>0</v>
      </c>
      <c r="BG76" s="77">
        <f t="shared" si="82"/>
        <v>0</v>
      </c>
      <c r="BH76" s="77">
        <f t="shared" si="83"/>
        <v>0</v>
      </c>
      <c r="BI76" s="77">
        <f t="shared" si="84"/>
        <v>0</v>
      </c>
      <c r="BJ76" s="77">
        <f t="shared" si="85"/>
        <v>0</v>
      </c>
      <c r="BK76" s="77">
        <f t="shared" si="86"/>
        <v>0</v>
      </c>
      <c r="BL76" s="77">
        <f t="shared" si="87"/>
        <v>0</v>
      </c>
      <c r="BM76" s="77">
        <f>COUNTIF($D76:$Y76,BM$4)</f>
        <v>0</v>
      </c>
      <c r="BN76" s="77">
        <f>COUNTIF($D76:$Y76,BN$4)</f>
        <v>0</v>
      </c>
      <c r="BO76" s="77">
        <f>COUNTIF($D76:$Y76,BO$4)</f>
        <v>0</v>
      </c>
      <c r="BP76" s="67"/>
    </row>
    <row r="77" ht="19.5" customHeight="1" spans="1:68">
      <c r="A77" s="67"/>
      <c r="B77" s="115" t="s">
        <v>1022</v>
      </c>
      <c r="C77" s="116"/>
      <c r="D77" s="53"/>
      <c r="E77" s="85"/>
      <c r="F77" s="85"/>
      <c r="G77" s="85"/>
      <c r="H77" s="85"/>
      <c r="I77" s="53"/>
      <c r="J77" s="85"/>
      <c r="K77" s="53"/>
      <c r="L77" s="53"/>
      <c r="M77" s="60"/>
      <c r="N77" s="85"/>
      <c r="O77" s="53"/>
      <c r="P77" s="53"/>
      <c r="Q77" s="53"/>
      <c r="R77" s="53"/>
      <c r="S77" s="53"/>
      <c r="T77" s="53"/>
      <c r="U77" s="117"/>
      <c r="V77" s="118"/>
      <c r="W77" s="53"/>
      <c r="X77" s="85" t="s">
        <v>1023</v>
      </c>
      <c r="Y77" s="53"/>
      <c r="Z77" s="53"/>
      <c r="AA77" s="53"/>
      <c r="AB77" s="53"/>
      <c r="AC77" s="53"/>
      <c r="AD77" s="53"/>
      <c r="AE77" s="53"/>
      <c r="AF77" s="53"/>
      <c r="AG77" s="53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77"/>
      <c r="AT77" s="67"/>
      <c r="AU77" s="67"/>
      <c r="AV77" s="77"/>
      <c r="AW77" s="67"/>
      <c r="AX77" s="6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67"/>
      <c r="BN77" s="67"/>
      <c r="BO77" s="67"/>
      <c r="BP77" s="67"/>
    </row>
    <row r="78" ht="19.5" customHeight="1" spans="1:68">
      <c r="A78" s="67"/>
      <c r="B78" s="115" t="s">
        <v>667</v>
      </c>
      <c r="C78" s="119"/>
      <c r="D78" s="120"/>
      <c r="E78" s="120"/>
      <c r="F78" s="120"/>
      <c r="G78" s="120"/>
      <c r="H78" s="120"/>
      <c r="I78" s="120"/>
      <c r="J78" s="120"/>
      <c r="K78" s="120"/>
      <c r="L78" s="120"/>
      <c r="M78" s="60"/>
      <c r="N78" s="120"/>
      <c r="O78" s="120"/>
      <c r="P78" s="120"/>
      <c r="Q78" s="60"/>
      <c r="R78" s="60"/>
      <c r="S78" s="120"/>
      <c r="T78" s="60"/>
      <c r="U78" s="121" t="s">
        <v>700</v>
      </c>
      <c r="V78" s="122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77"/>
      <c r="AT78" s="67"/>
      <c r="AU78" s="67"/>
      <c r="AV78" s="77"/>
      <c r="AW78" s="67"/>
      <c r="AX78" s="6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67"/>
      <c r="BN78" s="67"/>
      <c r="BO78" s="67"/>
      <c r="BP78" s="67"/>
    </row>
    <row r="79" ht="19.5" customHeight="1" spans="1:68">
      <c r="A79" s="67"/>
      <c r="B79" s="115" t="s">
        <v>668</v>
      </c>
      <c r="C79" s="119"/>
      <c r="D79" s="120"/>
      <c r="E79" s="120"/>
      <c r="F79" s="120"/>
      <c r="G79" s="120"/>
      <c r="H79" s="120"/>
      <c r="I79" s="120"/>
      <c r="J79" s="120"/>
      <c r="K79" s="120"/>
      <c r="L79" s="120"/>
      <c r="M79" s="60"/>
      <c r="N79" s="120"/>
      <c r="O79" s="120"/>
      <c r="P79" s="120"/>
      <c r="Q79" s="60"/>
      <c r="R79" s="60"/>
      <c r="S79" s="120"/>
      <c r="T79" s="60"/>
      <c r="U79" s="121"/>
      <c r="V79" s="122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77"/>
      <c r="AT79" s="67"/>
      <c r="AU79" s="67"/>
      <c r="AV79" s="77"/>
      <c r="AW79" s="67"/>
      <c r="AX79" s="6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67"/>
      <c r="BN79" s="67"/>
      <c r="BO79" s="67"/>
      <c r="BP79" s="67"/>
    </row>
    <row r="80" ht="19.5" customHeight="1" spans="1:68">
      <c r="A80" s="67"/>
      <c r="B80" s="105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3"/>
      <c r="AF80" s="123"/>
      <c r="AG80" s="123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>
        <f>SUMPRODUCT(--WEEKDAY(C$3:AF$3,2)&gt;5,--((C80:AF80="DM"))+(C80:AF80="CS1")+((C80:AF80="CS2"))+(C80:AF80="SB1")+(C80:AF80="AE")+(C80:AF80="EM"))</f>
        <v>0</v>
      </c>
      <c r="AW80" s="105"/>
      <c r="AX80" s="105">
        <f>(AS80-AT80)/2+(AV80-AW80)</f>
        <v>0</v>
      </c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/>
      <c r="BN80" s="105"/>
      <c r="BO80" s="105"/>
      <c r="BP80" s="105"/>
    </row>
    <row r="81" ht="19.5" customHeight="1" spans="1:68">
      <c r="A81" s="67"/>
      <c r="B81" s="124" t="s">
        <v>57</v>
      </c>
      <c r="C81" s="125" t="str">
        <f t="shared" ref="C81:AC81" si="111">INDEX($B$57:$B$74,MATCH($B81,C$57:C$76,0))</f>
        <v>CPL JOVAN CHUA RUI CHENG</v>
      </c>
      <c r="D81" s="125" t="str">
        <f t="shared" si="111"/>
        <v>LCP KOH KAH SENG</v>
      </c>
      <c r="E81" s="125" t="str">
        <f t="shared" si="111"/>
        <v>CPL TAN TZE JUE JULIAN</v>
      </c>
      <c r="F81" s="125" t="e">
        <f t="shared" si="111"/>
        <v>#N/A</v>
      </c>
      <c r="G81" s="125" t="e">
        <f t="shared" si="111"/>
        <v>#N/A</v>
      </c>
      <c r="H81" s="125" t="str">
        <f t="shared" si="111"/>
        <v>CFC KOH KAI JIE, ETHAN</v>
      </c>
      <c r="I81" s="125" t="str">
        <f t="shared" si="111"/>
        <v>CPL TAN TZE JUE JULIAN</v>
      </c>
      <c r="J81" s="125" t="str">
        <f t="shared" si="111"/>
        <v>CPL TAN TZE JUE JULIAN</v>
      </c>
      <c r="K81" s="125" t="str">
        <f t="shared" si="111"/>
        <v>3SG HO JI XUAN ISAAC</v>
      </c>
      <c r="L81" s="125" t="str">
        <f t="shared" si="111"/>
        <v>CFC MUHAMMAD AMSYAR SUFI BIN SUNARDI</v>
      </c>
      <c r="M81" s="125" t="e">
        <f t="shared" si="111"/>
        <v>#N/A</v>
      </c>
      <c r="N81" s="125" t="e">
        <f t="shared" si="111"/>
        <v>#N/A</v>
      </c>
      <c r="O81" s="125" t="str">
        <f t="shared" si="111"/>
        <v>3SG THOTA DEV ADITYA</v>
      </c>
      <c r="P81" s="125" t="str">
        <f t="shared" si="111"/>
        <v>3SG HO JI XUAN ISAAC</v>
      </c>
      <c r="Q81" s="125" t="str">
        <f t="shared" si="111"/>
        <v>3SG THOTA DEV ADITYA</v>
      </c>
      <c r="R81" s="125" t="str">
        <f t="shared" si="111"/>
        <v>CPL TAN TZE JUE JULIAN</v>
      </c>
      <c r="S81" s="125" t="str">
        <f t="shared" si="111"/>
        <v>PTE LUTH HARITH AFIF BIN NORFIFI</v>
      </c>
      <c r="T81" s="125" t="e">
        <f t="shared" si="111"/>
        <v>#N/A</v>
      </c>
      <c r="U81" s="125" t="e">
        <f t="shared" si="111"/>
        <v>#N/A</v>
      </c>
      <c r="V81" s="125" t="str">
        <f t="shared" si="111"/>
        <v>PTE LUTH HARITH AFIF BIN NORFIFI</v>
      </c>
      <c r="W81" s="125" t="str">
        <f t="shared" si="111"/>
        <v>3SG HO JI XUAN ISAAC</v>
      </c>
      <c r="X81" s="125" t="str">
        <f t="shared" si="111"/>
        <v>PTE LUTH HARITH AFIF BIN NORFIFI</v>
      </c>
      <c r="Y81" s="125" t="str">
        <f t="shared" si="111"/>
        <v>PTE LUTH HARITH AFIF BIN NORFIFI</v>
      </c>
      <c r="Z81" s="125" t="str">
        <f t="shared" si="111"/>
        <v>CFC BRENDON TOH YI CHEN</v>
      </c>
      <c r="AA81" s="125" t="e">
        <f t="shared" si="111"/>
        <v>#N/A</v>
      </c>
      <c r="AB81" s="125" t="e">
        <f t="shared" si="111"/>
        <v>#N/A</v>
      </c>
      <c r="AC81" s="125" t="str">
        <f t="shared" si="111"/>
        <v>LCP LIM CHU FENG</v>
      </c>
      <c r="AD81" s="125" t="str">
        <f t="shared" ref="AD81:AD86" si="112">INDEX($B$57:$B$74,MATCH($B81,AD$58:AD$76,0))</f>
        <v>CPL TAN TZE JUE JULIAN</v>
      </c>
      <c r="AE81" s="125" t="str">
        <f t="shared" ref="AE81:AE86" si="113">INDEX($B$57:$B$74,MATCH($B81,AE$57:AE$76,0))</f>
        <v>LCP KOH KAH SENG</v>
      </c>
      <c r="AF81" s="125" t="str">
        <f t="shared" ref="AF81:AF86" si="114">INDEX($B$57:$B$74,MATCH($B81,AF$57:AF$76,0))</f>
        <v>CFC KOH KAI JIE, ETHAN</v>
      </c>
      <c r="AG81" s="125" t="str">
        <f t="shared" ref="AG81:AG86" si="115">INDEX($B$57:$B$74,MATCH($B81,AG$57:AG$76,0))</f>
        <v>PTE LUTH HARITH AFIF BIN NORFIFI</v>
      </c>
      <c r="AH81" s="67"/>
      <c r="AI81" s="67"/>
      <c r="AJ81" s="67"/>
      <c r="AK81" s="6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</row>
    <row r="82" ht="19.5" customHeight="1" spans="1:68">
      <c r="A82" s="67"/>
      <c r="B82" s="126" t="s">
        <v>56</v>
      </c>
      <c r="C82" s="125" t="str">
        <f t="shared" ref="C82:AC82" si="116">INDEX($B$57:$B$74,MATCH($B82,C$57:C$76,0))</f>
        <v>LCP DAANYAAL ABDUL AZEEZ JANJUA</v>
      </c>
      <c r="D82" s="125" t="str">
        <f t="shared" si="116"/>
        <v>CPL TAN TZE JUE JULIAN</v>
      </c>
      <c r="E82" s="125" t="str">
        <f t="shared" si="116"/>
        <v>LCP KOH KAH SENG</v>
      </c>
      <c r="F82" s="125" t="e">
        <f t="shared" si="116"/>
        <v>#N/A</v>
      </c>
      <c r="G82" s="125" t="e">
        <f t="shared" si="116"/>
        <v>#N/A</v>
      </c>
      <c r="H82" s="125" t="e">
        <f t="shared" si="116"/>
        <v>#N/A</v>
      </c>
      <c r="I82" s="125" t="str">
        <f t="shared" si="116"/>
        <v>CFC MUHAMMAD AMSYAR SUFI BIN SUNARDI</v>
      </c>
      <c r="J82" s="125" t="str">
        <f t="shared" si="116"/>
        <v>LCP GOH SONG YEE, ETHAN</v>
      </c>
      <c r="K82" s="125" t="str">
        <f t="shared" si="116"/>
        <v>LCP DAANYAAL ABDUL AZEEZ JANJUA</v>
      </c>
      <c r="L82" s="125" t="str">
        <f t="shared" si="116"/>
        <v>PTE MATTHEW WILLIAM TAN</v>
      </c>
      <c r="M82" s="125" t="e">
        <f t="shared" si="116"/>
        <v>#N/A</v>
      </c>
      <c r="N82" s="125" t="e">
        <f t="shared" si="116"/>
        <v>#N/A</v>
      </c>
      <c r="O82" s="125" t="str">
        <f t="shared" si="116"/>
        <v>PTE MATTHEW WILLIAM TAN</v>
      </c>
      <c r="P82" s="125" t="str">
        <f t="shared" si="116"/>
        <v>LCP KOH KAH SENG</v>
      </c>
      <c r="Q82" s="125" t="str">
        <f t="shared" si="116"/>
        <v>PTE MATTHEW WILLIAM TAN</v>
      </c>
      <c r="R82" s="125" t="str">
        <f t="shared" si="116"/>
        <v>LCP GOH SONG YEE, ETHAN</v>
      </c>
      <c r="S82" s="125" t="str">
        <f t="shared" si="116"/>
        <v>CPL TAN TZE JUE JULIAN</v>
      </c>
      <c r="T82" s="125" t="e">
        <f t="shared" si="116"/>
        <v>#N/A</v>
      </c>
      <c r="U82" s="125" t="e">
        <f t="shared" si="116"/>
        <v>#N/A</v>
      </c>
      <c r="V82" s="125" t="str">
        <f t="shared" si="116"/>
        <v>CFC MUHAMMAD AMSYAR SUFI BIN SUNARDI</v>
      </c>
      <c r="W82" s="125" t="str">
        <f t="shared" si="116"/>
        <v>PTE SUNDARARAJU DHANUSH</v>
      </c>
      <c r="X82" s="125" t="str">
        <f t="shared" si="116"/>
        <v>LCP KOH KAH SENG</v>
      </c>
      <c r="Y82" s="125" t="str">
        <f t="shared" si="116"/>
        <v>PTE SUNDARARAJU DHANUSH</v>
      </c>
      <c r="Z82" s="125" t="str">
        <f t="shared" si="116"/>
        <v>LCP GOH SONG YEE, ETHAN</v>
      </c>
      <c r="AA82" s="125" t="e">
        <f t="shared" si="116"/>
        <v>#N/A</v>
      </c>
      <c r="AB82" s="125" t="e">
        <f t="shared" si="116"/>
        <v>#N/A</v>
      </c>
      <c r="AC82" s="125" t="str">
        <f t="shared" si="116"/>
        <v>PTE LUTH HARITH AFIF BIN NORFIFI</v>
      </c>
      <c r="AD82" s="125" t="str">
        <f t="shared" si="112"/>
        <v>PTE LUTH HARITH AFIF BIN NORFIFI</v>
      </c>
      <c r="AE82" s="125" t="str">
        <f t="shared" si="113"/>
        <v>CFC AINSLEY YAP SHENG JIE</v>
      </c>
      <c r="AF82" s="125" t="str">
        <f t="shared" si="114"/>
        <v>PTE LUTH HARITH AFIF BIN NORFIFI</v>
      </c>
      <c r="AG82" s="125" t="str">
        <f t="shared" si="115"/>
        <v>CPL TAN TZE JUE JULIAN</v>
      </c>
      <c r="AH82" s="67"/>
      <c r="AI82" s="67"/>
      <c r="AJ82" s="67"/>
      <c r="AK82" s="67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</row>
    <row r="83" ht="19.5" customHeight="1" spans="1:68">
      <c r="A83" s="67"/>
      <c r="B83" s="127" t="s">
        <v>58</v>
      </c>
      <c r="C83" s="125" t="str">
        <f t="shared" ref="C83:AC83" si="117">INDEX($B$57:$B$74,MATCH($B83,C$57:C$76,0))</f>
        <v>CPL TAN TZE JUE JULIAN</v>
      </c>
      <c r="D83" s="125" t="str">
        <f t="shared" si="117"/>
        <v>CFC KOH KAI JIE, ETHAN</v>
      </c>
      <c r="E83" s="125" t="str">
        <f t="shared" si="117"/>
        <v>PTE MATTHEW WILLIAM TAN</v>
      </c>
      <c r="F83" s="125" t="str">
        <f t="shared" si="117"/>
        <v>CPL LAN ZHI XIANG</v>
      </c>
      <c r="G83" s="125" t="str">
        <f t="shared" si="117"/>
        <v>LCP KOH KAH SENG</v>
      </c>
      <c r="H83" s="125" t="str">
        <f t="shared" si="117"/>
        <v>PTE MATTHEW WILLIAM TAN</v>
      </c>
      <c r="I83" s="125" t="str">
        <f t="shared" si="117"/>
        <v>LCP LIM CHU FENG</v>
      </c>
      <c r="J83" s="125" t="str">
        <f t="shared" si="117"/>
        <v>LCP DAANYAAL ABDUL AZEEZ JANJUA</v>
      </c>
      <c r="K83" s="125" t="str">
        <f t="shared" si="117"/>
        <v>CFC MUHAMMAD AMSYAR SUFI BIN SUNARDI</v>
      </c>
      <c r="L83" s="125" t="str">
        <f t="shared" si="117"/>
        <v>LCP DAANYAAL ABDUL AZEEZ JANJUA</v>
      </c>
      <c r="M83" s="125" t="e">
        <f t="shared" si="117"/>
        <v>#N/A</v>
      </c>
      <c r="N83" s="125" t="str">
        <f t="shared" si="117"/>
        <v>CFC KOH KAI JIE, ETHAN</v>
      </c>
      <c r="O83" s="125" t="str">
        <f t="shared" si="117"/>
        <v>PTE SUNDARARAJU DHANUSH</v>
      </c>
      <c r="P83" s="125" t="str">
        <f t="shared" si="117"/>
        <v>CPL LAN ZHI XIANG</v>
      </c>
      <c r="Q83" s="125" t="str">
        <f t="shared" si="117"/>
        <v>3SG HO JI XUAN ISAAC</v>
      </c>
      <c r="R83" s="125" t="str">
        <f t="shared" si="117"/>
        <v>PTE OWEN LEE</v>
      </c>
      <c r="S83" s="125" t="str">
        <f t="shared" si="117"/>
        <v>LCP GOH SONG YEE, ETHAN</v>
      </c>
      <c r="T83" s="125" t="str">
        <f t="shared" si="117"/>
        <v>LCP GOH SONG YEE, ETHAN</v>
      </c>
      <c r="U83" s="125" t="e">
        <f t="shared" si="117"/>
        <v>#REF!</v>
      </c>
      <c r="V83" s="125" t="str">
        <f t="shared" si="117"/>
        <v>LCP LIM CHU FENG</v>
      </c>
      <c r="W83" s="125" t="str">
        <f t="shared" si="117"/>
        <v>LCP DAANYAAL ABDUL AZEEZ JANJUA</v>
      </c>
      <c r="X83" s="125" t="str">
        <f t="shared" si="117"/>
        <v>CPL LAN ZHI XIANG</v>
      </c>
      <c r="Y83" s="125" t="str">
        <f t="shared" si="117"/>
        <v>CPL LAN ZHI XIANG</v>
      </c>
      <c r="Z83" s="125" t="e">
        <f t="shared" si="117"/>
        <v>#REF!</v>
      </c>
      <c r="AA83" s="125" t="str">
        <f t="shared" si="117"/>
        <v>PTE OWEN LEE</v>
      </c>
      <c r="AB83" s="125" t="e">
        <f t="shared" si="117"/>
        <v>#REF!</v>
      </c>
      <c r="AC83" s="125" t="str">
        <f t="shared" si="117"/>
        <v>CPL LAN ZHI XIANG</v>
      </c>
      <c r="AD83" s="125" t="str">
        <f t="shared" si="112"/>
        <v>CPL JOVAN CHUA RUI CHENG</v>
      </c>
      <c r="AE83" s="125" t="str">
        <f t="shared" si="113"/>
        <v>CFC KOH KAI JIE, ETHAN</v>
      </c>
      <c r="AF83" s="125" t="str">
        <f t="shared" si="114"/>
        <v>PTE MATTHEW WILLIAM TAN</v>
      </c>
      <c r="AG83" s="125" t="str">
        <f t="shared" si="115"/>
        <v>PTE SUNDARARAJU DHANUSH</v>
      </c>
      <c r="AH83" s="67"/>
      <c r="AI83" s="67"/>
      <c r="AJ83" s="67"/>
      <c r="AK83" s="6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</row>
    <row r="84" ht="63.75" spans="1:68">
      <c r="A84" s="67"/>
      <c r="B84" s="128" t="s">
        <v>93</v>
      </c>
      <c r="C84" s="125" t="e">
        <f t="shared" ref="C84:AC84" si="118">INDEX($B$57:$B$74,MATCH($B84,C$57:C$76,0))</f>
        <v>#N/A</v>
      </c>
      <c r="D84" s="125" t="str">
        <f t="shared" si="118"/>
        <v>PTE SUNDARARAJU DHANUSH</v>
      </c>
      <c r="E84" s="125" t="e">
        <f t="shared" si="118"/>
        <v>#N/A</v>
      </c>
      <c r="F84" s="125" t="e">
        <f t="shared" si="118"/>
        <v>#N/A</v>
      </c>
      <c r="G84" s="125" t="str">
        <f t="shared" si="118"/>
        <v>LCP LIM CHU FENG</v>
      </c>
      <c r="H84" s="125" t="str">
        <f t="shared" si="118"/>
        <v>CPL TAN TZE JUE JULIAN</v>
      </c>
      <c r="I84" s="125" t="e">
        <f t="shared" si="118"/>
        <v>#N/A</v>
      </c>
      <c r="J84" s="125" t="e">
        <f t="shared" si="118"/>
        <v>#N/A</v>
      </c>
      <c r="K84" s="125" t="str">
        <f t="shared" si="118"/>
        <v>CFC KOH KAI JIE, ETHAN</v>
      </c>
      <c r="L84" s="125" t="e">
        <f t="shared" si="118"/>
        <v>#N/A</v>
      </c>
      <c r="M84" s="125" t="e">
        <f t="shared" si="118"/>
        <v>#N/A</v>
      </c>
      <c r="N84" s="125" t="str">
        <f t="shared" si="118"/>
        <v>CPL TAN TZE JUE JULIAN</v>
      </c>
      <c r="O84" s="125" t="str">
        <f t="shared" si="118"/>
        <v>LCP GOH SONG YEE, ETHAN</v>
      </c>
      <c r="P84" s="125" t="e">
        <f t="shared" si="118"/>
        <v>#N/A</v>
      </c>
      <c r="Q84" s="125" t="e">
        <f t="shared" si="118"/>
        <v>#N/A</v>
      </c>
      <c r="R84" s="125" t="str">
        <f t="shared" si="118"/>
        <v>CFC BRENDON TOH YI CHEN</v>
      </c>
      <c r="S84" s="125" t="e">
        <f t="shared" si="118"/>
        <v>#N/A</v>
      </c>
      <c r="T84" s="125" t="e">
        <f t="shared" si="118"/>
        <v>#N/A</v>
      </c>
      <c r="U84" s="125" t="str">
        <f t="shared" si="118"/>
        <v>3SG HO JI XUAN ISAAC</v>
      </c>
      <c r="V84" s="125" t="str">
        <f t="shared" si="118"/>
        <v>PTE OWEN LEE</v>
      </c>
      <c r="W84" s="125" t="e">
        <f t="shared" si="118"/>
        <v>#N/A</v>
      </c>
      <c r="X84" s="125" t="e">
        <f t="shared" si="118"/>
        <v>#N/A</v>
      </c>
      <c r="Y84" s="125" t="str">
        <f t="shared" si="118"/>
        <v>LCP KOH KAH SENG</v>
      </c>
      <c r="Z84" s="125" t="e">
        <f t="shared" si="118"/>
        <v>#N/A</v>
      </c>
      <c r="AA84" s="125" t="e">
        <f t="shared" si="118"/>
        <v>#N/A</v>
      </c>
      <c r="AB84" s="125" t="str">
        <f t="shared" si="118"/>
        <v>3SG HO JI XUAN ISAAC</v>
      </c>
      <c r="AC84" s="125" t="str">
        <f t="shared" si="118"/>
        <v>LCP KOH KAH SENG</v>
      </c>
      <c r="AD84" s="125" t="e">
        <f t="shared" si="112"/>
        <v>#N/A</v>
      </c>
      <c r="AE84" s="125" t="e">
        <f t="shared" si="113"/>
        <v>#N/A</v>
      </c>
      <c r="AF84" s="125" t="e">
        <f t="shared" si="114"/>
        <v>#REF!</v>
      </c>
      <c r="AG84" s="125" t="e">
        <f t="shared" si="115"/>
        <v>#N/A</v>
      </c>
      <c r="AH84" s="67"/>
      <c r="AI84" s="67"/>
      <c r="AJ84" s="67"/>
      <c r="AK84" s="67"/>
      <c r="AL84" s="77"/>
      <c r="AM84" s="77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7"/>
      <c r="BN84" s="77"/>
      <c r="BO84" s="77"/>
      <c r="BP84" s="77"/>
    </row>
    <row r="85" ht="19.5" customHeight="1" spans="1:68">
      <c r="A85" s="67"/>
      <c r="B85" s="129" t="s">
        <v>65</v>
      </c>
      <c r="C85" s="125" t="str">
        <f t="shared" ref="C85:AC85" si="119">INDEX($B$57:$B$74,MATCH($B85,C$57:C$76,0))</f>
        <v>CFC BRENDON TOH YI CHEN</v>
      </c>
      <c r="D85" s="125" t="str">
        <f t="shared" si="119"/>
        <v>CPL JOVAN CHUA RUI CHENG</v>
      </c>
      <c r="E85" s="125" t="str">
        <f t="shared" si="119"/>
        <v>PTE LUTH HARITH AFIF BIN NORFIFI</v>
      </c>
      <c r="F85" s="125" t="e">
        <f t="shared" si="119"/>
        <v>#N/A</v>
      </c>
      <c r="G85" s="125" t="e">
        <f t="shared" si="119"/>
        <v>#N/A</v>
      </c>
      <c r="H85" s="125" t="str">
        <f t="shared" si="119"/>
        <v>CPL LAN ZHI XIANG</v>
      </c>
      <c r="I85" s="125" t="str">
        <f t="shared" si="119"/>
        <v>CFC BRENDON TOH YI CHEN</v>
      </c>
      <c r="J85" s="125" t="str">
        <f t="shared" si="119"/>
        <v>CFC KOH KAI JIE, ETHAN</v>
      </c>
      <c r="K85" s="125" t="str">
        <f t="shared" si="119"/>
        <v>PTE SUNDARARAJU DHANUSH</v>
      </c>
      <c r="L85" s="125" t="str">
        <f t="shared" si="119"/>
        <v>3SG HO JI XUAN ISAAC</v>
      </c>
      <c r="M85" s="125" t="e">
        <f t="shared" si="119"/>
        <v>#N/A</v>
      </c>
      <c r="N85" s="125" t="e">
        <f t="shared" si="119"/>
        <v>#N/A</v>
      </c>
      <c r="O85" s="125" t="str">
        <f t="shared" si="119"/>
        <v>CFC MUHAMMAD AMSYAR SUFI BIN SUNARDI</v>
      </c>
      <c r="P85" s="125" t="str">
        <f t="shared" si="119"/>
        <v>LCP DAANYAAL ABDUL AZEEZ JANJUA</v>
      </c>
      <c r="Q85" s="125" t="e">
        <f t="shared" si="119"/>
        <v>#REF!</v>
      </c>
      <c r="R85" s="125" t="str">
        <f t="shared" si="119"/>
        <v>LCP KOH KAH SENG</v>
      </c>
      <c r="S85" s="125" t="str">
        <f t="shared" si="119"/>
        <v>PTE KERK NATHAN</v>
      </c>
      <c r="T85" s="125" t="e">
        <f t="shared" si="119"/>
        <v>#N/A</v>
      </c>
      <c r="U85" s="125" t="e">
        <f t="shared" si="119"/>
        <v>#N/A</v>
      </c>
      <c r="V85" s="125" t="str">
        <f t="shared" si="119"/>
        <v>PTE KERK NATHAN</v>
      </c>
      <c r="W85" s="125" t="str">
        <f t="shared" si="119"/>
        <v>LCP KOH KAH SENG</v>
      </c>
      <c r="X85" s="125" t="str">
        <f t="shared" si="119"/>
        <v>PTE KERK NATHAN</v>
      </c>
      <c r="Y85" s="125" t="str">
        <f t="shared" si="119"/>
        <v>PTE MATTHEW WILLIAM TAN</v>
      </c>
      <c r="Z85" s="125" t="str">
        <f t="shared" si="119"/>
        <v>PTE KERK NATHAN</v>
      </c>
      <c r="AA85" s="125" t="e">
        <f t="shared" si="119"/>
        <v>#N/A</v>
      </c>
      <c r="AB85" s="125" t="e">
        <f t="shared" si="119"/>
        <v>#N/A</v>
      </c>
      <c r="AC85" s="125" t="str">
        <f t="shared" si="119"/>
        <v>PTE OWEN LEE</v>
      </c>
      <c r="AD85" s="125" t="str">
        <f t="shared" si="112"/>
        <v>PTE MATTHEW WILLIAM TAN</v>
      </c>
      <c r="AE85" s="125" t="str">
        <f t="shared" si="113"/>
        <v>PTE OWEN LEE</v>
      </c>
      <c r="AF85" s="125" t="str">
        <f t="shared" si="114"/>
        <v>LCP LIM CHU FENG</v>
      </c>
      <c r="AG85" s="125" t="str">
        <f t="shared" si="115"/>
        <v>PTE MATTHEW WILLIAM TAN</v>
      </c>
      <c r="AH85" s="67"/>
      <c r="AI85" s="67"/>
      <c r="AJ85" s="67"/>
      <c r="AK85" s="67"/>
      <c r="AL85" s="77"/>
      <c r="AM85" s="77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</row>
    <row r="86" ht="19.5" customHeight="1" spans="1:68">
      <c r="A86" s="67"/>
      <c r="B86" s="60" t="s">
        <v>350</v>
      </c>
      <c r="C86" s="60" t="e">
        <f t="shared" ref="C86:AC86" si="120">INDEX($B$57:$B$74,MATCH($B86,C$57:C$76,0))</f>
        <v>#N/A</v>
      </c>
      <c r="D86" s="60" t="e">
        <f t="shared" si="120"/>
        <v>#N/A</v>
      </c>
      <c r="E86" s="60" t="e">
        <f t="shared" si="120"/>
        <v>#N/A</v>
      </c>
      <c r="F86" s="60" t="e">
        <f t="shared" si="120"/>
        <v>#N/A</v>
      </c>
      <c r="G86" s="60" t="e">
        <f t="shared" si="120"/>
        <v>#N/A</v>
      </c>
      <c r="H86" s="60" t="e">
        <f t="shared" si="120"/>
        <v>#N/A</v>
      </c>
      <c r="I86" s="60" t="e">
        <f t="shared" si="120"/>
        <v>#N/A</v>
      </c>
      <c r="J86" s="60" t="e">
        <f t="shared" si="120"/>
        <v>#N/A</v>
      </c>
      <c r="K86" s="60" t="e">
        <f t="shared" si="120"/>
        <v>#N/A</v>
      </c>
      <c r="L86" s="60" t="e">
        <f t="shared" si="120"/>
        <v>#N/A</v>
      </c>
      <c r="M86" s="60" t="e">
        <f t="shared" si="120"/>
        <v>#N/A</v>
      </c>
      <c r="N86" s="60" t="e">
        <f t="shared" si="120"/>
        <v>#N/A</v>
      </c>
      <c r="O86" s="60" t="e">
        <f t="shared" si="120"/>
        <v>#N/A</v>
      </c>
      <c r="P86" s="60" t="e">
        <f t="shared" si="120"/>
        <v>#N/A</v>
      </c>
      <c r="Q86" s="60" t="e">
        <f t="shared" si="120"/>
        <v>#N/A</v>
      </c>
      <c r="R86" s="60" t="e">
        <f t="shared" si="120"/>
        <v>#N/A</v>
      </c>
      <c r="S86" s="60" t="e">
        <f t="shared" si="120"/>
        <v>#N/A</v>
      </c>
      <c r="T86" s="60" t="e">
        <f t="shared" si="120"/>
        <v>#N/A</v>
      </c>
      <c r="U86" s="60" t="e">
        <f t="shared" si="120"/>
        <v>#N/A</v>
      </c>
      <c r="V86" s="60" t="e">
        <f t="shared" si="120"/>
        <v>#N/A</v>
      </c>
      <c r="W86" s="60" t="e">
        <f t="shared" si="120"/>
        <v>#N/A</v>
      </c>
      <c r="X86" s="60" t="e">
        <f t="shared" si="120"/>
        <v>#N/A</v>
      </c>
      <c r="Y86" s="60" t="e">
        <f t="shared" si="120"/>
        <v>#N/A</v>
      </c>
      <c r="Z86" s="60" t="e">
        <f t="shared" si="120"/>
        <v>#N/A</v>
      </c>
      <c r="AA86" s="60" t="e">
        <f t="shared" si="120"/>
        <v>#N/A</v>
      </c>
      <c r="AB86" s="60" t="e">
        <f t="shared" si="120"/>
        <v>#N/A</v>
      </c>
      <c r="AC86" s="60" t="e">
        <f t="shared" si="120"/>
        <v>#N/A</v>
      </c>
      <c r="AD86" s="60" t="e">
        <f t="shared" si="112"/>
        <v>#N/A</v>
      </c>
      <c r="AE86" s="60" t="e">
        <f t="shared" si="113"/>
        <v>#N/A</v>
      </c>
      <c r="AF86" s="60" t="e">
        <f t="shared" si="114"/>
        <v>#N/A</v>
      </c>
      <c r="AG86" s="60" t="e">
        <f t="shared" si="115"/>
        <v>#N/A</v>
      </c>
      <c r="AH86" s="67"/>
      <c r="AI86" s="67"/>
      <c r="AJ86" s="67"/>
      <c r="AK86" s="67"/>
      <c r="AL86" s="77"/>
      <c r="AM86" s="77"/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</row>
    <row r="87" ht="19.5" customHeight="1" spans="1:68">
      <c r="A87" s="67"/>
      <c r="B87" s="60" t="s">
        <v>755</v>
      </c>
      <c r="C87" s="60">
        <f>COUNTIF(C57:C74,"DM")</f>
        <v>1</v>
      </c>
      <c r="D87" s="60">
        <f>COUNTIF(D2:D74,"DM")</f>
        <v>3</v>
      </c>
      <c r="E87" s="60">
        <f>COUNTIF(E2:E74,"DM")</f>
        <v>3</v>
      </c>
      <c r="F87" s="60">
        <f t="shared" ref="F87:AC87" si="121">COUNTIF(F57:F74,"DM")</f>
        <v>0</v>
      </c>
      <c r="G87" s="60">
        <f t="shared" si="121"/>
        <v>0</v>
      </c>
      <c r="H87" s="60">
        <f t="shared" si="121"/>
        <v>1</v>
      </c>
      <c r="I87" s="60">
        <f t="shared" si="121"/>
        <v>1</v>
      </c>
      <c r="J87" s="60">
        <f t="shared" si="121"/>
        <v>1</v>
      </c>
      <c r="K87" s="60">
        <f t="shared" si="121"/>
        <v>1</v>
      </c>
      <c r="L87" s="60">
        <f t="shared" si="121"/>
        <v>1</v>
      </c>
      <c r="M87" s="60">
        <f t="shared" si="121"/>
        <v>0</v>
      </c>
      <c r="N87" s="60">
        <f t="shared" si="121"/>
        <v>0</v>
      </c>
      <c r="O87" s="60">
        <f t="shared" si="121"/>
        <v>1</v>
      </c>
      <c r="P87" s="60">
        <f t="shared" si="121"/>
        <v>1</v>
      </c>
      <c r="Q87" s="60">
        <f t="shared" si="121"/>
        <v>1</v>
      </c>
      <c r="R87" s="60">
        <f t="shared" si="121"/>
        <v>1</v>
      </c>
      <c r="S87" s="60">
        <f t="shared" si="121"/>
        <v>1</v>
      </c>
      <c r="T87" s="60">
        <f t="shared" si="121"/>
        <v>0</v>
      </c>
      <c r="U87" s="60">
        <f t="shared" si="121"/>
        <v>0</v>
      </c>
      <c r="V87" s="60">
        <f t="shared" si="121"/>
        <v>1</v>
      </c>
      <c r="W87" s="60">
        <f t="shared" si="121"/>
        <v>1</v>
      </c>
      <c r="X87" s="60">
        <f t="shared" si="121"/>
        <v>1</v>
      </c>
      <c r="Y87" s="60">
        <f t="shared" si="121"/>
        <v>1</v>
      </c>
      <c r="Z87" s="60">
        <f t="shared" si="121"/>
        <v>1</v>
      </c>
      <c r="AA87" s="60">
        <f t="shared" si="121"/>
        <v>0</v>
      </c>
      <c r="AB87" s="60">
        <f t="shared" si="121"/>
        <v>0</v>
      </c>
      <c r="AC87" s="60">
        <f t="shared" si="121"/>
        <v>1</v>
      </c>
      <c r="AD87" s="60">
        <f>COUNTIF(AD58:AD74,"DM")</f>
        <v>1</v>
      </c>
      <c r="AE87" s="60">
        <f>COUNTIF(AE57:AE74,"DM")</f>
        <v>1</v>
      </c>
      <c r="AF87" s="60">
        <f>COUNTIF(AF57:AF74,"DM")</f>
        <v>1</v>
      </c>
      <c r="AG87" s="60">
        <f>COUNTIF(AG57:AG74,"DM")</f>
        <v>1</v>
      </c>
      <c r="AH87" s="67"/>
      <c r="AI87" s="67"/>
      <c r="AJ87" s="67"/>
      <c r="AK87" s="6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</row>
    <row r="88" ht="19.5" customHeight="1" spans="1:68">
      <c r="A88" s="67"/>
      <c r="B88" s="60" t="s">
        <v>861</v>
      </c>
      <c r="C88" s="60">
        <f>COUNTIF(C57:C74,"SB1")+COUNTIF(C57:C74,"SB2")</f>
        <v>1</v>
      </c>
      <c r="D88" s="60">
        <f>COUNTIF(D2:D74,"SB1")+COUNTIF(D2:D74,"SB2")</f>
        <v>3</v>
      </c>
      <c r="E88" s="60">
        <f>COUNTIF(E2:E74,"SB1")+COUNTIF(E2:E74,"SB2")</f>
        <v>3</v>
      </c>
      <c r="F88" s="60">
        <f t="shared" ref="F88:AC88" si="122">COUNTIF(F57:F74,"SB1")+COUNTIF(F57:F74,"SB2")</f>
        <v>1</v>
      </c>
      <c r="G88" s="60">
        <f t="shared" si="122"/>
        <v>2</v>
      </c>
      <c r="H88" s="60">
        <f t="shared" si="122"/>
        <v>2</v>
      </c>
      <c r="I88" s="60">
        <f t="shared" si="122"/>
        <v>1</v>
      </c>
      <c r="J88" s="60">
        <f t="shared" si="122"/>
        <v>1</v>
      </c>
      <c r="K88" s="60">
        <f t="shared" si="122"/>
        <v>2</v>
      </c>
      <c r="L88" s="60">
        <f t="shared" si="122"/>
        <v>1</v>
      </c>
      <c r="M88" s="60">
        <f t="shared" si="122"/>
        <v>0</v>
      </c>
      <c r="N88" s="60">
        <f t="shared" si="122"/>
        <v>2</v>
      </c>
      <c r="O88" s="60">
        <f t="shared" si="122"/>
        <v>2</v>
      </c>
      <c r="P88" s="60">
        <f t="shared" si="122"/>
        <v>1</v>
      </c>
      <c r="Q88" s="60">
        <f t="shared" si="122"/>
        <v>1</v>
      </c>
      <c r="R88" s="60">
        <f t="shared" si="122"/>
        <v>2</v>
      </c>
      <c r="S88" s="60">
        <f t="shared" si="122"/>
        <v>1</v>
      </c>
      <c r="T88" s="60">
        <f t="shared" si="122"/>
        <v>1</v>
      </c>
      <c r="U88" s="60">
        <f t="shared" si="122"/>
        <v>1</v>
      </c>
      <c r="V88" s="60">
        <f t="shared" si="122"/>
        <v>2</v>
      </c>
      <c r="W88" s="60">
        <f t="shared" si="122"/>
        <v>1</v>
      </c>
      <c r="X88" s="60">
        <f t="shared" si="122"/>
        <v>1</v>
      </c>
      <c r="Y88" s="60">
        <f t="shared" si="122"/>
        <v>2</v>
      </c>
      <c r="Z88" s="60">
        <f t="shared" si="122"/>
        <v>0</v>
      </c>
      <c r="AA88" s="60">
        <f t="shared" si="122"/>
        <v>1</v>
      </c>
      <c r="AB88" s="60">
        <f t="shared" si="122"/>
        <v>1</v>
      </c>
      <c r="AC88" s="60">
        <f t="shared" si="122"/>
        <v>2</v>
      </c>
      <c r="AD88" s="60">
        <f>COUNTIF(AD58:AD74,"SB1")+COUNTIF(AD58:AD74,"SB2")</f>
        <v>1</v>
      </c>
      <c r="AE88" s="60">
        <f>COUNTIF(AE57:AE74,"SB1")+COUNTIF(AE57:AE74,"SB2")</f>
        <v>1</v>
      </c>
      <c r="AF88" s="60">
        <f>COUNTIF(AF57:AF74,"SB1")+COUNTIF(AF57:AF74,"SB2")</f>
        <v>1</v>
      </c>
      <c r="AG88" s="60">
        <f>COUNTIF(AG57:AG74,"SB1")+COUNTIF(AG57:AG74,"SB2")</f>
        <v>1</v>
      </c>
      <c r="AH88" s="67"/>
      <c r="AI88" s="67"/>
      <c r="AJ88" s="67"/>
      <c r="AK88" s="6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</row>
    <row r="89" ht="19.5" customHeight="1" spans="1:68">
      <c r="A89" s="67"/>
      <c r="B89" s="60" t="s">
        <v>862</v>
      </c>
      <c r="C89" s="60">
        <f>COUNTIF(C57:C74,"CS1")</f>
        <v>1</v>
      </c>
      <c r="D89" s="60">
        <f>COUNTIF(D2:D74,"CS1")</f>
        <v>2</v>
      </c>
      <c r="E89" s="60">
        <f>COUNTIF(E2:E74,"CS1")</f>
        <v>2</v>
      </c>
      <c r="F89" s="60">
        <f t="shared" ref="F89:AC89" si="123">COUNTIF(F57:F74,"CS1")</f>
        <v>0</v>
      </c>
      <c r="G89" s="60">
        <f t="shared" si="123"/>
        <v>0</v>
      </c>
      <c r="H89" s="60">
        <f t="shared" si="123"/>
        <v>0</v>
      </c>
      <c r="I89" s="60">
        <f t="shared" si="123"/>
        <v>1</v>
      </c>
      <c r="J89" s="60">
        <f t="shared" si="123"/>
        <v>1</v>
      </c>
      <c r="K89" s="60">
        <f t="shared" si="123"/>
        <v>1</v>
      </c>
      <c r="L89" s="60">
        <f t="shared" si="123"/>
        <v>1</v>
      </c>
      <c r="M89" s="60">
        <f t="shared" si="123"/>
        <v>0</v>
      </c>
      <c r="N89" s="60">
        <f t="shared" si="123"/>
        <v>0</v>
      </c>
      <c r="O89" s="60">
        <f t="shared" si="123"/>
        <v>1</v>
      </c>
      <c r="P89" s="60">
        <f t="shared" si="123"/>
        <v>1</v>
      </c>
      <c r="Q89" s="60">
        <f t="shared" si="123"/>
        <v>1</v>
      </c>
      <c r="R89" s="60">
        <f t="shared" si="123"/>
        <v>1</v>
      </c>
      <c r="S89" s="60">
        <f t="shared" si="123"/>
        <v>1</v>
      </c>
      <c r="T89" s="60">
        <f t="shared" si="123"/>
        <v>0</v>
      </c>
      <c r="U89" s="60">
        <f t="shared" si="123"/>
        <v>0</v>
      </c>
      <c r="V89" s="60">
        <f t="shared" si="123"/>
        <v>1</v>
      </c>
      <c r="W89" s="60">
        <f t="shared" si="123"/>
        <v>1</v>
      </c>
      <c r="X89" s="60">
        <f t="shared" si="123"/>
        <v>1</v>
      </c>
      <c r="Y89" s="60">
        <f t="shared" si="123"/>
        <v>1</v>
      </c>
      <c r="Z89" s="60">
        <f t="shared" si="123"/>
        <v>1</v>
      </c>
      <c r="AA89" s="60">
        <f t="shared" si="123"/>
        <v>0</v>
      </c>
      <c r="AB89" s="60">
        <f t="shared" si="123"/>
        <v>0</v>
      </c>
      <c r="AC89" s="60">
        <f t="shared" si="123"/>
        <v>1</v>
      </c>
      <c r="AD89" s="60">
        <f>COUNTIF(AD58:AD74,"CS1")</f>
        <v>1</v>
      </c>
      <c r="AE89" s="60">
        <f>COUNTIF(AE57:AE74,"CS1")</f>
        <v>1</v>
      </c>
      <c r="AF89" s="60">
        <f>COUNTIF(AF57:AF74,"CS1")</f>
        <v>1</v>
      </c>
      <c r="AG89" s="60">
        <f>COUNTIF(AG57:AG74,"CS1")</f>
        <v>1</v>
      </c>
      <c r="AH89" s="67"/>
      <c r="AI89" s="67"/>
      <c r="AJ89" s="67"/>
      <c r="AK89" s="67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</row>
    <row r="90" ht="19.5" customHeight="1" spans="1:68">
      <c r="A90" s="67"/>
      <c r="B90" s="60" t="s">
        <v>863</v>
      </c>
      <c r="C90" s="60">
        <f>COUNTIF(C57:C74,"AE")</f>
        <v>1</v>
      </c>
      <c r="D90" s="60">
        <f>COUNTIF(D2:D74,"AE")</f>
        <v>2</v>
      </c>
      <c r="E90" s="60">
        <f>COUNTIF(E2:E74,"AE")</f>
        <v>2</v>
      </c>
      <c r="F90" s="60">
        <f t="shared" ref="F90:AC90" si="124">COUNTIF(F57:F74,"AE")</f>
        <v>0</v>
      </c>
      <c r="G90" s="60">
        <f t="shared" si="124"/>
        <v>0</v>
      </c>
      <c r="H90" s="60">
        <f t="shared" si="124"/>
        <v>1</v>
      </c>
      <c r="I90" s="60">
        <f t="shared" si="124"/>
        <v>1</v>
      </c>
      <c r="J90" s="60">
        <f t="shared" si="124"/>
        <v>1</v>
      </c>
      <c r="K90" s="60">
        <f t="shared" si="124"/>
        <v>1</v>
      </c>
      <c r="L90" s="60">
        <f t="shared" si="124"/>
        <v>1</v>
      </c>
      <c r="M90" s="60">
        <f t="shared" si="124"/>
        <v>0</v>
      </c>
      <c r="N90" s="60">
        <f t="shared" si="124"/>
        <v>0</v>
      </c>
      <c r="O90" s="60">
        <f t="shared" si="124"/>
        <v>1</v>
      </c>
      <c r="P90" s="60">
        <f t="shared" si="124"/>
        <v>1</v>
      </c>
      <c r="Q90" s="60">
        <f t="shared" si="124"/>
        <v>0</v>
      </c>
      <c r="R90" s="60">
        <f t="shared" si="124"/>
        <v>1</v>
      </c>
      <c r="S90" s="60">
        <f t="shared" si="124"/>
        <v>1</v>
      </c>
      <c r="T90" s="60">
        <f t="shared" si="124"/>
        <v>0</v>
      </c>
      <c r="U90" s="60">
        <f t="shared" si="124"/>
        <v>0</v>
      </c>
      <c r="V90" s="60">
        <f t="shared" si="124"/>
        <v>1</v>
      </c>
      <c r="W90" s="60">
        <f t="shared" si="124"/>
        <v>1</v>
      </c>
      <c r="X90" s="60">
        <f t="shared" si="124"/>
        <v>1</v>
      </c>
      <c r="Y90" s="60">
        <f t="shared" si="124"/>
        <v>1</v>
      </c>
      <c r="Z90" s="60">
        <f t="shared" si="124"/>
        <v>1</v>
      </c>
      <c r="AA90" s="60">
        <f t="shared" si="124"/>
        <v>0</v>
      </c>
      <c r="AB90" s="60">
        <f t="shared" si="124"/>
        <v>0</v>
      </c>
      <c r="AC90" s="60">
        <f t="shared" si="124"/>
        <v>1</v>
      </c>
      <c r="AD90" s="60">
        <f>COUNTIF(AD58:AD74,"AE")</f>
        <v>1</v>
      </c>
      <c r="AE90" s="60">
        <f>COUNTIF(AE57:AE74,"AE")</f>
        <v>1</v>
      </c>
      <c r="AF90" s="60">
        <f>COUNTIF(AF57:AF74,"AE")</f>
        <v>1</v>
      </c>
      <c r="AG90" s="60">
        <f>COUNTIF(AG57:AG74,"AE")</f>
        <v>1</v>
      </c>
      <c r="AH90" s="67"/>
      <c r="AI90" s="67"/>
      <c r="AJ90" s="67"/>
      <c r="AK90" s="6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</row>
    <row r="91" ht="19.5" customHeight="1" spans="1:68">
      <c r="A91" s="67"/>
      <c r="B91" s="60" t="s">
        <v>864</v>
      </c>
      <c r="C91" s="60">
        <f t="shared" ref="C91:AG91" si="125">SUM(C87:C90)</f>
        <v>4</v>
      </c>
      <c r="D91" s="60">
        <f t="shared" si="125"/>
        <v>10</v>
      </c>
      <c r="E91" s="60">
        <f t="shared" si="125"/>
        <v>10</v>
      </c>
      <c r="F91" s="60">
        <f t="shared" si="125"/>
        <v>1</v>
      </c>
      <c r="G91" s="60">
        <f t="shared" si="125"/>
        <v>2</v>
      </c>
      <c r="H91" s="60">
        <f t="shared" si="125"/>
        <v>4</v>
      </c>
      <c r="I91" s="60">
        <f t="shared" si="125"/>
        <v>4</v>
      </c>
      <c r="J91" s="60">
        <f t="shared" si="125"/>
        <v>4</v>
      </c>
      <c r="K91" s="60">
        <f t="shared" si="125"/>
        <v>5</v>
      </c>
      <c r="L91" s="60">
        <f t="shared" si="125"/>
        <v>4</v>
      </c>
      <c r="M91" s="60">
        <f t="shared" si="125"/>
        <v>0</v>
      </c>
      <c r="N91" s="60">
        <f t="shared" si="125"/>
        <v>2</v>
      </c>
      <c r="O91" s="60">
        <f t="shared" si="125"/>
        <v>5</v>
      </c>
      <c r="P91" s="60">
        <f t="shared" si="125"/>
        <v>4</v>
      </c>
      <c r="Q91" s="60">
        <f t="shared" si="125"/>
        <v>3</v>
      </c>
      <c r="R91" s="60">
        <f t="shared" si="125"/>
        <v>5</v>
      </c>
      <c r="S91" s="60">
        <f t="shared" si="125"/>
        <v>4</v>
      </c>
      <c r="T91" s="60">
        <f t="shared" si="125"/>
        <v>1</v>
      </c>
      <c r="U91" s="60">
        <f t="shared" si="125"/>
        <v>1</v>
      </c>
      <c r="V91" s="60">
        <f t="shared" si="125"/>
        <v>5</v>
      </c>
      <c r="W91" s="60">
        <f t="shared" si="125"/>
        <v>4</v>
      </c>
      <c r="X91" s="60">
        <f t="shared" si="125"/>
        <v>4</v>
      </c>
      <c r="Y91" s="60">
        <f t="shared" si="125"/>
        <v>5</v>
      </c>
      <c r="Z91" s="60">
        <f t="shared" si="125"/>
        <v>3</v>
      </c>
      <c r="AA91" s="60">
        <f t="shared" si="125"/>
        <v>1</v>
      </c>
      <c r="AB91" s="60">
        <f t="shared" si="125"/>
        <v>1</v>
      </c>
      <c r="AC91" s="60">
        <f t="shared" si="125"/>
        <v>5</v>
      </c>
      <c r="AD91" s="60">
        <f t="shared" si="125"/>
        <v>4</v>
      </c>
      <c r="AE91" s="60">
        <f t="shared" si="125"/>
        <v>4</v>
      </c>
      <c r="AF91" s="60">
        <f t="shared" si="125"/>
        <v>4</v>
      </c>
      <c r="AG91" s="60">
        <f t="shared" si="125"/>
        <v>4</v>
      </c>
      <c r="AH91" s="67"/>
      <c r="AI91" s="67"/>
      <c r="AJ91" s="67"/>
      <c r="AK91" s="6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</row>
    <row r="92" ht="19.5" customHeight="1" spans="1:68">
      <c r="A92" s="67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7"/>
      <c r="AI92" s="67"/>
      <c r="AJ92" s="67"/>
      <c r="AK92" s="67"/>
      <c r="AL92" s="77"/>
      <c r="AM92" s="77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</row>
    <row r="93" ht="19.5" customHeight="1" spans="1:68">
      <c r="A93" s="67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7"/>
      <c r="AI93" s="67"/>
      <c r="AJ93" s="67"/>
      <c r="AK93" s="6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</row>
    <row r="94" ht="19.5" customHeight="1" spans="1:68">
      <c r="A94" s="67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7"/>
      <c r="AI94" s="67"/>
      <c r="AJ94" s="67"/>
      <c r="AK94" s="6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</row>
    <row r="95" ht="19.5" customHeight="1" spans="1:68">
      <c r="A95" s="67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7"/>
      <c r="AI95" s="67"/>
      <c r="AJ95" s="67"/>
      <c r="AK95" s="67"/>
      <c r="AL95" s="77"/>
      <c r="AM95" s="77"/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</row>
  </sheetData>
  <mergeCells count="3">
    <mergeCell ref="C1:S1"/>
    <mergeCell ref="AQ3:AQ4"/>
    <mergeCell ref="AR3:AR4"/>
  </mergeCells>
  <conditionalFormatting sqref="P23">
    <cfRule type="expression" dxfId="136" priority="1">
      <formula>WEEKDAY(AJ$3,2)&gt;5</formula>
    </cfRule>
  </conditionalFormatting>
  <conditionalFormatting sqref="Q23">
    <cfRule type="expression" dxfId="136" priority="6">
      <formula>WEEKDAY(T$3,2)&gt;5</formula>
    </cfRule>
    <cfRule type="expression" dxfId="136" priority="7">
      <formula>WEEKDAY(U$3,2)&gt;5</formula>
    </cfRule>
  </conditionalFormatting>
  <conditionalFormatting sqref="AC24">
    <cfRule type="expression" dxfId="136" priority="3">
      <formula>WEEKDAY(T$3,2)&gt;5</formula>
    </cfRule>
    <cfRule type="expression" dxfId="136" priority="4">
      <formula>WEEKDAY(U$3,2)&gt;5</formula>
    </cfRule>
  </conditionalFormatting>
  <conditionalFormatting sqref="G27">
    <cfRule type="expression" dxfId="136" priority="2">
      <formula>WEEKDAY(G$3,2)&gt;5</formula>
    </cfRule>
  </conditionalFormatting>
  <conditionalFormatting sqref="D28">
    <cfRule type="expression" dxfId="136" priority="8">
      <formula>WEEKDAY(G$3,2)&gt;5</formula>
    </cfRule>
    <cfRule type="expression" dxfId="136" priority="9">
      <formula>WEEKDAY(F$3,2)&gt;5</formula>
    </cfRule>
  </conditionalFormatting>
  <conditionalFormatting sqref="A1:BP95">
    <cfRule type="cellIs" dxfId="155" priority="78" operator="equal">
      <formula>"RESERVE"</formula>
    </cfRule>
  </conditionalFormatting>
  <conditionalFormatting sqref="D2:E2 C5:C95 D5:E56 F5:AG95 B48:B54 D58:E95">
    <cfRule type="containsText" dxfId="1388" priority="43" operator="between" text="CS/B">
      <formula>NOT(ISERROR(SEARCH("CS/B",B2)))</formula>
    </cfRule>
  </conditionalFormatting>
  <conditionalFormatting sqref="D2:E2 J4:J95 AA4:AA95 C5:C95 D5:E56 F5:I95 K5:Z95 AB5:AG95 B48:B54 D58:E95">
    <cfRule type="cellIs" dxfId="137" priority="56" operator="equal">
      <formula>"B"</formula>
    </cfRule>
    <cfRule type="cellIs" dxfId="137" priority="57" operator="equal">
      <formula>"AL"</formula>
    </cfRule>
    <cfRule type="cellIs" dxfId="138" priority="58" operator="equal">
      <formula>"DM"</formula>
    </cfRule>
    <cfRule type="cellIs" dxfId="139" priority="59" operator="equal">
      <formula>"CS1"</formula>
    </cfRule>
    <cfRule type="cellIs" dxfId="140" priority="60" operator="equal">
      <formula>"CS2"</formula>
    </cfRule>
    <cfRule type="cellIs" dxfId="141" priority="61" operator="equal">
      <formula>"SB1"</formula>
    </cfRule>
    <cfRule type="cellIs" dxfId="142" priority="62" operator="equal">
      <formula>"SB2"</formula>
    </cfRule>
    <cfRule type="cellIs" dxfId="143" priority="63" operator="equal">
      <formula>"AE"</formula>
    </cfRule>
  </conditionalFormatting>
  <conditionalFormatting sqref="D2:E2 J4:J79 AA4:AA79 C5:C79 D5:E56 F5:I79 K5:Z79 AB5:AG79 B48:B54 D58:E79">
    <cfRule type="cellIs" dxfId="137" priority="65" operator="equal">
      <formula>"DB"</formula>
    </cfRule>
    <cfRule type="containsText" dxfId="144" priority="66" operator="between" text="$AM">
      <formula>NOT(ISERROR(SEARCH("$AM",B2)))</formula>
    </cfRule>
    <cfRule type="containsText" dxfId="145" priority="67" operator="between" text="$PM">
      <formula>NOT(ISERROR(SEARCH("$PM",B2)))</formula>
    </cfRule>
    <cfRule type="containsText" dxfId="146" priority="68" operator="between" text="$L">
      <formula>NOT(ISERROR(SEARCH("$L",B2)))</formula>
    </cfRule>
    <cfRule type="containsText" dxfId="147" priority="69" operator="between" text="$BTP">
      <formula>NOT(ISERROR(SEARCH("$BTP",B2)))</formula>
    </cfRule>
    <cfRule type="containsText" dxfId="148" priority="70" operator="between" text="$M">
      <formula>NOT(ISERROR(SEARCH("$M",B2)))</formula>
    </cfRule>
    <cfRule type="containsText" dxfId="149" priority="72" operator="between" text="$N">
      <formula>NOT(ISERROR(SEARCH("$N",B2)))</formula>
    </cfRule>
    <cfRule type="containsText" dxfId="150" priority="73" operator="between" text="$FC">
      <formula>NOT(ISERROR(SEARCH("$FC",B2)))</formula>
    </cfRule>
    <cfRule type="containsText" dxfId="151" priority="74" operator="between" text="OAL">
      <formula>NOT(ISERROR(SEARCH("OAL",B2)))</formula>
    </cfRule>
    <cfRule type="containsText" dxfId="152" priority="75" operator="between" text="S+">
      <formula>NOT(ISERROR(SEARCH("S+",B2)))</formula>
    </cfRule>
    <cfRule type="containsText" dxfId="153" priority="76" operator="between" text="EX-D">
      <formula>NOT(ISERROR(SEARCH("EX-D",B2)))</formula>
    </cfRule>
  </conditionalFormatting>
  <conditionalFormatting sqref="D2:E56 T2:X79 C3:C79 F3:S79 Y3:AG79 B48:B54 D58:E79">
    <cfRule type="expression" dxfId="136" priority="71">
      <formula>WEEKDAY(D$3,2)&gt;5</formula>
    </cfRule>
  </conditionalFormatting>
  <conditionalFormatting sqref="J4:J5 D5 E5:E9 F5:F12 G5:G11 I5 K5 L5:L6 M5:M9 N5:N7 O5:O6 P5:P8 Q5 S5:S6 V5:V36 W5 Y5:Z7 AA5:AA10 AB5:AB8 AC5 AD5:AD6 C6:C7 H6:H28 T6:T7 U6 X6:X8 J7:J8 K7 W7 AC7:AC8 AF7:AF8 AG7:AG10 O8 Q8:Q11 S8:S9 U8:U9 AD8:AE8 C9:C27 D9 N9 R9:R11 W9 Y9:Y56 Z9:Z22 I10:I27 J10:J21 T10:T12 AB10:AC59 AD10:AD33 AE10:AE22 AF10:AF12 D11:D12 E11:E26 K11:K22 L11:L12 M11 N11:N12 O11:O25 P11 S11 U11:U22 W11:W26 X11:X23 AA12:AA59 AG12 G13:G21 M13:M33 P13:P28 Q13:Q27 R13:R21 S13:S19 T14:T15 AF14:AF15 AG14:AG33 L19 S21:S32 D22:D30 F22:F27 L22:L30 N22:N25 AF22:AF34 J23 R23:R32 T23 G24:G30 K24:K29 U24:U28 Z24:Z30 AE24:AE34 J25 T25 X25:X27 J27:J32 N27:N29 O27:O32 T27:T31 C29 E29 F29:F31 I29 Q29:Q31 W29 X29:X37 U30 E31:E32 H31:I32 N31:N32 P31:P32 W31:W37 C32 D32:D34 G32 K32:L32 Z32:Z72 T33 U33:U34 C34 F34 G34:G35 K34:K35 L34 N34 O34:O35 P34:Q34 R34:R37 S34 I35 J35:J58 T35 C36 E36:E56 F36 H36 L36 M36:M37 S36:S38 AD36:AD38 AF36:AF38 N37:N40 O37:O38 AE37:AE46 F38:F39 G38:G40 K38:K42 P38 T38:T40 U38:V38 AG38 H39:I39 L39:L57 M39:M42 R39 C40:C62 O40:P40 V40:V58 W40:W57 X40:X62 AD40:AD59 AF40 AG40:AG41 H41:H43 I41:I42 S41:S43 D42 F42:F43 G42 O42:O55 T42:T43 U42 AF42:AF43 Q43:R43 M44:M56 K45:K57 P45:P46 Q45:Q56 R45:R57 S45:U46 AF45:AG46 D46 F46:G46 H46:H59 I46 N46 B48:B54 D48:D55 F48:G55 I48:I55 N48:N55 P48:P55 S48:U55 AE48:AG55 N57 S57 E58:E59 M58:M62 U58 Y58:Y62 AF58:AF59 L59:L63 Q59:Q62 W59:W62 J60:K62 AE60:AE63 D61:I62 N61:P62 R61:R62 S61 T61:T62 U61:U66 V61:V62 AA61:AA69 AB61:AD76 AF61:AG61 F65 H65:H67 L65 R66 K67 AF67 L68:L69 T68:U68 Y68 AE68:AE70 AG68:AG69 C69 H69:H72 S70 U70:U79 Y70 K71 AA71:AA76 Q72:R72 Y72:Y73 AE72:AE76 L74:L76 Z74:Z76 C75:K76 M75:T76 V75:Y76 AF75:AG76">
    <cfRule type="containsText" dxfId="154" priority="77" operator="between" text="VACC">
      <formula>NOT(ISERROR(SEARCH("VACC",B4)))</formula>
    </cfRule>
  </conditionalFormatting>
  <conditionalFormatting sqref="C5:C7 D5 E5:E9 F5:F12 G5:G11 I5:K5 L5:L6 M5:M9 N5:N7 O5:O6 P5:P8 Q5:R5 V5:W5 Z5 AB5:AB6 AC5:AD5 H6:H28 T6:T7 J7:J8 K7 R7:R11 V7:V12 W7:Z7 AF7:AF8 AG7:AG10 S8:S9 U8:U9 AD8:AE8 C9:C27 D9 N9 Q9:Q11 W9 Z9 I10:I27 J10:J12 T10:T12 Y10:Y26 AA10 AB10:AB11 AC10:AD12 AE10 AF10:AF11 D11:D12 E11:E21 K11:K22 L11:L12 M11 N11:O12 P11 S11 U11:U22 W11:W26 X11:X23 Z11 AA12 AE12:AE15 AG12 G13:G21 M13:M21 P13:P21 Q13:Q27 R13:R25 S13:S19 Z13:Z19 O14:O25 T14:T15 V14:V15 AA14:AA22 AB14:AC15 AD14:AD22 AF14:AF15 AG14:AG21 AE17:AE22 L19 S21:S25 Z21:Z22 D22:D30 F22:F27 L22:L28 V22:V23 AB22:AB25 E23:E26 M23:M28 N23:N25 P23:P25 T23 AF23:AF25 AG23:AG26 G24:G30 K24:K25 U24:U27 AA24 AC24 AD24:AE25 J25 T25 V25:V26 X25 AA26 AC26:AC27 J27:J28 K27 N27 O27:O30 P27:P28 R27:R32 S27:T28 X27 Z27:Z29 AB27 AD27 AE28:AE30 C29:C32 E29 F29:F31 I29 N29 V29:V32 W29 X29:X30 AC29:AC35 AD29 L30:M30 Q30 S30:S32 T30:U30 AF30:AF34 E31:E32 H31:J32 W31:W37 Y31:Y32 AB31 AD31 AG31 D32:D34 G32 K32:L32 M32:M33 N32:O32 AA32 AE32 Q33:Q34 AD33 C34 F34 G34:G35 K34:K35 L34 N34 O34:O35 P34 R34:R40 S34 U34 V34:V35 X34 AB34 AE34 I35 J35:J36 T35 C36 E36:E56 F36 H36 L36 M36:M37 S36:S38 X36:X37 AD36 N37:N40 O37:O38 AE37:AF38 F38:F39 G38:G40 J38:J42 P38 T38:T40 U38:V38 AC38:AD38 AG38 H39:I39 K39:K42 L39:L57 M39:M42 C40:C76 O40:P40 W40:W57 X40:X62 Z40:Z41 AB40:AB42 AC40 H41:H43 I41:I42 S41:S43 AE41 D42 F42:F43 G42 O42:O55 R42:R43 T42:T43 U42 V42:V43 AA42 AC42:AD59 Q43 Y43 AF43 M44:M56 Z44:Z56 AB44:AB59 AE44:AE46 K45:K57 P45:P46 Q45:Q56 R45:R57 S45:V46 Y45:Y46 AA45:AA56 AF45:AG46 D46 F46:G46 H46:H59 I46:J46 N46 B48:B54 D48:D55 F48:G55 I48:J55 N48:N55 P48:P55 S48:V55 Y48:Y55 AE48:AG55 S57 E58:E59 M58:M62 Y58:Y62 Z58:Z72 AA58:AA59 AF58:AF59 L59:L63 Q59:Q62 W59:W62 K60:K62 AE60:AE63 D61:J62 N61:P62 R61:R62 S61 T61:V62 AA61:AA69 AB61:AD76 AF61:AG61 F65 H65:H67 L65 R66 K67 AF67 L68:L69 T68 Y68 AE68:AE70 H69:H72 AG69 S70 Y70 K71 AA71:AA72 Q72:R72 Y72 AE72:AE76 L74:L76 Z74:Z76 D75:K76 M75:Y76 AA75:AA76 AF75:AG76">
    <cfRule type="cellIs" dxfId="137" priority="12" operator="equal">
      <formula>"B"</formula>
    </cfRule>
    <cfRule type="cellIs" dxfId="137" priority="13" operator="equal">
      <formula>"AL"</formula>
    </cfRule>
    <cfRule type="cellIs" dxfId="138" priority="14" operator="equal">
      <formula>"DM"</formula>
    </cfRule>
    <cfRule type="cellIs" dxfId="139" priority="15" operator="equal">
      <formula>"CS1"</formula>
    </cfRule>
    <cfRule type="cellIs" dxfId="140" priority="16" operator="equal">
      <formula>"CS2"</formula>
    </cfRule>
    <cfRule type="cellIs" dxfId="141" priority="17" operator="equal">
      <formula>"SB1"</formula>
    </cfRule>
    <cfRule type="cellIs" dxfId="142" priority="18" operator="equal">
      <formula>"SB2"</formula>
    </cfRule>
    <cfRule type="cellIs" dxfId="143" priority="19" operator="equal">
      <formula>"AE"</formula>
    </cfRule>
    <cfRule type="cellIs" dxfId="137" priority="20" operator="equal">
      <formula>"DB"</formula>
    </cfRule>
    <cfRule type="containsText" dxfId="144" priority="21" operator="between" text="$AM">
      <formula>NOT(ISERROR(SEARCH("$AM",B5)))</formula>
    </cfRule>
    <cfRule type="containsText" dxfId="145" priority="22" operator="between" text="$PM">
      <formula>NOT(ISERROR(SEARCH("$PM",B5)))</formula>
    </cfRule>
    <cfRule type="containsText" dxfId="146" priority="23" operator="between" text="$L">
      <formula>NOT(ISERROR(SEARCH("$L",B5)))</formula>
    </cfRule>
    <cfRule type="containsText" dxfId="147" priority="24" operator="between" text="$BTP">
      <formula>NOT(ISERROR(SEARCH("$BTP",B5)))</formula>
    </cfRule>
    <cfRule type="containsText" dxfId="148" priority="25" operator="between" text="$M">
      <formula>NOT(ISERROR(SEARCH("$M",B5)))</formula>
    </cfRule>
    <cfRule type="containsText" dxfId="149" priority="26" operator="between" text="$N">
      <formula>NOT(ISERROR(SEARCH("$N",B5)))</formula>
    </cfRule>
    <cfRule type="containsText" dxfId="150" priority="27" operator="between" text="$FC">
      <formula>NOT(ISERROR(SEARCH("$FC",B5)))</formula>
    </cfRule>
    <cfRule type="containsText" dxfId="151" priority="28" operator="between" text="OAL">
      <formula>NOT(ISERROR(SEARCH("OAL",B5)))</formula>
    </cfRule>
    <cfRule type="containsText" dxfId="152" priority="29" operator="between" text="S+">
      <formula>NOT(ISERROR(SEARCH("S+",B5)))</formula>
    </cfRule>
    <cfRule type="containsText" dxfId="153" priority="30" operator="between" text="EX-D">
      <formula>NOT(ISERROR(SEARCH("EX-D",B5)))</formula>
    </cfRule>
  </conditionalFormatting>
  <conditionalFormatting sqref="D5 E5:E9 F5:F12 G5:G11 I5:L5 M5:M9 N5:N7 O5:O6 P5:P8 Q5 V5:W5 Z5:AA5 AB5:AB6 AC5:AD5 C6:C7 H6:H28 T6:T7 J7:J8 K7 V7:V23 W7:Z7 AA7:AA10 AC7:AC8 AF7:AF8 AG7:AG10 S8:S9 U8:U9 AB8 AD8:AE8 C9:C27 D9 N9 Q9:R11 W9 Y9:Y26 Z9 I10:I27 J10:J12 T10:T12 AB10:AB27 AC10:AD12 AE10:AE22 AF10:AF11 D11:D12 E11:E21 K11:K22 L11:L12 M11 N11:O12 P11 S11 U11:U22 W11:W26 X11:X23 Z11:Z22 AA12:AA22 AG12 G13:G21 M13:M21 P13:P21 Q13:Q27 R13:R21 S13:S19 O14:O22 T14:T15 AC14:AC15 AD14:AD22 AF14:AF15 AG14:AG21 L19 S21:S25 D22:D30 F22:F27 L22:L30 E23:E26 M23:M33 N23:N25 P23:P28 R23:R32 T23 AF23:AF25 AG23:AG26 G24:G30 K24:K27 O24:O25 U24:U27 AA24:AA27 AC24:AC35 AD24:AE25 J25 T25 V25:V26 X25 J27:J28 N27 O27:O32 S27 T27:T31 X27 Z27:Z29 AD27 E28:E29 AE28:AE32 C29 F29:F31 I29 N29 V29:V35 W29 X29:X30 AA29:AA30 AD29:AD33 AF29:AF34 AG29 J30:J32 Q30:Q31 S30:S32 U30 AB30:AB32 E31:E32 H31:I32 N31:N32 P31 W31:W37 AG31 C32 D32:D34 G32 K32:L32 Y32:AA32 C34 F34 G34:G35 K34:K35 L34 N34 O34:O35 P34:Q34 R34:R37 S34 U34 X34 AB34 AE34 I35 J35:J42 T35 C36 E36:E56 F36 H36 L36 M36:M37 S36:S38 X36:X37 Z36 AA36:AB42 AD36:AD38 N37:N40 O37 Y37 AE37:AE39 AF37:AF38 F38:F39 G38:G40 P38 T38:T40 U38:V38 AC38:AC40 AG38 H39:I39 K39:K42 L39:L57 M39:M42 R39 C40:C62 O40:P40 V40 W40:W57 X40:X62 Z40:Z42 H41:H43 I41:I42 S41:S43 AE41:AE46 D42 F42:F43 G42 O42:O44 T42:T43 U42 V42:V58 Y42:Y43 AC42:AD59 Q43:R43 AF43 M44:M56 Z44:AA56 AB44:AB59 K45:K57 R45:R56 D46 F46:G46 H46:H59 I46:J46 N46:P46 Q46:Q56 S46:U46 Y46 AF46:AG46 B48:B54 D48:D55 F48:G55 I48:J55 N48:P55 S48:U55 Y48:Y55 AE48:AG55 S57 E58:E59 M58:M62 Y58:Y62 Z58:Z72 AA58:AA59 AF58:AF59 L59:L63 Q59:Q62 W59:W62 K60:K62 AE60:AE63 D61:J62 N61:P62 R61:R62 S61 T61:V62 AA61:AA69 AB61:AD76 AF61:AG61 F65 H65:H67 L65 R66 K67 AF67 L68:L69 T68 Y68 AE68:AE70 C69 H69:H72 AG69 S70 Y70 K71 AA71:AA72 Q72:R72 AE72:AE76 L74:L76 Z74:Z76 C75:K76 M75:N76 R75:R76 V75:X76 AA75:AA76 O76:Q76 S76:U76 Y76 AF76:AG76">
    <cfRule type="expression" dxfId="136" priority="31">
      <formula>WEEKDAY(#REF!,2)&gt;5</formula>
    </cfRule>
  </conditionalFormatting>
  <conditionalFormatting sqref="D5 E5:E9 F5:F12 G5:G11 I5:K5 L5:L6 M5:M9 N5:N7 O5:O6 P5:P8 Q5 S5:S6 V5:V36 W5 Y5:Z7 AA5:AA10 AB5:AB8 AC5 AD5:AD6 C6:C7 H6:H28 T6:T7 U6 X6:X8 J7:J8 K7 W7 AC7:AC8 AF7:AF8 AG7:AG10 O8 Q8:Q11 S8:S9 U8:U9 AD8:AE8 C9:C27 D9 N9 R9:R11 W9 Y9:Y56 Z9:Z22 I10:I27 J10:J21 T10:T12 AB10:AC59 AD10:AD33 AE10:AE22 AF10:AF12 D11:D12 E11:E26 K11:K22 L11:L12 M11 N11:N12 O11:O25 P11 S11 U11:U22 W11:W26 X11:X23 AA12:AA59 AG12 G13:G21 M13:M33 P13:P28 Q13:Q27 R13:R21 S13:S19 T14:T15 AF14:AF15 AG14:AG33 L19 S21:S32 D22:D30 F22:F27 L22:L30 N22:N25 AF22:AF34 J23 R23:R32 T23 G24:G30 K24:K29 U24:U28 Z24:Z30 AE24:AE34 J25 T25 X25:X27 J27:J32 N27:N29 O27:O32 T27:T31 C29 E29 F29:F31 I29 Q29:Q31 W29 X29:X37 U30 E31:E32 H31:I32 N31:N32 P31:P32 W31:W37 C32 D32:D34 G32 K32:L32 Z32:Z72 T33 U33:U34 C34 F34 G34:G35 K34:K35 L34 N34 O34:O35 P34:S34 I35 J35:J58 T35 C36 E36:E56 F36 H36 L36 M36:M37 R36:R37 S36:S38 AD36:AD38 AF36:AF38 N37:N40 O37:O38 AE37:AE46 F38:F39 G38:G40 K38:K42 P38 T38:T40 U38:V38 AG38 H39:I39 L39:L57 M39:M42 R39 C40:C62 O40:P40 V40:V58 W40:W57 X40:X62 AD40:AD59 AF40 AG40:AG41 H41:H43 I41:I42 S41:S43 D42 F42:F43 G42 O42:O55 T42:T43 U42 AF42:AF43 Q43:R43 M44:M56 K45:K57 P45:P46 Q45:Q56 R45:R57 S45:U46 AF45:AG46 D46 F46:G46 H46:H59 I46 N46 B48:B54 D48:D55 F48:G55 I48:I55 N48:N55 P48:P55 S48:U55 AE48:AG55 N57 S57 E58:E59 M58:M62 U58 Y58:Y62 AF58:AF59 L59:L63 Q59:Q62 W59:W62 J60:K62 AE60:AE63 D61:I62 N61:P62 R61:R62 S61 T61:T62 U61:U66 V61:V62 AA61:AA69 AB61:AD76 AF61:AG61 F65 H65:H67 L65 R66 K67 AF67 L68:L69 T68:U68 Y68 AE68:AE70 AG68:AG69 H69:H72 S70 U70:U79 Y70 K71 AA71:AA76 Q72:R72 Y72:Y73 AE72:AE76 L74:L76 Z74:Z76 C75:K76 M75:T76 V75:Y76 AF75:AG76">
    <cfRule type="cellIs" dxfId="137" priority="35" operator="equal">
      <formula>"B"</formula>
    </cfRule>
    <cfRule type="cellIs" dxfId="137" priority="36" operator="equal">
      <formula>"AL"</formula>
    </cfRule>
    <cfRule type="cellIs" dxfId="138" priority="37" operator="equal">
      <formula>"DM"</formula>
    </cfRule>
    <cfRule type="cellIs" dxfId="139" priority="38" operator="equal">
      <formula>"CS1"</formula>
    </cfRule>
    <cfRule type="cellIs" dxfId="140" priority="39" operator="equal">
      <formula>"CS2"</formula>
    </cfRule>
    <cfRule type="cellIs" dxfId="141" priority="40" operator="equal">
      <formula>"SB1"</formula>
    </cfRule>
    <cfRule type="cellIs" dxfId="142" priority="41" operator="equal">
      <formula>"SB2"</formula>
    </cfRule>
    <cfRule type="cellIs" dxfId="143" priority="42" operator="equal">
      <formula>"AE"</formula>
    </cfRule>
    <cfRule type="cellIs" dxfId="137" priority="44" operator="equal">
      <formula>"DB"</formula>
    </cfRule>
    <cfRule type="containsText" dxfId="144" priority="45" operator="between" text="$AM">
      <formula>NOT(ISERROR(SEARCH("$AM",B5)))</formula>
    </cfRule>
    <cfRule type="containsText" dxfId="145" priority="46" operator="between" text="$PM">
      <formula>NOT(ISERROR(SEARCH("$PM",B5)))</formula>
    </cfRule>
    <cfRule type="containsText" dxfId="146" priority="47" operator="between" text="$L">
      <formula>NOT(ISERROR(SEARCH("$L",B5)))</formula>
    </cfRule>
    <cfRule type="containsText" dxfId="147" priority="48" operator="between" text="$BTP">
      <formula>NOT(ISERROR(SEARCH("$BTP",B5)))</formula>
    </cfRule>
    <cfRule type="containsText" dxfId="148" priority="49" operator="between" text="$M">
      <formula>NOT(ISERROR(SEARCH("$M",B5)))</formula>
    </cfRule>
    <cfRule type="containsText" dxfId="149" priority="50" operator="between" text="$N">
      <formula>NOT(ISERROR(SEARCH("$N",B5)))</formula>
    </cfRule>
    <cfRule type="containsText" dxfId="150" priority="51" operator="between" text="$FC">
      <formula>NOT(ISERROR(SEARCH("$FC",B5)))</formula>
    </cfRule>
    <cfRule type="containsText" dxfId="151" priority="52" operator="between" text="OAL">
      <formula>NOT(ISERROR(SEARCH("OAL",B5)))</formula>
    </cfRule>
    <cfRule type="containsText" dxfId="152" priority="53" operator="between" text="S+">
      <formula>NOT(ISERROR(SEARCH("S+",B5)))</formula>
    </cfRule>
    <cfRule type="containsText" dxfId="153" priority="54" operator="between" text="EX-D">
      <formula>NOT(ISERROR(SEARCH("EX-D",B5)))</formula>
    </cfRule>
    <cfRule type="expression" dxfId="136" priority="55">
      <formula>WEEKDAY(#REF!,2)&gt;5</formula>
    </cfRule>
  </conditionalFormatting>
  <conditionalFormatting sqref="BO5:BP79">
    <cfRule type="cellIs" dxfId="155" priority="64" operator="lessThan">
      <formula>1</formula>
    </cfRule>
  </conditionalFormatting>
  <conditionalFormatting sqref="W7:Z7 U8 G9 T10 Y10 AA10 AA12 AG12 Z13:Z19 Z21 V22 V25 X25 W29 AC29 X30 S32 AE32 AB34 AD36 S37 W40 S42 AF43 S57 Z61:Z62 S70">
    <cfRule type="expression" dxfId="136" priority="32">
      <formula>WEEKDAY(Y$3,2)&gt;5</formula>
    </cfRule>
  </conditionalFormatting>
  <conditionalFormatting sqref="W7:Z7 U8 Z9 T10 Y10 AA10 AA12 AG12 Z13:Z19 Z21 V22 V25 X25 W29 AC29 X30 AE32 AB34 AD36 S37 W40 S42 AF43 U58 Z61:Z62 U63:U66 U68 U70:U79">
    <cfRule type="expression" dxfId="136" priority="33">
      <formula>WEEKDAY(X$3,2)&gt;5</formula>
    </cfRule>
  </conditionalFormatting>
  <conditionalFormatting sqref="C9 G9 C23:F23 S23 R25 S32 C34:D34 F34:G34 R35 S57 S70">
    <cfRule type="expression" dxfId="136" priority="34">
      <formula>WEEKDAY(U$3,2)&gt;5</formula>
    </cfRule>
  </conditionalFormatting>
  <conditionalFormatting sqref="D9 E25 F31 G35">
    <cfRule type="expression" dxfId="136" priority="5">
      <formula>WEEKDAY(F$3,2)&gt;5</formula>
    </cfRule>
  </conditionalFormatting>
  <conditionalFormatting sqref="D9 H23 E25 T27 G28:H28 M28 R29 F31 H32 G35">
    <cfRule type="expression" dxfId="136" priority="10">
      <formula>WEEKDAY(E$3,2)&gt;5</formula>
    </cfRule>
  </conditionalFormatting>
  <conditionalFormatting sqref="D26:E26 C29">
    <cfRule type="expression" dxfId="136" priority="11">
      <formula>WEEKDAY(E$3,2)&gt;5</formula>
    </cfRule>
  </conditionalFormatting>
  <conditionalFormatting sqref="AC57 AB65 AD67">
    <cfRule type="cellIs" dxfId="1735" priority="79" operator="equal">
      <formula>"CS"</formula>
    </cfRule>
  </conditionalFormatting>
  <dataValidations count="4">
    <dataValidation type="list" allowBlank="1" sqref="E2 P30 Z31 B32 D40 K44 AE57:AG57 F58:G58 S58 S59:T59 AG59 E60 AA60:AD60 AF62:AG62 C63:U63 C64 E64 I64:J64 L64 N64:O64 S64:U64 X64:Y64 AE64:AG64 C65:E65 H65:I65 K65:L65 N65 P65 AF65:AG65 J66:L66 N66:P66 R66 T66:U66 AC66:AF66 D67:E67 G67:H67 J67 M67 O67 W67 C68:G68 I68:K68 N68:P68 S68 U68 Y68 D69:L69 N69:O69 S69:T69 X69:AD69 E70:L70 N70:P70 T70 X70 AF70:AG70 G71:AG71 G72:L72 N72 P72 AF72 N73:O73 Z73 AF73:AG73 C74:G74 N74 P74 S74 X74:Z74 AC74:AG74 AF75 C77 E77:H77 J77 N77 U77:V77 X77 B5:B8 B10:B23 B25:B26 B28:B30 B61:B62 C70:C73 E71:E73 J59:J60 S78:S79 U74:U75 X72:X73 Y59:Y60 C78:L79 I73:L74 N78:P79 S72:U73 U78:AG79" showDropDown="1">
      <formula1>'Setting key Duty'!$B$7:$B$56</formula1>
    </dataValidation>
    <dataValidation type="custom" allowBlank="1" sqref="D5 J5 U5 AA5:AE5 L6 AB6 F7:H7 P7 W7:Z7 AG7 S8 AB8:AC8 AF8:AG8 E9:G9 N9 AA9 E10 L10 T10 C11:Z11 C12:E12 J12:L12 N12:P12 T12 V12 X12:Z12 AD12 N13 Q13:S13 U13:Y13 N16:O16 Q16:S16 N17 P17:S17 J19:L19 U19:W19 Y19 Q20:R20 Q21:S21 C22:F22 J22 L22:Q22 S22 V22:W22 AF22:AG22 C23:I23 N23:Q23 S23:T23 AA23:AB23 AD23:AG23 C24:P24 S24 X24 AA24:AG24 C25:D25 G25 M25 T25:V25 X25:Z25 AB25:AE25 AG25 D26:F26 L26:M26 Q26:R26 T26:AA26 AC26:AE26 C27:D27 G27:I27 T27:U27 X27 AA27 AE27:AG27 D28:H28 J28:L28 N28:V28 X28:AG28 N29:O29 Q29:R29 T29 W29:Z29 AB29 AD29 AF29:AG29 I30 Q30 S30:U30 W30 AA30 AD30:AG30 I31:J31 M31:T31 V31 AC31 AE31 C32:H32 K32:M32 O32 V32:W32 Z32:AC32 AE32:AG32 C33:D33 G33:H33 J33:N33 Q33 S33 U33:V33 Z33:AB33 AE33 E34:H34 M34 O34 U34 AA34 C35:E35 I35:M35 O35:P35 S35:T35 Y35:AB35 AF35 C36 E36:I36 L36:M36 O36 Q36 T36:U36 W36 Y36 AA36 E37:G37 N37 Q37:R37 X37:Z37 AG37 C38 E38:F38 P38:V38 X38 E39:G39 J39:M39 S39 Y39:Z39 AB39 AG39 E40:F40 H40 K40 M40:Q40 T40 E41:G41 J41:M41 AA41:AB41 AE41 AG41 C42:M42 P42 AF42:AG42 H43 J43 O43 Q43 V43:Y43 L44:O44 V44 X44:Y44 AC44:AE44 L45:N45 C46:AG46 AG47 C56:O56 S56:W56 Y56 AE56:AG56 G57:J57 O57 U57:W57 C58 E58 H58:O58 T58 V58 AG58 D59:F59 H59 L59:M59 O59:Q59 W59 C60:D60 I60 K60:N60 S60 Z60 AF60:AG60 C61:AG61 C62:Q62 T62:U62 W62:Z62 AB62 AE62 F65 C66 Q66 AG66 K67 N67 T68 AG68 Y70 Q72 T74 C75:N75 S75 AB75 C76:AG76 C8:C10 C13:C21 E13:E21 G29:G30 I44:I45 J25:J26 O5:O6 O25:O27 T78:T79 U59:U60 V8:V9 Y9:Y10 Y22:Y23 AE72:AE73 AF16:AF21 AG33:AG34 AG43:AG44 Q18:S19 C29:E31 C43:F45 J13:K18 J20:K21 J37:L38 N14:AG15 N18:O21 Q9:R10 Y57:Z58 S42:T44 U16:Y18 U20:Y21 AC36:AD37">
      <formula1>NOT(ISERROR(SEARCH((#REF!),(C5))))</formula1>
    </dataValidation>
    <dataValidation type="list" allowBlank="1" sqref="J7 V7 U8 T9 AG9 K10 AA10 AB11 AA12 AG12 M13 Z13 AA20 Z21:AA21 AA22:AB22 AD22:AE22 L23 V23 E25 AF25 S26 AC27:AD27 AC29 AE29 M30 X30 F31 AD31 AG31 R32:S32 O33 AC33 AF33 AB34:AE34 G35 AC35 Z36 S37 AE37 N39 L40 Z40 AB40:AC40 W41:X41 O42 Y42 AA42 AF43 Z44 Q56 Z56:AD56 S57 AC57 AB58:AC58 C59 AA59:AB59 AD59 Q60 AE60 AC62:AD62 AC64 AB65 AE68 S70 AC70:AE70 D8:D9 M15:M21 X22:X23 AD16:AD18 AD20:AD21 AF58:AF59 AG16:AG21 Z16:AA19" showDropDown="1">
      <formula1>'Setting key Duty'!$B$7:$B$54</formula1>
    </dataValidation>
    <dataValidation type="list" allowBlank="1" sqref="C47:AF47 C48:AG55 C80:AG85" showDropDown="1">
      <formula1>'Setting key Duty'!$B$7:$B$23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BP95"/>
  <sheetViews>
    <sheetView showGridLines="0" tabSelected="1" zoomScale="55" zoomScaleNormal="55" workbookViewId="0">
      <pane xSplit="2" ySplit="4" topLeftCell="C28" activePane="bottomRight" state="frozen"/>
      <selection/>
      <selection pane="topRight"/>
      <selection pane="bottomLeft"/>
      <selection pane="bottomRight" activeCell="M42" sqref="M42"/>
    </sheetView>
  </sheetViews>
  <sheetFormatPr defaultColWidth="12.6285714285714" defaultRowHeight="15.75" customHeight="1"/>
  <cols>
    <col min="1" max="1" width="2.13333333333333" customWidth="1"/>
    <col min="2" max="2" width="29.752380952381" customWidth="1"/>
    <col min="3" max="8" width="9.24761904761905" customWidth="1"/>
    <col min="9" max="9" width="10.1333333333333" customWidth="1"/>
    <col min="10" max="11" width="9.24761904761905" customWidth="1"/>
    <col min="12" max="12" width="9.38095238095238" customWidth="1"/>
    <col min="13" max="13" width="9.75238095238095" customWidth="1"/>
    <col min="14" max="14" width="9.24761904761905" customWidth="1"/>
    <col min="15" max="15" width="10" customWidth="1"/>
    <col min="16" max="16" width="10.752380952381" customWidth="1"/>
    <col min="17" max="17" width="10.247619047619" customWidth="1"/>
    <col min="18" max="18" width="10.1333333333333" customWidth="1"/>
    <col min="19" max="19" width="9.5047619047619" customWidth="1"/>
    <col min="20" max="20" width="10" customWidth="1"/>
    <col min="21" max="23" width="9.24761904761905" customWidth="1"/>
    <col min="24" max="24" width="12.8761904761905" customWidth="1"/>
    <col min="25" max="26" width="9.24761904761905" customWidth="1"/>
    <col min="27" max="27" width="10.5047619047619" customWidth="1"/>
    <col min="28" max="30" width="9.24761904761905" customWidth="1"/>
    <col min="31" max="31" width="10.5047619047619" customWidth="1"/>
    <col min="32" max="33" width="9.38095238095238" customWidth="1"/>
    <col min="34" max="40" width="9.38095238095238" hidden="1" customWidth="1" outlineLevel="1"/>
    <col min="41" max="41" width="12" hidden="1" customWidth="1" outlineLevel="1"/>
    <col min="42" max="42" width="9.38095238095238" hidden="1" customWidth="1" outlineLevel="1"/>
    <col min="43" max="43" width="6.75238095238095" customWidth="1" collapsed="1"/>
    <col min="44" max="44" width="6.75238095238095" customWidth="1"/>
    <col min="45" max="45" width="8.87619047619048" customWidth="1" outlineLevel="1"/>
    <col min="46" max="47" width="7.87619047619048" customWidth="1" outlineLevel="1"/>
    <col min="48" max="48" width="9.13333333333333" customWidth="1" outlineLevel="1"/>
    <col min="49" max="49" width="8.24761904761905" customWidth="1" outlineLevel="1"/>
    <col min="50" max="50" width="5.5047619047619" customWidth="1" outlineLevel="1"/>
    <col min="51" max="53" width="9.38095238095238" customWidth="1"/>
    <col min="54" max="64" width="9.38095238095238" hidden="1" customWidth="1" outlineLevel="1"/>
    <col min="65" max="65" width="9.38095238095238" customWidth="1" collapsed="1"/>
    <col min="66" max="66" width="9.5047619047619" customWidth="1"/>
    <col min="67" max="68" width="9.38095238095238" customWidth="1"/>
  </cols>
  <sheetData>
    <row r="1" ht="3" customHeight="1" spans="1:68">
      <c r="A1" s="44" t="s">
        <v>865</v>
      </c>
      <c r="B1" s="45" t="s">
        <v>0</v>
      </c>
      <c r="C1" s="46" t="str">
        <f>IFERROR(CONCATENATE("
  Enter ",'Setting key Duty'!$B$7," for ",'Setting key Duty'!$C$7,", ",'Setting key Duty'!$B$8," for ",'Setting key Duty'!$C$8,", ",'Setting key Duty'!$B$9," for ",'Setting key Duty'!$C$9,", and ",'Setting key Duty'!$B$11," for ",'Setting key Duty'!$C$11,". Use the 'Setting key' tab to customise. Change Date on highlighted cell
"),"")</f>
        <v>
  Enter DM for DM, CS1 for CS1, CS2 for CS2, and SB1 for SB1. Use the 'Setting key' tab to customise. Change Date on highlighted cell
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</row>
    <row r="2" ht="26.25" customHeight="1" spans="1:68">
      <c r="A2" s="51"/>
      <c r="B2" s="52" t="s">
        <v>1</v>
      </c>
      <c r="C2" s="52"/>
      <c r="D2" s="53" t="s">
        <v>925</v>
      </c>
      <c r="E2" s="54" t="s">
        <v>926</v>
      </c>
      <c r="F2" s="52"/>
      <c r="G2" s="55"/>
      <c r="H2" s="52"/>
      <c r="I2" s="52"/>
      <c r="J2" s="52"/>
      <c r="K2" s="52"/>
      <c r="L2" s="52"/>
      <c r="M2" s="52"/>
      <c r="N2" s="55"/>
      <c r="O2" s="52"/>
      <c r="P2" s="52"/>
      <c r="Q2" s="52"/>
      <c r="R2" s="52"/>
      <c r="S2" s="52"/>
      <c r="T2" s="56"/>
      <c r="U2" s="57"/>
      <c r="V2" s="58"/>
      <c r="W2" s="52"/>
      <c r="X2" s="52"/>
      <c r="Y2" s="52"/>
      <c r="Z2" s="52"/>
      <c r="AA2" s="52"/>
      <c r="AB2" s="55"/>
      <c r="AC2" s="52"/>
      <c r="AD2" s="52"/>
      <c r="AE2" s="52"/>
      <c r="AF2" s="52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60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</row>
    <row r="3" ht="26.25" customHeight="1" spans="1:68">
      <c r="A3" s="51"/>
      <c r="B3" s="52" t="s">
        <v>21</v>
      </c>
      <c r="C3" s="61">
        <v>46204</v>
      </c>
      <c r="D3" s="62">
        <f t="shared" ref="D3:AG3" si="0">C3+1</f>
        <v>46205</v>
      </c>
      <c r="E3" s="62">
        <f t="shared" si="0"/>
        <v>46206</v>
      </c>
      <c r="F3" s="62">
        <f t="shared" si="0"/>
        <v>46207</v>
      </c>
      <c r="G3" s="62">
        <f t="shared" si="0"/>
        <v>46208</v>
      </c>
      <c r="H3" s="62">
        <f t="shared" si="0"/>
        <v>46209</v>
      </c>
      <c r="I3" s="62">
        <f t="shared" si="0"/>
        <v>46210</v>
      </c>
      <c r="J3" s="62">
        <f t="shared" si="0"/>
        <v>46211</v>
      </c>
      <c r="K3" s="62">
        <f t="shared" si="0"/>
        <v>46212</v>
      </c>
      <c r="L3" s="62">
        <f t="shared" si="0"/>
        <v>46213</v>
      </c>
      <c r="M3" s="62">
        <f t="shared" si="0"/>
        <v>46214</v>
      </c>
      <c r="N3" s="62">
        <f t="shared" si="0"/>
        <v>46215</v>
      </c>
      <c r="O3" s="62">
        <f t="shared" si="0"/>
        <v>46216</v>
      </c>
      <c r="P3" s="62">
        <f t="shared" si="0"/>
        <v>46217</v>
      </c>
      <c r="Q3" s="62">
        <f t="shared" si="0"/>
        <v>46218</v>
      </c>
      <c r="R3" s="62">
        <f t="shared" si="0"/>
        <v>46219</v>
      </c>
      <c r="S3" s="62">
        <f t="shared" si="0"/>
        <v>46220</v>
      </c>
      <c r="T3" s="63">
        <f t="shared" si="0"/>
        <v>46221</v>
      </c>
      <c r="U3" s="62">
        <f t="shared" si="0"/>
        <v>46222</v>
      </c>
      <c r="V3" s="64">
        <f t="shared" si="0"/>
        <v>46223</v>
      </c>
      <c r="W3" s="62">
        <f t="shared" si="0"/>
        <v>46224</v>
      </c>
      <c r="X3" s="62">
        <f t="shared" si="0"/>
        <v>46225</v>
      </c>
      <c r="Y3" s="62">
        <f t="shared" si="0"/>
        <v>46226</v>
      </c>
      <c r="Z3" s="62">
        <f t="shared" si="0"/>
        <v>46227</v>
      </c>
      <c r="AA3" s="62">
        <f t="shared" si="0"/>
        <v>46228</v>
      </c>
      <c r="AB3" s="62">
        <f t="shared" si="0"/>
        <v>46229</v>
      </c>
      <c r="AC3" s="62">
        <f t="shared" si="0"/>
        <v>46230</v>
      </c>
      <c r="AD3" s="62">
        <f t="shared" si="0"/>
        <v>46231</v>
      </c>
      <c r="AE3" s="62">
        <f t="shared" si="0"/>
        <v>46232</v>
      </c>
      <c r="AF3" s="62">
        <f t="shared" si="0"/>
        <v>46233</v>
      </c>
      <c r="AG3" s="62">
        <f t="shared" si="0"/>
        <v>46234</v>
      </c>
      <c r="AH3" s="59" t="str">
        <f>'Setting key Duty'!$C7</f>
        <v>DM</v>
      </c>
      <c r="AI3" s="59" t="str">
        <f>'Setting key Duty'!$C8</f>
        <v>CS1</v>
      </c>
      <c r="AJ3" s="59" t="str">
        <f>'Setting key Duty'!$C9</f>
        <v>CS2</v>
      </c>
      <c r="AK3" s="59" t="str">
        <f>'Setting key Duty'!$C10</f>
        <v>CS/B</v>
      </c>
      <c r="AL3" s="59" t="str">
        <f>'Setting key Duty'!$C11</f>
        <v>SB1</v>
      </c>
      <c r="AM3" s="59" t="str">
        <f>'Setting key Duty'!$C12</f>
        <v>SB2</v>
      </c>
      <c r="AN3" s="59" t="str">
        <f>'Setting key Duty'!$C13</f>
        <v>AE</v>
      </c>
      <c r="AO3" s="59" t="str">
        <f>'Setting key Duty'!$C16</f>
        <v>Outfield Reserve</v>
      </c>
      <c r="AP3" s="59" t="str">
        <f>'Setting key Duty'!C14</f>
        <v>EM</v>
      </c>
      <c r="AQ3" s="65" t="s">
        <v>559</v>
      </c>
      <c r="AR3" s="65" t="s">
        <v>560</v>
      </c>
      <c r="AS3" s="59" t="s">
        <v>22</v>
      </c>
      <c r="AT3" s="59" t="s">
        <v>23</v>
      </c>
      <c r="AU3" s="59" t="s">
        <v>561</v>
      </c>
      <c r="AV3" s="59" t="s">
        <v>24</v>
      </c>
      <c r="AW3" s="59" t="s">
        <v>25</v>
      </c>
      <c r="AX3" s="59" t="s">
        <v>26</v>
      </c>
      <c r="AY3" s="59" t="s">
        <v>27</v>
      </c>
      <c r="AZ3" s="59" t="s">
        <v>28</v>
      </c>
      <c r="BA3" s="66" t="s">
        <v>29</v>
      </c>
      <c r="BB3" s="59" t="s">
        <v>30</v>
      </c>
      <c r="BC3" s="59" t="s">
        <v>32</v>
      </c>
      <c r="BD3" s="59" t="s">
        <v>33</v>
      </c>
      <c r="BE3" s="59" t="s">
        <v>36</v>
      </c>
      <c r="BF3" s="59" t="s">
        <v>37</v>
      </c>
      <c r="BG3" s="59" t="s">
        <v>39</v>
      </c>
      <c r="BH3" s="59" t="s">
        <v>40</v>
      </c>
      <c r="BI3" s="59" t="s">
        <v>41</v>
      </c>
      <c r="BJ3" s="59" t="s">
        <v>42</v>
      </c>
      <c r="BK3" s="59" t="str">
        <f>'Setting key Duty'!C52</f>
        <v>Field Camp</v>
      </c>
      <c r="BL3" s="59" t="s">
        <v>43</v>
      </c>
      <c r="BM3" s="59" t="str">
        <f>'Setting key Duty'!$C15</f>
        <v>Block</v>
      </c>
      <c r="BN3" s="59" t="str">
        <f>'Setting key Duty'!C17</f>
        <v>Reserve</v>
      </c>
      <c r="BO3" s="59" t="str">
        <f>'Setting key Duty'!$C22</f>
        <v>AL</v>
      </c>
      <c r="BP3" s="59"/>
    </row>
    <row r="4" ht="18" customHeight="1" spans="1:68">
      <c r="A4" s="67"/>
      <c r="B4" s="68" t="s">
        <v>156</v>
      </c>
      <c r="C4" s="69" t="str">
        <f t="shared" ref="C4:AG4" si="1">TEXT(C3,"ddd")</f>
        <v>Wed</v>
      </c>
      <c r="D4" s="70" t="str">
        <f t="shared" si="1"/>
        <v>Thu</v>
      </c>
      <c r="E4" s="70" t="str">
        <f t="shared" si="1"/>
        <v>Fri</v>
      </c>
      <c r="F4" s="70" t="str">
        <f t="shared" si="1"/>
        <v>Sat</v>
      </c>
      <c r="G4" s="70" t="str">
        <f t="shared" si="1"/>
        <v>Sun</v>
      </c>
      <c r="H4" s="70" t="str">
        <f t="shared" si="1"/>
        <v>Mon</v>
      </c>
      <c r="I4" s="70" t="str">
        <f t="shared" si="1"/>
        <v>Tue</v>
      </c>
      <c r="J4" s="70" t="str">
        <f t="shared" si="1"/>
        <v>Wed</v>
      </c>
      <c r="K4" s="70" t="str">
        <f t="shared" si="1"/>
        <v>Thu</v>
      </c>
      <c r="L4" s="70" t="str">
        <f t="shared" si="1"/>
        <v>Fri</v>
      </c>
      <c r="M4" s="70" t="str">
        <f t="shared" si="1"/>
        <v>Sat</v>
      </c>
      <c r="N4" s="70" t="str">
        <f t="shared" si="1"/>
        <v>Sun</v>
      </c>
      <c r="O4" s="70" t="str">
        <f t="shared" si="1"/>
        <v>Mon</v>
      </c>
      <c r="P4" s="70" t="str">
        <f t="shared" si="1"/>
        <v>Tue</v>
      </c>
      <c r="Q4" s="70" t="str">
        <f t="shared" si="1"/>
        <v>Wed</v>
      </c>
      <c r="R4" s="70" t="str">
        <f t="shared" si="1"/>
        <v>Thu</v>
      </c>
      <c r="S4" s="70" t="str">
        <f t="shared" si="1"/>
        <v>Fri</v>
      </c>
      <c r="T4" s="69" t="str">
        <f t="shared" si="1"/>
        <v>Sat</v>
      </c>
      <c r="U4" s="70" t="str">
        <f t="shared" si="1"/>
        <v>Sun</v>
      </c>
      <c r="V4" s="71" t="str">
        <f t="shared" si="1"/>
        <v>Mon</v>
      </c>
      <c r="W4" s="70" t="str">
        <f t="shared" si="1"/>
        <v>Tue</v>
      </c>
      <c r="X4" s="70" t="str">
        <f t="shared" si="1"/>
        <v>Wed</v>
      </c>
      <c r="Y4" s="70" t="str">
        <f t="shared" si="1"/>
        <v>Thu</v>
      </c>
      <c r="Z4" s="70" t="str">
        <f t="shared" si="1"/>
        <v>Fri</v>
      </c>
      <c r="AA4" s="70" t="str">
        <f t="shared" si="1"/>
        <v>Sat</v>
      </c>
      <c r="AB4" s="70" t="str">
        <f t="shared" si="1"/>
        <v>Sun</v>
      </c>
      <c r="AC4" s="70" t="str">
        <f t="shared" si="1"/>
        <v>Mon</v>
      </c>
      <c r="AD4" s="70" t="str">
        <f t="shared" si="1"/>
        <v>Tue</v>
      </c>
      <c r="AE4" s="70" t="str">
        <f t="shared" si="1"/>
        <v>Wed</v>
      </c>
      <c r="AF4" s="70" t="str">
        <f t="shared" si="1"/>
        <v>Thu</v>
      </c>
      <c r="AG4" s="70" t="str">
        <f t="shared" si="1"/>
        <v>Fri</v>
      </c>
      <c r="AH4" s="68" t="str">
        <f>'Setting key Duty'!$B7</f>
        <v>DM</v>
      </c>
      <c r="AI4" s="68" t="str">
        <f>'Setting key Duty'!$B8</f>
        <v>CS1</v>
      </c>
      <c r="AJ4" s="68" t="str">
        <f>'Setting key Duty'!$B9</f>
        <v>CS2</v>
      </c>
      <c r="AK4" s="68" t="str">
        <f>'Setting key Duty'!$B10</f>
        <v>CS/B</v>
      </c>
      <c r="AL4" s="68" t="str">
        <f>'Setting key Duty'!$B11</f>
        <v>SB1</v>
      </c>
      <c r="AM4" s="68" t="str">
        <f>'Setting key Duty'!$B12</f>
        <v>SB2</v>
      </c>
      <c r="AN4" s="68" t="str">
        <f>'Setting key Duty'!$B13</f>
        <v>AE</v>
      </c>
      <c r="AO4" s="68" t="str">
        <f>'Setting key Duty'!$B16</f>
        <v>Outfield Reserve</v>
      </c>
      <c r="AP4" s="68" t="str">
        <f>'Setting key Duty'!B14</f>
        <v>EM</v>
      </c>
      <c r="AQ4" s="72"/>
      <c r="AR4" s="72"/>
      <c r="AS4" s="68"/>
      <c r="AT4" s="68"/>
      <c r="AU4" s="68"/>
      <c r="AV4" s="68"/>
      <c r="AW4" s="68"/>
      <c r="AX4" s="68"/>
      <c r="AY4" s="68"/>
      <c r="AZ4" s="68"/>
      <c r="BA4" s="73"/>
      <c r="BB4" s="68"/>
      <c r="BC4" s="68" t="s">
        <v>46</v>
      </c>
      <c r="BD4" s="68"/>
      <c r="BE4" s="68" t="s">
        <v>48</v>
      </c>
      <c r="BF4" s="68"/>
      <c r="BG4" s="68" t="s">
        <v>50</v>
      </c>
      <c r="BH4" s="68"/>
      <c r="BI4" s="68" t="s">
        <v>51</v>
      </c>
      <c r="BJ4" s="68"/>
      <c r="BK4" s="68" t="str">
        <f>'Setting key Duty'!B52</f>
        <v>$FC</v>
      </c>
      <c r="BL4" s="68"/>
      <c r="BM4" s="68">
        <f>'Setting key Duty'!$B15</f>
        <v>0</v>
      </c>
      <c r="BN4" s="68" t="str">
        <f>'Setting key Duty'!B17</f>
        <v>RESERVE</v>
      </c>
      <c r="BO4" s="68" t="str">
        <f>'Setting key Duty'!$B22</f>
        <v>AL</v>
      </c>
      <c r="BP4" s="68"/>
    </row>
    <row r="5" ht="87" customHeight="1" spans="1:68">
      <c r="A5" s="67"/>
      <c r="B5" s="74" t="s">
        <v>927</v>
      </c>
      <c r="C5" s="53"/>
      <c r="D5" s="60"/>
      <c r="E5" s="53" t="s">
        <v>770</v>
      </c>
      <c r="F5" s="60"/>
      <c r="G5" s="60" t="s">
        <v>56</v>
      </c>
      <c r="H5" s="53"/>
      <c r="I5" s="60"/>
      <c r="J5" s="60" t="s">
        <v>69</v>
      </c>
      <c r="K5" s="60" t="s">
        <v>707</v>
      </c>
      <c r="L5" s="53"/>
      <c r="M5" s="53"/>
      <c r="N5" s="60"/>
      <c r="O5" s="60" t="s">
        <v>380</v>
      </c>
      <c r="P5" s="60" t="s">
        <v>380</v>
      </c>
      <c r="Q5" s="60" t="s">
        <v>57</v>
      </c>
      <c r="R5" s="53"/>
      <c r="S5" s="53" t="s">
        <v>162</v>
      </c>
      <c r="T5" s="53"/>
      <c r="U5" s="57"/>
      <c r="V5" s="53"/>
      <c r="W5" s="53"/>
      <c r="X5" s="53" t="s">
        <v>56</v>
      </c>
      <c r="Y5" s="53"/>
      <c r="Z5" s="53"/>
      <c r="AA5" s="60"/>
      <c r="AB5" s="60"/>
      <c r="AC5" s="60" t="s">
        <v>93</v>
      </c>
      <c r="AD5" s="60" t="s">
        <v>764</v>
      </c>
      <c r="AE5" s="75" t="s">
        <v>672</v>
      </c>
      <c r="AF5" s="53" t="s">
        <v>71</v>
      </c>
      <c r="AG5" s="53" t="s">
        <v>71</v>
      </c>
      <c r="AH5" s="67">
        <f t="shared" ref="AH5:AP5" si="2">COUNTIF($C5:$AF5,AH$4)</f>
        <v>1</v>
      </c>
      <c r="AI5" s="67">
        <f t="shared" si="2"/>
        <v>2</v>
      </c>
      <c r="AJ5" s="67">
        <f t="shared" si="2"/>
        <v>0</v>
      </c>
      <c r="AK5" s="67">
        <f t="shared" si="2"/>
        <v>0</v>
      </c>
      <c r="AL5" s="67">
        <f t="shared" si="2"/>
        <v>0</v>
      </c>
      <c r="AM5" s="67">
        <f t="shared" si="2"/>
        <v>1</v>
      </c>
      <c r="AN5" s="67">
        <f t="shared" si="2"/>
        <v>0</v>
      </c>
      <c r="AO5" s="67">
        <f t="shared" si="2"/>
        <v>0</v>
      </c>
      <c r="AP5" s="67">
        <f t="shared" si="2"/>
        <v>0</v>
      </c>
      <c r="AQ5" s="76"/>
      <c r="AR5" s="76">
        <v>1</v>
      </c>
      <c r="AS5" s="77">
        <f>SUMPRODUCT(--(WEEKDAY(C$3:AG$3,2)&lt;5),--ISNUMBER(MATCH(C5:AG5,{"DM","CS1","CS2","SB1","AE","CS/B"},0)))</f>
        <v>2</v>
      </c>
      <c r="AT5" s="77"/>
      <c r="AU5" s="77">
        <f>SUMPRODUCT(--(WEEKDAY(C$3:AG$3,2)=5),--ISNUMBER(MATCH(C5:AG5,{"DM","CS1","CS2","SB1","AE","CS/B","WEEKEND OUTFIELD RESERVE"},0)))</f>
        <v>0</v>
      </c>
      <c r="AV5" s="77">
        <f>SUMPRODUCT(--(WEEKDAY(C$3:AG$3,2)&gt;5),--ISNUMBER(MATCH(C5:AG5,{"DM","CS1","CS2","SB1","AE","CS/B","WEEKEND OUTFIELD RESERVE"},0)))</f>
        <v>1</v>
      </c>
      <c r="AW5" s="77"/>
      <c r="AX5" s="77">
        <f t="shared" ref="AX5:AX46" si="3">(AS5-AT5)+AU5*1.5+(AV5-AW5)*2+AM5*0.5+AO5*0.5+AQ5-AR5</f>
        <v>3.5</v>
      </c>
      <c r="AY5" s="77">
        <f t="shared" ref="AY5:AY46" si="4">AS5+AU5+AV5</f>
        <v>3</v>
      </c>
      <c r="AZ5" s="77">
        <f t="shared" ref="AZ5:AZ46" si="5">BC5+BE5+BG5+BI5+BK5</f>
        <v>0</v>
      </c>
      <c r="BA5" s="76">
        <f t="shared" ref="BA5:BA46" si="6">AX5+BB5</f>
        <v>3.5</v>
      </c>
      <c r="BB5" s="77">
        <f t="shared" ref="BB5:BB46" si="7">BD5+BF5+BH5+BJ5+BL5</f>
        <v>0</v>
      </c>
      <c r="BC5" s="77">
        <f t="shared" ref="BC5:BC46" si="8">COUNTIF(A5:AH5,"*$BTP*")</f>
        <v>0</v>
      </c>
      <c r="BD5" s="77">
        <f t="shared" ref="BD5:BD46" si="9">BC5*1.5</f>
        <v>0</v>
      </c>
      <c r="BE5" s="77">
        <f t="shared" ref="BE5:BE46" si="10">COUNTIF(A5:AH5,"*$M*")</f>
        <v>0</v>
      </c>
      <c r="BF5" s="77">
        <f t="shared" ref="BF5:BF46" si="11">BE5*1</f>
        <v>0</v>
      </c>
      <c r="BG5" s="77">
        <f t="shared" ref="BG5:BG46" si="12">COUNTIF(A5:AH5,"*$PM*")</f>
        <v>0</v>
      </c>
      <c r="BH5" s="77">
        <f t="shared" ref="BH5:BH46" si="13">BG5*0.5</f>
        <v>0</v>
      </c>
      <c r="BI5" s="77">
        <f t="shared" ref="BI5:BI46" si="14">COUNTIF(A5:AH5,"*$AM*")</f>
        <v>0</v>
      </c>
      <c r="BJ5" s="77">
        <f t="shared" ref="BJ5:BJ46" si="15">BI5*0.5</f>
        <v>0</v>
      </c>
      <c r="BK5" s="77">
        <f t="shared" ref="BK5:BK46" si="16">COUNTIF(A5:AH5,"*$FC*")</f>
        <v>0</v>
      </c>
      <c r="BL5" s="77">
        <f t="shared" ref="BL5:BL46" si="17">BK5*1</f>
        <v>0</v>
      </c>
      <c r="BM5" s="77">
        <f>COUNTIF($D5:$Z5,BM$4)</f>
        <v>0</v>
      </c>
      <c r="BN5" s="77">
        <f>COUNTIF($D5:$Z5,BN$4)</f>
        <v>0</v>
      </c>
      <c r="BO5" s="77">
        <f>COUNTIF($D5:$Z5,BO$4)</f>
        <v>0</v>
      </c>
      <c r="BP5" s="77"/>
    </row>
    <row r="6" ht="73.5" customHeight="1" spans="1:68">
      <c r="A6" s="67"/>
      <c r="B6" s="77" t="s">
        <v>567</v>
      </c>
      <c r="C6" s="53"/>
      <c r="E6" s="53"/>
      <c r="F6" s="60" t="s">
        <v>350</v>
      </c>
      <c r="G6" s="60"/>
      <c r="H6" s="60" t="s">
        <v>770</v>
      </c>
      <c r="I6" s="53"/>
      <c r="J6" s="53"/>
      <c r="K6" s="60" t="s">
        <v>707</v>
      </c>
      <c r="L6" s="60" t="s">
        <v>928</v>
      </c>
      <c r="M6" s="53" t="s">
        <v>57</v>
      </c>
      <c r="N6" s="60"/>
      <c r="O6" s="60" t="s">
        <v>380</v>
      </c>
      <c r="P6" s="60" t="s">
        <v>380</v>
      </c>
      <c r="Q6" s="53" t="s">
        <v>56</v>
      </c>
      <c r="R6" s="53"/>
      <c r="S6" s="53" t="s">
        <v>162</v>
      </c>
      <c r="T6" s="53" t="s">
        <v>59</v>
      </c>
      <c r="U6" s="53"/>
      <c r="V6" s="53" t="s">
        <v>55</v>
      </c>
      <c r="W6" s="53" t="s">
        <v>58</v>
      </c>
      <c r="X6" s="53"/>
      <c r="Y6" s="53"/>
      <c r="Z6" s="53"/>
      <c r="AA6" s="53"/>
      <c r="AB6" s="60"/>
      <c r="AC6" s="53" t="s">
        <v>55</v>
      </c>
      <c r="AD6" s="53"/>
      <c r="AE6" s="78" t="s">
        <v>764</v>
      </c>
      <c r="AF6" s="53" t="s">
        <v>56</v>
      </c>
      <c r="AG6" s="53"/>
      <c r="AH6" s="67">
        <f t="shared" ref="AH6:AP6" si="18">COUNTIF($C6:$AF6,AH$4)</f>
        <v>1</v>
      </c>
      <c r="AI6" s="67">
        <f t="shared" si="18"/>
        <v>2</v>
      </c>
      <c r="AJ6" s="67">
        <f t="shared" si="18"/>
        <v>1</v>
      </c>
      <c r="AK6" s="67">
        <f t="shared" si="18"/>
        <v>0</v>
      </c>
      <c r="AL6" s="67">
        <f t="shared" si="18"/>
        <v>1</v>
      </c>
      <c r="AM6" s="67">
        <f t="shared" si="18"/>
        <v>0</v>
      </c>
      <c r="AN6" s="67">
        <f t="shared" si="18"/>
        <v>0</v>
      </c>
      <c r="AO6" s="67">
        <f t="shared" si="18"/>
        <v>0</v>
      </c>
      <c r="AP6" s="67">
        <f t="shared" si="18"/>
        <v>0</v>
      </c>
      <c r="AQ6" s="76"/>
      <c r="AR6" s="76">
        <v>2.5</v>
      </c>
      <c r="AS6" s="77">
        <f>SUMPRODUCT(--(WEEKDAY(C$3:AG$3,2)&lt;5),--ISNUMBER(MATCH(C6:AG6,{"DM","CS1","CS2","SB1","AE","CS/B"},0)))</f>
        <v>3</v>
      </c>
      <c r="AT6" s="77"/>
      <c r="AU6" s="77">
        <f>SUMPRODUCT(--(WEEKDAY(C$3:AG$3,2)=5),--ISNUMBER(MATCH(C6:AG6,{"DM","CS1","CS2","SB1","AE","CS/B","WEEKEND OUTFIELD RESERVE"},0)))</f>
        <v>0</v>
      </c>
      <c r="AV6" s="77">
        <f>SUMPRODUCT(--(WEEKDAY(C$3:AG$3,2)&gt;5),--ISNUMBER(MATCH(C6:AG6,{"DM","CS1","CS2","SB1","AE","CS/B","WEEKEND OUTFIELD RESERVE"},0)))</f>
        <v>2</v>
      </c>
      <c r="AW6" s="77"/>
      <c r="AX6" s="77">
        <f t="shared" si="3"/>
        <v>4.5</v>
      </c>
      <c r="AY6" s="77">
        <f t="shared" si="4"/>
        <v>5</v>
      </c>
      <c r="AZ6" s="77">
        <f t="shared" si="5"/>
        <v>0</v>
      </c>
      <c r="BA6" s="76">
        <f t="shared" si="6"/>
        <v>4.5</v>
      </c>
      <c r="BB6" s="77">
        <f t="shared" si="7"/>
        <v>0</v>
      </c>
      <c r="BC6" s="77">
        <f t="shared" si="8"/>
        <v>0</v>
      </c>
      <c r="BD6" s="77">
        <f t="shared" si="9"/>
        <v>0</v>
      </c>
      <c r="BE6" s="77">
        <f t="shared" si="10"/>
        <v>0</v>
      </c>
      <c r="BF6" s="77">
        <f t="shared" si="11"/>
        <v>0</v>
      </c>
      <c r="BG6" s="77">
        <f t="shared" si="12"/>
        <v>0</v>
      </c>
      <c r="BH6" s="77">
        <f t="shared" si="13"/>
        <v>0</v>
      </c>
      <c r="BI6" s="77">
        <f t="shared" si="14"/>
        <v>0</v>
      </c>
      <c r="BJ6" s="77">
        <f t="shared" si="15"/>
        <v>0</v>
      </c>
      <c r="BK6" s="77">
        <f t="shared" si="16"/>
        <v>0</v>
      </c>
      <c r="BL6" s="77">
        <f t="shared" si="17"/>
        <v>0</v>
      </c>
      <c r="BM6" s="77">
        <f>COUNTIF($D6:$AA6,BM$4)</f>
        <v>0</v>
      </c>
      <c r="BN6" s="77">
        <f>COUNTIF($D6:$AA6,BN$4)</f>
        <v>1</v>
      </c>
      <c r="BO6" s="77">
        <f>COUNTIF($D6:$AA6,BO$4)</f>
        <v>1</v>
      </c>
      <c r="BP6" s="77"/>
    </row>
    <row r="7" ht="19.5" customHeight="1" spans="1:68">
      <c r="A7" s="67"/>
      <c r="B7" s="74" t="s">
        <v>930</v>
      </c>
      <c r="C7" s="53" t="s">
        <v>57</v>
      </c>
      <c r="D7" s="53"/>
      <c r="E7" s="53"/>
      <c r="F7" s="60" t="s">
        <v>59</v>
      </c>
      <c r="G7" s="60"/>
      <c r="H7" s="60"/>
      <c r="I7" s="53" t="s">
        <v>350</v>
      </c>
      <c r="J7" s="60"/>
      <c r="K7" s="60" t="s">
        <v>56</v>
      </c>
      <c r="L7" s="53"/>
      <c r="M7" s="53"/>
      <c r="N7" s="53"/>
      <c r="O7" s="53" t="s">
        <v>350</v>
      </c>
      <c r="P7" s="53"/>
      <c r="Q7" s="53"/>
      <c r="R7" s="53" t="s">
        <v>57</v>
      </c>
      <c r="S7" s="53"/>
      <c r="T7" s="53"/>
      <c r="U7" s="53"/>
      <c r="V7" s="60"/>
      <c r="W7" s="60" t="s">
        <v>54</v>
      </c>
      <c r="X7" s="60" t="s">
        <v>54</v>
      </c>
      <c r="Y7" s="60" t="s">
        <v>54</v>
      </c>
      <c r="Z7" s="60" t="s">
        <v>54</v>
      </c>
      <c r="AA7" s="53"/>
      <c r="AB7" s="53"/>
      <c r="AC7" s="53"/>
      <c r="AD7" s="53" t="s">
        <v>57</v>
      </c>
      <c r="AE7" s="79"/>
      <c r="AF7" s="60" t="s">
        <v>767</v>
      </c>
      <c r="AG7" s="60"/>
      <c r="AH7" s="67">
        <f t="shared" ref="AH7:AP7" si="19">COUNTIF($C7:$AF7,AH$4)</f>
        <v>3</v>
      </c>
      <c r="AI7" s="67">
        <f t="shared" si="19"/>
        <v>1</v>
      </c>
      <c r="AJ7" s="67">
        <f t="shared" si="19"/>
        <v>1</v>
      </c>
      <c r="AK7" s="67">
        <f t="shared" si="19"/>
        <v>0</v>
      </c>
      <c r="AL7" s="67">
        <f t="shared" si="19"/>
        <v>0</v>
      </c>
      <c r="AM7" s="67">
        <f t="shared" si="19"/>
        <v>0</v>
      </c>
      <c r="AN7" s="67">
        <f t="shared" si="19"/>
        <v>0</v>
      </c>
      <c r="AO7" s="67">
        <f t="shared" si="19"/>
        <v>1</v>
      </c>
      <c r="AP7" s="67">
        <f t="shared" si="19"/>
        <v>0</v>
      </c>
      <c r="AQ7" s="76">
        <v>1</v>
      </c>
      <c r="AR7" s="76"/>
      <c r="AS7" s="77">
        <f>SUMPRODUCT(--(WEEKDAY(C$3:AG$3,2)&lt;5),--ISNUMBER(MATCH(C7:AG7,{"DM","CS1","CS2","SB1","AE","CS/B"},0)))</f>
        <v>4</v>
      </c>
      <c r="AT7" s="77"/>
      <c r="AU7" s="77">
        <f>SUMPRODUCT(--(WEEKDAY(C$3:AG$3,2)=5),--ISNUMBER(MATCH(C7:AG7,{"DM","CS1","CS2","SB1","AE","CS/B","WEEKEND OUTFIELD RESERVE"},0)))</f>
        <v>0</v>
      </c>
      <c r="AV7" s="77">
        <f>SUMPRODUCT(--(WEEKDAY(C$3:AG$3,2)&gt;5),--ISNUMBER(MATCH(C7:AG7,{"DM","CS1","CS2","SB1","AE","CS/B","WEEKEND OUTFIELD RESERVE"},0)))</f>
        <v>1</v>
      </c>
      <c r="AW7" s="77"/>
      <c r="AX7" s="77">
        <f t="shared" si="3"/>
        <v>7.5</v>
      </c>
      <c r="AY7" s="77">
        <f t="shared" si="4"/>
        <v>5</v>
      </c>
      <c r="AZ7" s="77">
        <f t="shared" si="5"/>
        <v>0</v>
      </c>
      <c r="BA7" s="76">
        <f t="shared" si="6"/>
        <v>7.5</v>
      </c>
      <c r="BB7" s="77">
        <f t="shared" si="7"/>
        <v>0</v>
      </c>
      <c r="BC7" s="77">
        <f t="shared" si="8"/>
        <v>0</v>
      </c>
      <c r="BD7" s="77">
        <f t="shared" si="9"/>
        <v>0</v>
      </c>
      <c r="BE7" s="77">
        <f t="shared" si="10"/>
        <v>0</v>
      </c>
      <c r="BF7" s="77">
        <f t="shared" si="11"/>
        <v>0</v>
      </c>
      <c r="BG7" s="77">
        <f t="shared" si="12"/>
        <v>0</v>
      </c>
      <c r="BH7" s="77">
        <f t="shared" si="13"/>
        <v>0</v>
      </c>
      <c r="BI7" s="77">
        <f t="shared" si="14"/>
        <v>0</v>
      </c>
      <c r="BJ7" s="77">
        <f t="shared" si="15"/>
        <v>0</v>
      </c>
      <c r="BK7" s="77">
        <f t="shared" si="16"/>
        <v>0</v>
      </c>
      <c r="BL7" s="77">
        <f t="shared" si="17"/>
        <v>0</v>
      </c>
      <c r="BM7" s="77">
        <f>COUNTIF($D7:$X7,BM$4)</f>
        <v>0</v>
      </c>
      <c r="BN7" s="77">
        <f>COUNTIF($D7:$X7,BN$4)</f>
        <v>2</v>
      </c>
      <c r="BO7" s="77">
        <f>COUNTIF($D7:$X7,BO$4)</f>
        <v>0</v>
      </c>
      <c r="BP7" s="77"/>
    </row>
    <row r="8" ht="56.25" customHeight="1" spans="1:68">
      <c r="A8" s="67"/>
      <c r="B8" s="77" t="s">
        <v>714</v>
      </c>
      <c r="C8" s="67" t="s">
        <v>57</v>
      </c>
      <c r="D8" s="60"/>
      <c r="E8" s="53"/>
      <c r="F8" s="60"/>
      <c r="G8" s="60"/>
      <c r="H8" s="53" t="s">
        <v>57</v>
      </c>
      <c r="I8" s="60"/>
      <c r="J8" s="60"/>
      <c r="K8" s="53"/>
      <c r="L8" s="53" t="s">
        <v>59</v>
      </c>
      <c r="M8" s="53"/>
      <c r="N8" s="60"/>
      <c r="O8" s="53" t="s">
        <v>57</v>
      </c>
      <c r="P8" s="53"/>
      <c r="Q8" s="53"/>
      <c r="R8" s="53"/>
      <c r="S8" s="60" t="s">
        <v>573</v>
      </c>
      <c r="T8" s="53"/>
      <c r="U8" s="60" t="s">
        <v>350</v>
      </c>
      <c r="V8" s="60"/>
      <c r="W8" s="53"/>
      <c r="X8" s="53" t="s">
        <v>61</v>
      </c>
      <c r="Y8" s="53"/>
      <c r="Z8" s="53"/>
      <c r="AA8" s="60"/>
      <c r="AB8" s="60" t="s">
        <v>56</v>
      </c>
      <c r="AC8" s="60"/>
      <c r="AE8" s="80" t="s">
        <v>350</v>
      </c>
      <c r="AF8" s="60"/>
      <c r="AG8" s="60"/>
      <c r="AH8" s="67">
        <f t="shared" ref="AH8:AP8" si="20">COUNTIF($C8:$AF8,AH$4)</f>
        <v>3</v>
      </c>
      <c r="AI8" s="67">
        <f t="shared" si="20"/>
        <v>1</v>
      </c>
      <c r="AJ8" s="67">
        <f t="shared" si="20"/>
        <v>1</v>
      </c>
      <c r="AK8" s="67">
        <f t="shared" si="20"/>
        <v>0</v>
      </c>
      <c r="AL8" s="67">
        <f t="shared" si="20"/>
        <v>0</v>
      </c>
      <c r="AM8" s="67">
        <f t="shared" si="20"/>
        <v>0</v>
      </c>
      <c r="AN8" s="67">
        <f t="shared" si="20"/>
        <v>0</v>
      </c>
      <c r="AO8" s="67">
        <f t="shared" si="20"/>
        <v>0</v>
      </c>
      <c r="AP8" s="67">
        <f t="shared" si="20"/>
        <v>0</v>
      </c>
      <c r="AQ8" s="76">
        <v>2</v>
      </c>
      <c r="AR8" s="76"/>
      <c r="AS8" s="77">
        <f>SUMPRODUCT(--(WEEKDAY(C$3:AG$3,2)&lt;5),--ISNUMBER(MATCH(C8:AG8,{"DM","CS1","CS2","SB1","AE","CS/B"},0)))</f>
        <v>3</v>
      </c>
      <c r="AT8" s="77"/>
      <c r="AU8" s="77">
        <f>SUMPRODUCT(--(WEEKDAY(C$3:AG$3,2)=5),--ISNUMBER(MATCH(C8:AG8,{"DM","CS1","CS2","SB1","AE","CS/B","WEEKEND OUTFIELD RESERVE"},0)))</f>
        <v>1</v>
      </c>
      <c r="AV8" s="77">
        <f>SUMPRODUCT(--(WEEKDAY(C$3:AG$3,2)&gt;5),--ISNUMBER(MATCH(C8:AG8,{"DM","CS1","CS2","SB1","AE","CS/B","WEEKEND OUTFIELD RESERVE"},0)))</f>
        <v>1</v>
      </c>
      <c r="AW8" s="77"/>
      <c r="AX8" s="77">
        <f t="shared" si="3"/>
        <v>8.5</v>
      </c>
      <c r="AY8" s="77">
        <f t="shared" si="4"/>
        <v>5</v>
      </c>
      <c r="AZ8" s="77">
        <f t="shared" si="5"/>
        <v>0</v>
      </c>
      <c r="BA8" s="76">
        <f t="shared" si="6"/>
        <v>8.5</v>
      </c>
      <c r="BB8" s="77">
        <f t="shared" si="7"/>
        <v>0</v>
      </c>
      <c r="BC8" s="77">
        <f t="shared" si="8"/>
        <v>0</v>
      </c>
      <c r="BD8" s="77">
        <f t="shared" si="9"/>
        <v>0</v>
      </c>
      <c r="BE8" s="77">
        <f t="shared" si="10"/>
        <v>0</v>
      </c>
      <c r="BF8" s="77">
        <f t="shared" si="11"/>
        <v>0</v>
      </c>
      <c r="BG8" s="77">
        <f t="shared" si="12"/>
        <v>0</v>
      </c>
      <c r="BH8" s="77">
        <f t="shared" si="13"/>
        <v>0</v>
      </c>
      <c r="BI8" s="77">
        <f t="shared" si="14"/>
        <v>0</v>
      </c>
      <c r="BJ8" s="77">
        <f t="shared" si="15"/>
        <v>0</v>
      </c>
      <c r="BK8" s="77">
        <f t="shared" si="16"/>
        <v>0</v>
      </c>
      <c r="BL8" s="77">
        <f t="shared" si="17"/>
        <v>0</v>
      </c>
      <c r="BM8" s="77">
        <f>COUNTIF($D8:$AA8,BM$4)</f>
        <v>0</v>
      </c>
      <c r="BN8" s="77">
        <f>COUNTIF($D8:$AA8,BN$4)</f>
        <v>1</v>
      </c>
      <c r="BO8" s="77">
        <f>COUNTIF($D8:$AA8,BO$4)</f>
        <v>0</v>
      </c>
      <c r="BP8" s="77"/>
    </row>
    <row r="9" ht="19.5" customHeight="1" spans="1:68">
      <c r="A9" s="67"/>
      <c r="B9" s="77" t="s">
        <v>715</v>
      </c>
      <c r="C9" s="60" t="s">
        <v>58</v>
      </c>
      <c r="D9" s="60"/>
      <c r="E9" s="60"/>
      <c r="F9" s="60"/>
      <c r="G9" s="60"/>
      <c r="H9" s="60" t="s">
        <v>350</v>
      </c>
      <c r="I9" s="53"/>
      <c r="J9" s="53" t="s">
        <v>57</v>
      </c>
      <c r="K9" s="53"/>
      <c r="L9" s="53"/>
      <c r="M9" s="60" t="s">
        <v>56</v>
      </c>
      <c r="N9" s="60"/>
      <c r="O9" s="53"/>
      <c r="P9" s="53" t="s">
        <v>57</v>
      </c>
      <c r="Q9" s="60"/>
      <c r="R9" s="60" t="s">
        <v>566</v>
      </c>
      <c r="S9" s="53"/>
      <c r="T9" s="60"/>
      <c r="U9" s="53"/>
      <c r="V9" s="60" t="s">
        <v>573</v>
      </c>
      <c r="W9" s="53"/>
      <c r="X9" s="53" t="s">
        <v>59</v>
      </c>
      <c r="Y9" s="60"/>
      <c r="Z9" s="60" t="s">
        <v>350</v>
      </c>
      <c r="AA9" s="60"/>
      <c r="AB9" s="53"/>
      <c r="AC9" s="53" t="s">
        <v>350</v>
      </c>
      <c r="AD9" s="53"/>
      <c r="AE9" s="81" t="s">
        <v>56</v>
      </c>
      <c r="AF9" s="53"/>
      <c r="AG9" s="60"/>
      <c r="AH9" s="67">
        <f t="shared" ref="AH9:AP9" si="21">COUNTIF($C9:$AF9,AH$4)</f>
        <v>2</v>
      </c>
      <c r="AI9" s="67">
        <f t="shared" si="21"/>
        <v>2</v>
      </c>
      <c r="AJ9" s="67">
        <f t="shared" si="21"/>
        <v>1</v>
      </c>
      <c r="AK9" s="67">
        <f t="shared" si="21"/>
        <v>1</v>
      </c>
      <c r="AL9" s="67">
        <f t="shared" si="21"/>
        <v>1</v>
      </c>
      <c r="AM9" s="67">
        <f t="shared" si="21"/>
        <v>0</v>
      </c>
      <c r="AN9" s="67">
        <f t="shared" si="21"/>
        <v>0</v>
      </c>
      <c r="AO9" s="67">
        <f t="shared" si="21"/>
        <v>0</v>
      </c>
      <c r="AP9" s="67">
        <f t="shared" si="21"/>
        <v>0</v>
      </c>
      <c r="AQ9" s="76">
        <v>2.5</v>
      </c>
      <c r="AR9" s="76"/>
      <c r="AS9" s="77">
        <f>SUMPRODUCT(--(WEEKDAY(C$3:AG$3,2)&lt;5),--ISNUMBER(MATCH(C9:AG9,{"DM","CS1","CS2","SB1","AE","CS/B"},0)))</f>
        <v>6</v>
      </c>
      <c r="AT9" s="77">
        <v>0</v>
      </c>
      <c r="AU9" s="77">
        <f>SUMPRODUCT(--(WEEKDAY(C$3:AG$3,2)=5),--ISNUMBER(MATCH(C9:AG9,{"DM","CS1","CS2","SB1","AE","CS/B","WEEKEND OUTFIELD RESERVE"},0)))</f>
        <v>0</v>
      </c>
      <c r="AV9" s="77">
        <f>SUMPRODUCT(--(WEEKDAY(C$3:AG$3,2)&gt;5),--ISNUMBER(MATCH(C9:AG9,{"DM","CS1","CS2","SB1","AE","CS/B","WEEKEND OUTFIELD RESERVE"},0)))</f>
        <v>1</v>
      </c>
      <c r="AW9" s="77"/>
      <c r="AX9" s="77">
        <f t="shared" si="3"/>
        <v>10.5</v>
      </c>
      <c r="AY9" s="77">
        <f t="shared" si="4"/>
        <v>7</v>
      </c>
      <c r="AZ9" s="77">
        <f t="shared" si="5"/>
        <v>0</v>
      </c>
      <c r="BA9" s="76">
        <f t="shared" si="6"/>
        <v>10.5</v>
      </c>
      <c r="BB9" s="77">
        <f t="shared" si="7"/>
        <v>0</v>
      </c>
      <c r="BC9" s="77">
        <f t="shared" si="8"/>
        <v>0</v>
      </c>
      <c r="BD9" s="77">
        <f t="shared" si="9"/>
        <v>0</v>
      </c>
      <c r="BE9" s="77">
        <f t="shared" si="10"/>
        <v>0</v>
      </c>
      <c r="BF9" s="77">
        <f t="shared" si="11"/>
        <v>0</v>
      </c>
      <c r="BG9" s="77">
        <f t="shared" si="12"/>
        <v>0</v>
      </c>
      <c r="BH9" s="77">
        <f t="shared" si="13"/>
        <v>0</v>
      </c>
      <c r="BI9" s="77">
        <f t="shared" si="14"/>
        <v>0</v>
      </c>
      <c r="BJ9" s="77">
        <f t="shared" si="15"/>
        <v>0</v>
      </c>
      <c r="BK9" s="77">
        <f t="shared" si="16"/>
        <v>0</v>
      </c>
      <c r="BL9" s="77">
        <f t="shared" si="17"/>
        <v>0</v>
      </c>
      <c r="BM9" s="77">
        <f>COUNTIF($D9:$AA9,BM$4)</f>
        <v>0</v>
      </c>
      <c r="BN9" s="77">
        <f>COUNTIF($D9:$AA9,BN$4)</f>
        <v>2</v>
      </c>
      <c r="BO9" s="77">
        <f>COUNTIF($D9:$AA9,BO$4)</f>
        <v>0</v>
      </c>
      <c r="BP9" s="77"/>
    </row>
    <row r="10" ht="51" customHeight="1" spans="1:68">
      <c r="A10" s="67"/>
      <c r="B10" s="74" t="s">
        <v>584</v>
      </c>
      <c r="C10" s="60"/>
      <c r="D10" s="53" t="s">
        <v>350</v>
      </c>
      <c r="E10" s="60"/>
      <c r="F10" s="60"/>
      <c r="G10" s="60"/>
      <c r="H10" s="60" t="s">
        <v>57</v>
      </c>
      <c r="I10" s="53"/>
      <c r="J10" s="60"/>
      <c r="K10" s="60" t="s">
        <v>350</v>
      </c>
      <c r="L10" s="60"/>
      <c r="M10" s="53"/>
      <c r="N10" s="1" t="s">
        <v>350</v>
      </c>
      <c r="O10" s="53"/>
      <c r="P10" s="60"/>
      <c r="Q10" s="60"/>
      <c r="R10" s="60" t="s">
        <v>55</v>
      </c>
      <c r="S10" s="53" t="s">
        <v>59</v>
      </c>
      <c r="T10" s="60"/>
      <c r="U10" s="53"/>
      <c r="V10" s="53" t="s">
        <v>350</v>
      </c>
      <c r="W10" s="53"/>
      <c r="X10" s="53"/>
      <c r="Y10" s="60"/>
      <c r="Z10" s="53" t="s">
        <v>57</v>
      </c>
      <c r="AA10" s="60"/>
      <c r="AB10" s="60" t="s">
        <v>350</v>
      </c>
      <c r="AC10" s="53"/>
      <c r="AD10" s="53"/>
      <c r="AE10" s="82" t="s">
        <v>59</v>
      </c>
      <c r="AF10" s="53"/>
      <c r="AG10" s="53"/>
      <c r="AH10" s="67">
        <f t="shared" ref="AH10:AP10" si="22">COUNTIF($C10:$AF10,AH$4)</f>
        <v>2</v>
      </c>
      <c r="AI10" s="67">
        <f t="shared" si="22"/>
        <v>0</v>
      </c>
      <c r="AJ10" s="67">
        <f t="shared" si="22"/>
        <v>2</v>
      </c>
      <c r="AK10" s="67">
        <f t="shared" si="22"/>
        <v>0</v>
      </c>
      <c r="AL10" s="67">
        <f t="shared" si="22"/>
        <v>0</v>
      </c>
      <c r="AM10" s="67">
        <f t="shared" si="22"/>
        <v>0</v>
      </c>
      <c r="AN10" s="67">
        <f t="shared" si="22"/>
        <v>0</v>
      </c>
      <c r="AO10" s="67">
        <f t="shared" si="22"/>
        <v>0</v>
      </c>
      <c r="AP10" s="67">
        <f t="shared" si="22"/>
        <v>0</v>
      </c>
      <c r="AQ10" s="76">
        <v>2</v>
      </c>
      <c r="AR10" s="76"/>
      <c r="AS10" s="77">
        <f>SUMPRODUCT(--(WEEKDAY(C$3:AG$3,2)&lt;5),--ISNUMBER(MATCH(C10:AG10,{"DM","CS1","CS2","SB1","AE","CS/B"},0)))</f>
        <v>2</v>
      </c>
      <c r="AT10" s="77"/>
      <c r="AU10" s="77">
        <f>SUMPRODUCT(--(WEEKDAY(C$3:AG$3,2)=5),--ISNUMBER(MATCH(C10:AG10,{"DM","CS1","CS2","SB1","AE","CS/B","WEEKEND OUTFIELD RESERVE"},0)))</f>
        <v>2</v>
      </c>
      <c r="AV10" s="77">
        <f>SUMPRODUCT(--(WEEKDAY(C$3:AG$3,2)&gt;5),--ISNUMBER(MATCH(C10:AG10,{"DM","CS1","CS2","SB1","AE","CS/B","WEEKEND OUTFIELD RESERVE"},0)))</f>
        <v>0</v>
      </c>
      <c r="AW10" s="77"/>
      <c r="AX10" s="77">
        <f t="shared" si="3"/>
        <v>7</v>
      </c>
      <c r="AY10" s="77">
        <f t="shared" si="4"/>
        <v>4</v>
      </c>
      <c r="AZ10" s="77">
        <f t="shared" si="5"/>
        <v>0</v>
      </c>
      <c r="BA10" s="76">
        <f t="shared" si="6"/>
        <v>7</v>
      </c>
      <c r="BB10" s="77">
        <f t="shared" si="7"/>
        <v>0</v>
      </c>
      <c r="BC10" s="77">
        <f t="shared" si="8"/>
        <v>0</v>
      </c>
      <c r="BD10" s="77">
        <f t="shared" si="9"/>
        <v>0</v>
      </c>
      <c r="BE10" s="77">
        <f t="shared" si="10"/>
        <v>0</v>
      </c>
      <c r="BF10" s="77">
        <f t="shared" si="11"/>
        <v>0</v>
      </c>
      <c r="BG10" s="77">
        <f t="shared" si="12"/>
        <v>0</v>
      </c>
      <c r="BH10" s="77">
        <f t="shared" si="13"/>
        <v>0</v>
      </c>
      <c r="BI10" s="77">
        <f t="shared" si="14"/>
        <v>0</v>
      </c>
      <c r="BJ10" s="77">
        <f t="shared" si="15"/>
        <v>0</v>
      </c>
      <c r="BK10" s="77">
        <f t="shared" si="16"/>
        <v>0</v>
      </c>
      <c r="BL10" s="77">
        <f t="shared" si="17"/>
        <v>0</v>
      </c>
      <c r="BM10" s="77">
        <f>COUNTIF($D10:$AA10,BM$4)</f>
        <v>0</v>
      </c>
      <c r="BN10" s="77">
        <f>COUNTIF($D10:$AA10,BN$4)</f>
        <v>4</v>
      </c>
      <c r="BO10" s="77">
        <f>COUNTIF($D10:$AA10,BO$4)</f>
        <v>1</v>
      </c>
      <c r="BP10" s="77"/>
    </row>
    <row r="11" ht="45" customHeight="1" spans="1:68">
      <c r="A11" s="67"/>
      <c r="B11" s="74" t="s">
        <v>717</v>
      </c>
      <c r="C11" s="60" t="s">
        <v>71</v>
      </c>
      <c r="D11" s="60" t="s">
        <v>71</v>
      </c>
      <c r="E11" s="60" t="s">
        <v>71</v>
      </c>
      <c r="F11" s="60" t="s">
        <v>71</v>
      </c>
      <c r="G11" s="60" t="s">
        <v>71</v>
      </c>
      <c r="H11" s="60" t="s">
        <v>71</v>
      </c>
      <c r="I11" s="60" t="s">
        <v>71</v>
      </c>
      <c r="J11" s="60" t="s">
        <v>71</v>
      </c>
      <c r="K11" s="60" t="s">
        <v>71</v>
      </c>
      <c r="L11" s="60" t="s">
        <v>71</v>
      </c>
      <c r="M11" s="60" t="s">
        <v>71</v>
      </c>
      <c r="N11" s="60" t="s">
        <v>71</v>
      </c>
      <c r="O11" s="60" t="s">
        <v>71</v>
      </c>
      <c r="P11" s="60" t="s">
        <v>71</v>
      </c>
      <c r="Q11" s="60" t="s">
        <v>71</v>
      </c>
      <c r="R11" s="60" t="s">
        <v>71</v>
      </c>
      <c r="S11" s="60" t="s">
        <v>71</v>
      </c>
      <c r="T11" s="60" t="s">
        <v>71</v>
      </c>
      <c r="U11" s="60" t="s">
        <v>71</v>
      </c>
      <c r="V11" s="60" t="s">
        <v>71</v>
      </c>
      <c r="W11" s="60" t="s">
        <v>71</v>
      </c>
      <c r="X11" s="60" t="s">
        <v>71</v>
      </c>
      <c r="Y11" s="60" t="s">
        <v>71</v>
      </c>
      <c r="Z11" s="60" t="s">
        <v>71</v>
      </c>
      <c r="AA11" s="53"/>
      <c r="AB11" s="60" t="s">
        <v>566</v>
      </c>
      <c r="AC11" s="53"/>
      <c r="AD11" s="53"/>
      <c r="AE11" s="83" t="s">
        <v>61</v>
      </c>
      <c r="AF11" s="53" t="s">
        <v>566</v>
      </c>
      <c r="AG11" s="53"/>
      <c r="AH11" s="67">
        <f t="shared" ref="AH11:AP11" si="23">COUNTIF($C11:$Z11,AH$4)</f>
        <v>0</v>
      </c>
      <c r="AI11" s="67">
        <f t="shared" si="23"/>
        <v>0</v>
      </c>
      <c r="AJ11" s="67">
        <f t="shared" si="23"/>
        <v>0</v>
      </c>
      <c r="AK11" s="67">
        <f t="shared" si="23"/>
        <v>0</v>
      </c>
      <c r="AL11" s="67">
        <f t="shared" si="23"/>
        <v>0</v>
      </c>
      <c r="AM11" s="67">
        <f t="shared" si="23"/>
        <v>0</v>
      </c>
      <c r="AN11" s="67">
        <f t="shared" si="23"/>
        <v>0</v>
      </c>
      <c r="AO11" s="67">
        <f t="shared" si="23"/>
        <v>0</v>
      </c>
      <c r="AP11" s="67">
        <f t="shared" si="23"/>
        <v>0</v>
      </c>
      <c r="AQ11" s="76"/>
      <c r="AR11" s="76">
        <v>3</v>
      </c>
      <c r="AS11" s="77">
        <f>SUMPRODUCT(--(WEEKDAY(C$3:AG$3,2)&lt;5),--ISNUMBER(MATCH(C11:AG11,{"DM","CS1","CS2","SB1","AE","CS/B"},0)))</f>
        <v>1</v>
      </c>
      <c r="AT11" s="77"/>
      <c r="AU11" s="77">
        <f>SUMPRODUCT(--(WEEKDAY(C$3:AG$3,2)=5),--ISNUMBER(MATCH(C11:AG11,{"DM","CS1","CS2","SB1","AE","CS/B","WEEKEND OUTFIELD RESERVE"},0)))</f>
        <v>0</v>
      </c>
      <c r="AV11" s="77">
        <f>SUMPRODUCT(--(WEEKDAY(C$3:AG$3,2)&gt;5),--ISNUMBER(MATCH(C11:AG11,{"DM","CS1","CS2","SB1","AE","CS/B","WEEKEND OUTFIELD RESERVE"},0)))</f>
        <v>1</v>
      </c>
      <c r="AW11" s="77"/>
      <c r="AX11" s="77">
        <f t="shared" si="3"/>
        <v>0</v>
      </c>
      <c r="AY11" s="77">
        <f t="shared" si="4"/>
        <v>2</v>
      </c>
      <c r="AZ11" s="77">
        <f t="shared" si="5"/>
        <v>0</v>
      </c>
      <c r="BA11" s="76">
        <f t="shared" si="6"/>
        <v>0</v>
      </c>
      <c r="BB11" s="77">
        <f t="shared" si="7"/>
        <v>0</v>
      </c>
      <c r="BC11" s="77">
        <f t="shared" si="8"/>
        <v>0</v>
      </c>
      <c r="BD11" s="77">
        <f t="shared" si="9"/>
        <v>0</v>
      </c>
      <c r="BE11" s="77">
        <f t="shared" si="10"/>
        <v>0</v>
      </c>
      <c r="BF11" s="77">
        <f t="shared" si="11"/>
        <v>0</v>
      </c>
      <c r="BG11" s="77">
        <f t="shared" si="12"/>
        <v>0</v>
      </c>
      <c r="BH11" s="77">
        <f t="shared" si="13"/>
        <v>0</v>
      </c>
      <c r="BI11" s="77">
        <f t="shared" si="14"/>
        <v>0</v>
      </c>
      <c r="BJ11" s="77">
        <f t="shared" si="15"/>
        <v>0</v>
      </c>
      <c r="BK11" s="77">
        <f t="shared" si="16"/>
        <v>0</v>
      </c>
      <c r="BL11" s="77">
        <f t="shared" si="17"/>
        <v>0</v>
      </c>
      <c r="BM11" s="77">
        <f>COUNTIF($D11:$Z11,BM$4)</f>
        <v>0</v>
      </c>
      <c r="BN11" s="77">
        <f>COUNTIF($D11:$Z11,BN$4)</f>
        <v>0</v>
      </c>
      <c r="BO11" s="77">
        <f>COUNTIF($D11:$Z11,BO$4)</f>
        <v>0</v>
      </c>
      <c r="BP11" s="77"/>
    </row>
    <row r="12" ht="25.5" spans="1:68">
      <c r="A12" s="67"/>
      <c r="B12" s="77" t="s">
        <v>591</v>
      </c>
      <c r="C12" s="60"/>
      <c r="D12" s="60"/>
      <c r="E12" s="60"/>
      <c r="F12" s="60"/>
      <c r="G12" s="53"/>
      <c r="H12" s="60"/>
      <c r="I12" s="60"/>
      <c r="J12" s="60" t="s">
        <v>56</v>
      </c>
      <c r="K12" s="60"/>
      <c r="L12" s="60"/>
      <c r="M12" s="60" t="s">
        <v>58</v>
      </c>
      <c r="N12" s="60"/>
      <c r="O12" s="60"/>
      <c r="P12" s="60"/>
      <c r="Q12" s="53"/>
      <c r="R12" s="53" t="s">
        <v>56</v>
      </c>
      <c r="S12" s="53"/>
      <c r="T12" s="60"/>
      <c r="U12" s="53"/>
      <c r="V12" s="60" t="s">
        <v>566</v>
      </c>
      <c r="W12" s="53"/>
      <c r="X12" s="60"/>
      <c r="Y12" s="60"/>
      <c r="Z12" s="60" t="s">
        <v>56</v>
      </c>
      <c r="AA12" s="60"/>
      <c r="AB12" s="53"/>
      <c r="AC12" s="53"/>
      <c r="AD12" s="60" t="s">
        <v>350</v>
      </c>
      <c r="AE12" s="84"/>
      <c r="AF12" s="53" t="s">
        <v>65</v>
      </c>
      <c r="AG12" s="60"/>
      <c r="AH12" s="67">
        <f t="shared" ref="AH12:AP12" si="24">COUNTIF($C12:$AF12,AH$4)</f>
        <v>0</v>
      </c>
      <c r="AI12" s="67">
        <f t="shared" si="24"/>
        <v>3</v>
      </c>
      <c r="AJ12" s="67">
        <f t="shared" si="24"/>
        <v>0</v>
      </c>
      <c r="AK12" s="67">
        <f t="shared" si="24"/>
        <v>1</v>
      </c>
      <c r="AL12" s="67">
        <f t="shared" si="24"/>
        <v>1</v>
      </c>
      <c r="AM12" s="67">
        <f t="shared" si="24"/>
        <v>0</v>
      </c>
      <c r="AN12" s="67">
        <f t="shared" si="24"/>
        <v>1</v>
      </c>
      <c r="AO12" s="67">
        <f t="shared" si="24"/>
        <v>0</v>
      </c>
      <c r="AP12" s="67">
        <f t="shared" si="24"/>
        <v>0</v>
      </c>
      <c r="AQ12" s="76"/>
      <c r="AR12" s="76">
        <v>1</v>
      </c>
      <c r="AS12" s="77">
        <f>SUMPRODUCT(--(WEEKDAY(C$3:AG$3,2)&lt;5),--ISNUMBER(MATCH(C12:AG12,{"DM","CS1","CS2","SB1","AE","CS/B"},0)))</f>
        <v>4</v>
      </c>
      <c r="AT12" s="77"/>
      <c r="AU12" s="77">
        <f>SUMPRODUCT(--(WEEKDAY(C$3:AG$3,2)=5),--ISNUMBER(MATCH(C12:AG12,{"DM","CS1","CS2","SB1","AE","CS/B","WEEKEND OUTFIELD RESERVE"},0)))</f>
        <v>1</v>
      </c>
      <c r="AV12" s="77">
        <f>SUMPRODUCT(--(WEEKDAY(C$3:AG$3,2)&gt;5),--ISNUMBER(MATCH(C12:AG12,{"DM","CS1","CS2","SB1","AE","CS/B","WEEKEND OUTFIELD RESERVE"},0)))</f>
        <v>1</v>
      </c>
      <c r="AW12" s="77"/>
      <c r="AX12" s="77">
        <f t="shared" si="3"/>
        <v>6.5</v>
      </c>
      <c r="AY12" s="77">
        <f t="shared" si="4"/>
        <v>6</v>
      </c>
      <c r="AZ12" s="77">
        <f t="shared" si="5"/>
        <v>0</v>
      </c>
      <c r="BA12" s="76">
        <f t="shared" si="6"/>
        <v>6.5</v>
      </c>
      <c r="BB12" s="77">
        <f t="shared" si="7"/>
        <v>0</v>
      </c>
      <c r="BC12" s="77">
        <f t="shared" si="8"/>
        <v>0</v>
      </c>
      <c r="BD12" s="77">
        <f t="shared" si="9"/>
        <v>0</v>
      </c>
      <c r="BE12" s="77">
        <f t="shared" si="10"/>
        <v>0</v>
      </c>
      <c r="BF12" s="77">
        <f t="shared" si="11"/>
        <v>0</v>
      </c>
      <c r="BG12" s="77">
        <f t="shared" si="12"/>
        <v>0</v>
      </c>
      <c r="BH12" s="77">
        <f t="shared" si="13"/>
        <v>0</v>
      </c>
      <c r="BI12" s="77">
        <f t="shared" si="14"/>
        <v>0</v>
      </c>
      <c r="BJ12" s="77">
        <f t="shared" si="15"/>
        <v>0</v>
      </c>
      <c r="BK12" s="77">
        <f t="shared" si="16"/>
        <v>0</v>
      </c>
      <c r="BL12" s="77">
        <f t="shared" si="17"/>
        <v>0</v>
      </c>
      <c r="BM12" s="77">
        <f t="shared" ref="BM12:BM23" si="25">COUNTIF($D12:$AA12,BM$4)</f>
        <v>0</v>
      </c>
      <c r="BN12" s="77">
        <f t="shared" ref="BN12:BN23" si="26">COUNTIF($D12:$AA12,BN$4)</f>
        <v>0</v>
      </c>
      <c r="BO12" s="77">
        <f t="shared" ref="BO12:BO23" si="27">COUNTIF($D12:$AA12,BO$4)</f>
        <v>0</v>
      </c>
      <c r="BP12" s="77"/>
    </row>
    <row r="13" ht="47.25" customHeight="1" spans="1:68">
      <c r="A13" s="67"/>
      <c r="B13" s="76" t="s">
        <v>718</v>
      </c>
      <c r="C13" s="60"/>
      <c r="D13" s="53"/>
      <c r="E13" s="60" t="s">
        <v>65</v>
      </c>
      <c r="F13" s="53"/>
      <c r="G13" s="53"/>
      <c r="H13" s="60"/>
      <c r="I13" s="60"/>
      <c r="J13" s="60" t="s">
        <v>350</v>
      </c>
      <c r="K13" s="60"/>
      <c r="L13" s="53" t="s">
        <v>56</v>
      </c>
      <c r="M13" s="60"/>
      <c r="N13" s="60"/>
      <c r="O13" s="60" t="s">
        <v>65</v>
      </c>
      <c r="P13" s="60"/>
      <c r="Q13" s="60"/>
      <c r="R13" s="60"/>
      <c r="S13" s="60" t="s">
        <v>350</v>
      </c>
      <c r="T13" s="53"/>
      <c r="U13" s="60"/>
      <c r="V13" s="60"/>
      <c r="W13" s="60" t="s">
        <v>69</v>
      </c>
      <c r="X13" s="60"/>
      <c r="Y13" s="60"/>
      <c r="Z13" s="60"/>
      <c r="AA13" s="60" t="s">
        <v>65</v>
      </c>
      <c r="AB13" s="53"/>
      <c r="AC13" s="53"/>
      <c r="AD13" s="53" t="s">
        <v>56</v>
      </c>
      <c r="AE13" s="79"/>
      <c r="AF13" s="53"/>
      <c r="AG13" s="60"/>
      <c r="AH13" s="67">
        <f t="shared" ref="AH13:AP13" si="28">COUNTIF($C13:$AF13,AH$4)</f>
        <v>0</v>
      </c>
      <c r="AI13" s="67">
        <f t="shared" si="28"/>
        <v>2</v>
      </c>
      <c r="AJ13" s="67">
        <f t="shared" si="28"/>
        <v>0</v>
      </c>
      <c r="AK13" s="67">
        <f t="shared" si="28"/>
        <v>0</v>
      </c>
      <c r="AL13" s="67">
        <f t="shared" si="28"/>
        <v>0</v>
      </c>
      <c r="AM13" s="67">
        <f t="shared" si="28"/>
        <v>0</v>
      </c>
      <c r="AN13" s="67">
        <f t="shared" si="28"/>
        <v>3</v>
      </c>
      <c r="AO13" s="67">
        <f t="shared" si="28"/>
        <v>0</v>
      </c>
      <c r="AP13" s="67">
        <f t="shared" si="28"/>
        <v>0</v>
      </c>
      <c r="AQ13" s="76">
        <v>1</v>
      </c>
      <c r="AR13" s="76"/>
      <c r="AS13" s="77">
        <f>SUMPRODUCT(--(WEEKDAY(C$3:AG$3,2)&lt;5),--ISNUMBER(MATCH(C13:AG13,{"DM","CS1","CS2","SB1","AE","CS/B"},0)))</f>
        <v>2</v>
      </c>
      <c r="AT13" s="77"/>
      <c r="AU13" s="77">
        <f>SUMPRODUCT(--(WEEKDAY(C$3:AG$3,2)=5),--ISNUMBER(MATCH(C13:AG13,{"DM","CS1","CS2","SB1","AE","CS/B","WEEKEND OUTFIELD RESERVE"},0)))</f>
        <v>2</v>
      </c>
      <c r="AV13" s="77">
        <f>SUMPRODUCT(--(WEEKDAY(C$3:AG$3,2)&gt;5),--ISNUMBER(MATCH(C13:AG13,{"DM","CS1","CS2","SB1","AE","CS/B","WEEKEND OUTFIELD RESERVE"},0)))</f>
        <v>1</v>
      </c>
      <c r="AW13" s="77"/>
      <c r="AX13" s="77">
        <f t="shared" si="3"/>
        <v>8</v>
      </c>
      <c r="AY13" s="77">
        <f t="shared" si="4"/>
        <v>5</v>
      </c>
      <c r="AZ13" s="77">
        <f t="shared" si="5"/>
        <v>0</v>
      </c>
      <c r="BA13" s="76">
        <f t="shared" si="6"/>
        <v>8</v>
      </c>
      <c r="BB13" s="77">
        <f t="shared" si="7"/>
        <v>0</v>
      </c>
      <c r="BC13" s="77">
        <f t="shared" si="8"/>
        <v>0</v>
      </c>
      <c r="BD13" s="77">
        <f t="shared" si="9"/>
        <v>0</v>
      </c>
      <c r="BE13" s="77">
        <f t="shared" si="10"/>
        <v>0</v>
      </c>
      <c r="BF13" s="77">
        <f t="shared" si="11"/>
        <v>0</v>
      </c>
      <c r="BG13" s="77">
        <f t="shared" si="12"/>
        <v>0</v>
      </c>
      <c r="BH13" s="77">
        <f t="shared" si="13"/>
        <v>0</v>
      </c>
      <c r="BI13" s="77">
        <f t="shared" si="14"/>
        <v>0</v>
      </c>
      <c r="BJ13" s="77">
        <f t="shared" si="15"/>
        <v>0</v>
      </c>
      <c r="BK13" s="77">
        <f t="shared" si="16"/>
        <v>0</v>
      </c>
      <c r="BL13" s="77">
        <f t="shared" si="17"/>
        <v>0</v>
      </c>
      <c r="BM13" s="77">
        <f t="shared" si="25"/>
        <v>0</v>
      </c>
      <c r="BN13" s="77">
        <f t="shared" si="26"/>
        <v>2</v>
      </c>
      <c r="BO13" s="77">
        <f t="shared" si="27"/>
        <v>0</v>
      </c>
      <c r="BP13" s="77"/>
    </row>
    <row r="14" ht="47.25" customHeight="1" spans="1:68">
      <c r="A14" s="67"/>
      <c r="B14" s="76" t="s">
        <v>933</v>
      </c>
      <c r="C14" s="60" t="s">
        <v>93</v>
      </c>
      <c r="D14" s="53"/>
      <c r="E14" s="60" t="s">
        <v>93</v>
      </c>
      <c r="F14" s="53"/>
      <c r="G14" s="53"/>
      <c r="H14" s="60"/>
      <c r="I14" s="60"/>
      <c r="J14" s="60"/>
      <c r="K14" s="60"/>
      <c r="L14" s="53"/>
      <c r="M14" s="60" t="s">
        <v>65</v>
      </c>
      <c r="N14" s="60"/>
      <c r="O14" s="60" t="s">
        <v>934</v>
      </c>
      <c r="P14" s="60" t="s">
        <v>934</v>
      </c>
      <c r="Q14" s="60" t="s">
        <v>934</v>
      </c>
      <c r="R14" s="60" t="s">
        <v>934</v>
      </c>
      <c r="S14" s="60" t="s">
        <v>934</v>
      </c>
      <c r="T14" s="60" t="s">
        <v>934</v>
      </c>
      <c r="U14" s="60" t="s">
        <v>934</v>
      </c>
      <c r="V14" s="60" t="s">
        <v>934</v>
      </c>
      <c r="W14" s="60" t="s">
        <v>934</v>
      </c>
      <c r="X14" s="60" t="s">
        <v>934</v>
      </c>
      <c r="Y14" s="60" t="s">
        <v>934</v>
      </c>
      <c r="Z14" s="60" t="s">
        <v>934</v>
      </c>
      <c r="AA14" s="60" t="s">
        <v>934</v>
      </c>
      <c r="AB14" s="60" t="s">
        <v>934</v>
      </c>
      <c r="AC14" s="60" t="s">
        <v>934</v>
      </c>
      <c r="AD14" s="60" t="s">
        <v>934</v>
      </c>
      <c r="AE14" s="78" t="s">
        <v>934</v>
      </c>
      <c r="AF14" s="60" t="s">
        <v>934</v>
      </c>
      <c r="AG14" s="60" t="s">
        <v>934</v>
      </c>
      <c r="AH14" s="67">
        <f t="shared" ref="AH14:AP14" si="29">COUNTIF($C14:$AF14,AH$4)</f>
        <v>0</v>
      </c>
      <c r="AI14" s="67">
        <f t="shared" si="29"/>
        <v>0</v>
      </c>
      <c r="AJ14" s="67">
        <f t="shared" si="29"/>
        <v>0</v>
      </c>
      <c r="AK14" s="67">
        <f t="shared" si="29"/>
        <v>0</v>
      </c>
      <c r="AL14" s="67">
        <f t="shared" si="29"/>
        <v>0</v>
      </c>
      <c r="AM14" s="67">
        <f t="shared" si="29"/>
        <v>2</v>
      </c>
      <c r="AN14" s="67">
        <f t="shared" si="29"/>
        <v>1</v>
      </c>
      <c r="AO14" s="67">
        <f t="shared" si="29"/>
        <v>0</v>
      </c>
      <c r="AP14" s="67">
        <f t="shared" si="29"/>
        <v>0</v>
      </c>
      <c r="AQ14" s="76"/>
      <c r="AR14" s="76"/>
      <c r="AS14" s="77">
        <f>SUMPRODUCT(--(WEEKDAY(C$3:AG$3,2)&lt;5),--ISNUMBER(MATCH(C14:AG14,{"DM","CS1","CS2","SB1","AE","CS/B"},0)))</f>
        <v>0</v>
      </c>
      <c r="AT14" s="77"/>
      <c r="AU14" s="77">
        <f>SUMPRODUCT(--(WEEKDAY(C$3:AG$3,2)=5),--ISNUMBER(MATCH(C14:AG14,{"DM","CS1","CS2","SB1","AE","CS/B","WEEKEND OUTFIELD RESERVE"},0)))</f>
        <v>0</v>
      </c>
      <c r="AV14" s="77">
        <f>SUMPRODUCT(--(WEEKDAY(C$3:AG$3,2)&gt;5),--ISNUMBER(MATCH(C14:AG14,{"DM","CS1","CS2","SB1","AE","CS/B","WEEKEND OUTFIELD RESERVE"},0)))</f>
        <v>1</v>
      </c>
      <c r="AW14" s="77"/>
      <c r="AX14" s="77">
        <f t="shared" si="3"/>
        <v>3</v>
      </c>
      <c r="AY14" s="77">
        <f t="shared" si="4"/>
        <v>1</v>
      </c>
      <c r="AZ14" s="77">
        <f t="shared" si="5"/>
        <v>0</v>
      </c>
      <c r="BA14" s="76">
        <f t="shared" si="6"/>
        <v>3</v>
      </c>
      <c r="BB14" s="77">
        <f t="shared" si="7"/>
        <v>0</v>
      </c>
      <c r="BC14" s="77">
        <f t="shared" si="8"/>
        <v>0</v>
      </c>
      <c r="BD14" s="77">
        <f t="shared" si="9"/>
        <v>0</v>
      </c>
      <c r="BE14" s="77">
        <f t="shared" si="10"/>
        <v>0</v>
      </c>
      <c r="BF14" s="77">
        <f t="shared" si="11"/>
        <v>0</v>
      </c>
      <c r="BG14" s="77">
        <f t="shared" si="12"/>
        <v>0</v>
      </c>
      <c r="BH14" s="77">
        <f t="shared" si="13"/>
        <v>0</v>
      </c>
      <c r="BI14" s="77">
        <f t="shared" si="14"/>
        <v>0</v>
      </c>
      <c r="BJ14" s="77">
        <f t="shared" si="15"/>
        <v>0</v>
      </c>
      <c r="BK14" s="77">
        <f t="shared" si="16"/>
        <v>0</v>
      </c>
      <c r="BL14" s="77">
        <f t="shared" si="17"/>
        <v>0</v>
      </c>
      <c r="BM14" s="77">
        <f t="shared" si="25"/>
        <v>0</v>
      </c>
      <c r="BN14" s="77">
        <f t="shared" si="26"/>
        <v>0</v>
      </c>
      <c r="BO14" s="77">
        <f t="shared" si="27"/>
        <v>0</v>
      </c>
      <c r="BP14" s="77"/>
    </row>
    <row r="15" ht="47.25" customHeight="1" spans="1:68">
      <c r="A15" s="67"/>
      <c r="B15" s="76" t="s">
        <v>935</v>
      </c>
      <c r="C15" s="60"/>
      <c r="D15" s="53"/>
      <c r="E15" s="60"/>
      <c r="F15" s="53"/>
      <c r="G15" s="53" t="s">
        <v>65</v>
      </c>
      <c r="H15" s="60"/>
      <c r="I15" s="60"/>
      <c r="J15" s="60"/>
      <c r="K15" s="60"/>
      <c r="L15" s="53"/>
      <c r="M15" s="60"/>
      <c r="N15" s="60"/>
      <c r="O15" s="60" t="s">
        <v>934</v>
      </c>
      <c r="P15" s="60" t="s">
        <v>934</v>
      </c>
      <c r="Q15" s="60" t="s">
        <v>934</v>
      </c>
      <c r="R15" s="60" t="s">
        <v>934</v>
      </c>
      <c r="S15" s="60" t="s">
        <v>934</v>
      </c>
      <c r="T15" s="60" t="s">
        <v>934</v>
      </c>
      <c r="U15" s="60" t="s">
        <v>934</v>
      </c>
      <c r="V15" s="60" t="s">
        <v>934</v>
      </c>
      <c r="W15" s="60" t="s">
        <v>934</v>
      </c>
      <c r="X15" s="60" t="s">
        <v>934</v>
      </c>
      <c r="Y15" s="60" t="s">
        <v>934</v>
      </c>
      <c r="Z15" s="60" t="s">
        <v>934</v>
      </c>
      <c r="AA15" s="60" t="s">
        <v>934</v>
      </c>
      <c r="AB15" s="60" t="s">
        <v>934</v>
      </c>
      <c r="AC15" s="60" t="s">
        <v>934</v>
      </c>
      <c r="AD15" s="60" t="s">
        <v>934</v>
      </c>
      <c r="AE15" s="83" t="s">
        <v>934</v>
      </c>
      <c r="AF15" s="60" t="s">
        <v>934</v>
      </c>
      <c r="AG15" s="60" t="s">
        <v>934</v>
      </c>
      <c r="AH15" s="67">
        <f t="shared" ref="AH15:AP15" si="30">COUNTIF($C15:$AF15,AH$4)</f>
        <v>0</v>
      </c>
      <c r="AI15" s="67">
        <f t="shared" si="30"/>
        <v>0</v>
      </c>
      <c r="AJ15" s="67">
        <f t="shared" si="30"/>
        <v>0</v>
      </c>
      <c r="AK15" s="67">
        <f t="shared" si="30"/>
        <v>0</v>
      </c>
      <c r="AL15" s="67">
        <f t="shared" si="30"/>
        <v>0</v>
      </c>
      <c r="AM15" s="67">
        <f t="shared" si="30"/>
        <v>0</v>
      </c>
      <c r="AN15" s="67">
        <f t="shared" si="30"/>
        <v>1</v>
      </c>
      <c r="AO15" s="67">
        <f t="shared" si="30"/>
        <v>0</v>
      </c>
      <c r="AP15" s="67">
        <f t="shared" si="30"/>
        <v>0</v>
      </c>
      <c r="AQ15" s="76"/>
      <c r="AR15" s="76"/>
      <c r="AS15" s="77">
        <f>SUMPRODUCT(--(WEEKDAY(C$3:AG$3,2)&lt;5),--ISNUMBER(MATCH(C15:AG15,{"DM","CS1","CS2","SB1","AE","CS/B"},0)))</f>
        <v>0</v>
      </c>
      <c r="AT15" s="77"/>
      <c r="AU15" s="77">
        <f>SUMPRODUCT(--(WEEKDAY(C$3:AG$3,2)=5),--ISNUMBER(MATCH(C15:AG15,{"DM","CS1","CS2","SB1","AE","CS/B","WEEKEND OUTFIELD RESERVE"},0)))</f>
        <v>0</v>
      </c>
      <c r="AV15" s="77">
        <f>SUMPRODUCT(--(WEEKDAY(C$3:AG$3,2)&gt;5),--ISNUMBER(MATCH(C15:AG15,{"DM","CS1","CS2","SB1","AE","CS/B","WEEKEND OUTFIELD RESERVE"},0)))</f>
        <v>1</v>
      </c>
      <c r="AW15" s="77"/>
      <c r="AX15" s="77">
        <f t="shared" si="3"/>
        <v>2</v>
      </c>
      <c r="AY15" s="77">
        <f t="shared" si="4"/>
        <v>1</v>
      </c>
      <c r="AZ15" s="77">
        <f t="shared" si="5"/>
        <v>0</v>
      </c>
      <c r="BA15" s="76">
        <f t="shared" si="6"/>
        <v>2</v>
      </c>
      <c r="BB15" s="77">
        <f t="shared" si="7"/>
        <v>0</v>
      </c>
      <c r="BC15" s="77">
        <f t="shared" si="8"/>
        <v>0</v>
      </c>
      <c r="BD15" s="77">
        <f t="shared" si="9"/>
        <v>0</v>
      </c>
      <c r="BE15" s="77">
        <f t="shared" si="10"/>
        <v>0</v>
      </c>
      <c r="BF15" s="77">
        <f t="shared" si="11"/>
        <v>0</v>
      </c>
      <c r="BG15" s="77">
        <f t="shared" si="12"/>
        <v>0</v>
      </c>
      <c r="BH15" s="77">
        <f t="shared" si="13"/>
        <v>0</v>
      </c>
      <c r="BI15" s="77">
        <f t="shared" si="14"/>
        <v>0</v>
      </c>
      <c r="BJ15" s="77">
        <f t="shared" si="15"/>
        <v>0</v>
      </c>
      <c r="BK15" s="77">
        <f t="shared" si="16"/>
        <v>0</v>
      </c>
      <c r="BL15" s="77">
        <f t="shared" si="17"/>
        <v>0</v>
      </c>
      <c r="BM15" s="77">
        <f t="shared" si="25"/>
        <v>0</v>
      </c>
      <c r="BN15" s="77">
        <f t="shared" si="26"/>
        <v>0</v>
      </c>
      <c r="BO15" s="77">
        <f t="shared" si="27"/>
        <v>0</v>
      </c>
      <c r="BP15" s="77"/>
    </row>
    <row r="16" ht="47.25" customHeight="1" spans="1:68">
      <c r="A16" s="67"/>
      <c r="B16" s="76" t="s">
        <v>936</v>
      </c>
      <c r="C16" s="60"/>
      <c r="D16" s="53"/>
      <c r="E16" s="60"/>
      <c r="F16" s="53"/>
      <c r="G16" s="53"/>
      <c r="H16" s="60"/>
      <c r="I16" s="60"/>
      <c r="J16" s="60"/>
      <c r="K16" s="60"/>
      <c r="L16" s="53" t="s">
        <v>58</v>
      </c>
      <c r="M16" s="60"/>
      <c r="N16" s="60"/>
      <c r="O16" s="60" t="s">
        <v>93</v>
      </c>
      <c r="P16" s="60"/>
      <c r="Q16" s="60"/>
      <c r="R16" s="60"/>
      <c r="S16" s="60"/>
      <c r="T16" s="53"/>
      <c r="U16" s="60"/>
      <c r="V16" s="60"/>
      <c r="W16" s="60"/>
      <c r="X16" s="60"/>
      <c r="Y16" s="60"/>
      <c r="Z16" s="60"/>
      <c r="AA16" s="60"/>
      <c r="AB16" s="53"/>
      <c r="AC16" s="53"/>
      <c r="AD16" s="60"/>
      <c r="AE16" s="84"/>
      <c r="AF16" s="60"/>
      <c r="AG16" s="60"/>
      <c r="AH16" s="67">
        <f t="shared" ref="AH16:AP16" si="31">COUNTIF($C16:$AF16,AH$4)</f>
        <v>0</v>
      </c>
      <c r="AI16" s="67">
        <f t="shared" si="31"/>
        <v>0</v>
      </c>
      <c r="AJ16" s="67">
        <f t="shared" si="31"/>
        <v>0</v>
      </c>
      <c r="AK16" s="67">
        <f t="shared" si="31"/>
        <v>0</v>
      </c>
      <c r="AL16" s="67">
        <f t="shared" si="31"/>
        <v>1</v>
      </c>
      <c r="AM16" s="67">
        <f t="shared" si="31"/>
        <v>1</v>
      </c>
      <c r="AN16" s="67">
        <f t="shared" si="31"/>
        <v>0</v>
      </c>
      <c r="AO16" s="67">
        <f t="shared" si="31"/>
        <v>0</v>
      </c>
      <c r="AP16" s="67">
        <f t="shared" si="31"/>
        <v>0</v>
      </c>
      <c r="AQ16" s="76"/>
      <c r="AR16" s="76"/>
      <c r="AS16" s="77">
        <f>SUMPRODUCT(--(WEEKDAY(C$3:AG$3,2)&lt;5),--ISNUMBER(MATCH(C16:AG16,{"DM","CS1","CS2","SB1","AE","CS/B"},0)))</f>
        <v>0</v>
      </c>
      <c r="AT16" s="77"/>
      <c r="AU16" s="77">
        <f>SUMPRODUCT(--(WEEKDAY(C$3:AG$3,2)=5),--ISNUMBER(MATCH(C16:AG16,{"DM","CS1","CS2","SB1","AE","CS/B","WEEKEND OUTFIELD RESERVE"},0)))</f>
        <v>1</v>
      </c>
      <c r="AV16" s="77">
        <f>SUMPRODUCT(--(WEEKDAY(C$3:AG$3,2)&gt;5),--ISNUMBER(MATCH(C16:AG16,{"DM","CS1","CS2","SB1","AE","CS/B","WEEKEND OUTFIELD RESERVE"},0)))</f>
        <v>0</v>
      </c>
      <c r="AW16" s="77"/>
      <c r="AX16" s="77">
        <f t="shared" si="3"/>
        <v>2</v>
      </c>
      <c r="AY16" s="77">
        <f t="shared" si="4"/>
        <v>1</v>
      </c>
      <c r="AZ16" s="77">
        <f t="shared" si="5"/>
        <v>0</v>
      </c>
      <c r="BA16" s="76">
        <f t="shared" si="6"/>
        <v>2</v>
      </c>
      <c r="BB16" s="77">
        <f t="shared" si="7"/>
        <v>0</v>
      </c>
      <c r="BC16" s="77">
        <f t="shared" si="8"/>
        <v>0</v>
      </c>
      <c r="BD16" s="77">
        <f t="shared" si="9"/>
        <v>0</v>
      </c>
      <c r="BE16" s="77">
        <f t="shared" si="10"/>
        <v>0</v>
      </c>
      <c r="BF16" s="77">
        <f t="shared" si="11"/>
        <v>0</v>
      </c>
      <c r="BG16" s="77">
        <f t="shared" si="12"/>
        <v>0</v>
      </c>
      <c r="BH16" s="77">
        <f t="shared" si="13"/>
        <v>0</v>
      </c>
      <c r="BI16" s="77">
        <f t="shared" si="14"/>
        <v>0</v>
      </c>
      <c r="BJ16" s="77">
        <f t="shared" si="15"/>
        <v>0</v>
      </c>
      <c r="BK16" s="77">
        <f t="shared" si="16"/>
        <v>0</v>
      </c>
      <c r="BL16" s="77">
        <f t="shared" si="17"/>
        <v>0</v>
      </c>
      <c r="BM16" s="77">
        <f t="shared" si="25"/>
        <v>0</v>
      </c>
      <c r="BN16" s="77">
        <f t="shared" si="26"/>
        <v>0</v>
      </c>
      <c r="BO16" s="77">
        <f t="shared" si="27"/>
        <v>0</v>
      </c>
      <c r="BP16" s="77"/>
    </row>
    <row r="17" ht="47.25" customHeight="1" spans="1:68">
      <c r="A17" s="67"/>
      <c r="B17" s="76" t="s">
        <v>937</v>
      </c>
      <c r="C17" s="60"/>
      <c r="D17" s="53"/>
      <c r="E17" s="60"/>
      <c r="F17" s="53"/>
      <c r="G17" s="53"/>
      <c r="H17" s="60"/>
      <c r="I17" s="60"/>
      <c r="J17" s="60"/>
      <c r="K17" s="60"/>
      <c r="L17" s="53"/>
      <c r="M17" s="60"/>
      <c r="N17" s="60"/>
      <c r="O17" s="53"/>
      <c r="P17" s="60" t="s">
        <v>65</v>
      </c>
      <c r="Q17" s="60"/>
      <c r="R17" s="60"/>
      <c r="S17" s="60"/>
      <c r="T17" s="53"/>
      <c r="U17" s="60"/>
      <c r="V17" s="60"/>
      <c r="W17" s="60"/>
      <c r="X17" s="60"/>
      <c r="Y17" s="60" t="s">
        <v>65</v>
      </c>
      <c r="Z17" s="60"/>
      <c r="AA17" s="60"/>
      <c r="AB17" s="53"/>
      <c r="AC17" s="53"/>
      <c r="AD17" s="60"/>
      <c r="AE17" s="79"/>
      <c r="AF17" s="60"/>
      <c r="AG17" s="60"/>
      <c r="AH17" s="67">
        <f t="shared" ref="AH17:AP17" si="32">COUNTIF($C17:$AF17,AH$4)</f>
        <v>0</v>
      </c>
      <c r="AI17" s="67">
        <f t="shared" si="32"/>
        <v>0</v>
      </c>
      <c r="AJ17" s="67">
        <f t="shared" si="32"/>
        <v>0</v>
      </c>
      <c r="AK17" s="67">
        <f t="shared" si="32"/>
        <v>0</v>
      </c>
      <c r="AL17" s="67">
        <f t="shared" si="32"/>
        <v>0</v>
      </c>
      <c r="AM17" s="67">
        <f t="shared" si="32"/>
        <v>0</v>
      </c>
      <c r="AN17" s="67">
        <f t="shared" si="32"/>
        <v>2</v>
      </c>
      <c r="AO17" s="67">
        <f t="shared" si="32"/>
        <v>0</v>
      </c>
      <c r="AP17" s="67">
        <f t="shared" si="32"/>
        <v>0</v>
      </c>
      <c r="AQ17" s="76"/>
      <c r="AR17" s="76"/>
      <c r="AS17" s="77">
        <f>SUMPRODUCT(--(WEEKDAY(C$3:AG$3,2)&lt;5),--ISNUMBER(MATCH(C17:AG17,{"DM","CS1","CS2","SB1","AE","CS/B"},0)))</f>
        <v>2</v>
      </c>
      <c r="AT17" s="77"/>
      <c r="AU17" s="77">
        <f>SUMPRODUCT(--(WEEKDAY(C$3:AG$3,2)=5),--ISNUMBER(MATCH(C17:AG17,{"DM","CS1","CS2","SB1","AE","CS/B","WEEKEND OUTFIELD RESERVE"},0)))</f>
        <v>0</v>
      </c>
      <c r="AV17" s="77">
        <f>SUMPRODUCT(--(WEEKDAY(C$3:AG$3,2)&gt;5),--ISNUMBER(MATCH(C17:AG17,{"DM","CS1","CS2","SB1","AE","CS/B","WEEKEND OUTFIELD RESERVE"},0)))</f>
        <v>0</v>
      </c>
      <c r="AW17" s="77"/>
      <c r="AX17" s="77">
        <f t="shared" si="3"/>
        <v>2</v>
      </c>
      <c r="AY17" s="77">
        <f t="shared" si="4"/>
        <v>2</v>
      </c>
      <c r="AZ17" s="77">
        <f t="shared" si="5"/>
        <v>0</v>
      </c>
      <c r="BA17" s="76">
        <f t="shared" si="6"/>
        <v>2</v>
      </c>
      <c r="BB17" s="77">
        <f t="shared" si="7"/>
        <v>0</v>
      </c>
      <c r="BC17" s="77">
        <f t="shared" si="8"/>
        <v>0</v>
      </c>
      <c r="BD17" s="77">
        <f t="shared" si="9"/>
        <v>0</v>
      </c>
      <c r="BE17" s="77">
        <f t="shared" si="10"/>
        <v>0</v>
      </c>
      <c r="BF17" s="77">
        <f t="shared" si="11"/>
        <v>0</v>
      </c>
      <c r="BG17" s="77">
        <f t="shared" si="12"/>
        <v>0</v>
      </c>
      <c r="BH17" s="77">
        <f t="shared" si="13"/>
        <v>0</v>
      </c>
      <c r="BI17" s="77">
        <f t="shared" si="14"/>
        <v>0</v>
      </c>
      <c r="BJ17" s="77">
        <f t="shared" si="15"/>
        <v>0</v>
      </c>
      <c r="BK17" s="77">
        <f t="shared" si="16"/>
        <v>0</v>
      </c>
      <c r="BL17" s="77">
        <f t="shared" si="17"/>
        <v>0</v>
      </c>
      <c r="BM17" s="77">
        <f t="shared" si="25"/>
        <v>0</v>
      </c>
      <c r="BN17" s="77">
        <f t="shared" si="26"/>
        <v>0</v>
      </c>
      <c r="BO17" s="77">
        <f t="shared" si="27"/>
        <v>0</v>
      </c>
      <c r="BP17" s="77"/>
    </row>
    <row r="18" ht="47.25" customHeight="1" spans="1:68">
      <c r="A18" s="67"/>
      <c r="B18" s="76" t="s">
        <v>938</v>
      </c>
      <c r="C18" s="60"/>
      <c r="D18" s="53"/>
      <c r="E18" s="60"/>
      <c r="F18" s="53"/>
      <c r="G18" s="53"/>
      <c r="H18" s="60"/>
      <c r="I18" s="60"/>
      <c r="J18" s="60"/>
      <c r="K18" s="60"/>
      <c r="L18" s="53"/>
      <c r="M18" s="60"/>
      <c r="N18" s="60"/>
      <c r="O18" s="60"/>
      <c r="P18" s="60"/>
      <c r="Q18" s="60"/>
      <c r="R18" s="60"/>
      <c r="S18" s="60"/>
      <c r="T18" s="53"/>
      <c r="U18" s="60"/>
      <c r="V18" s="60"/>
      <c r="W18" s="60"/>
      <c r="X18" s="60"/>
      <c r="Y18" s="60" t="s">
        <v>93</v>
      </c>
      <c r="Z18" s="60"/>
      <c r="AA18" s="60"/>
      <c r="AB18" s="53"/>
      <c r="AC18" s="53" t="s">
        <v>65</v>
      </c>
      <c r="AD18" s="60"/>
      <c r="AE18" s="84"/>
      <c r="AF18" s="60" t="s">
        <v>939</v>
      </c>
      <c r="AG18" s="60"/>
      <c r="AH18" s="67">
        <f t="shared" ref="AH18:AP18" si="33">COUNTIF($C18:$AF18,AH$4)</f>
        <v>0</v>
      </c>
      <c r="AI18" s="67">
        <f t="shared" si="33"/>
        <v>0</v>
      </c>
      <c r="AJ18" s="67">
        <f t="shared" si="33"/>
        <v>0</v>
      </c>
      <c r="AK18" s="67">
        <f t="shared" si="33"/>
        <v>0</v>
      </c>
      <c r="AL18" s="67">
        <f t="shared" si="33"/>
        <v>0</v>
      </c>
      <c r="AM18" s="67">
        <f t="shared" si="33"/>
        <v>1</v>
      </c>
      <c r="AN18" s="67">
        <f t="shared" si="33"/>
        <v>1</v>
      </c>
      <c r="AO18" s="67">
        <f t="shared" si="33"/>
        <v>0</v>
      </c>
      <c r="AP18" s="67">
        <f t="shared" si="33"/>
        <v>0</v>
      </c>
      <c r="AQ18" s="76"/>
      <c r="AR18" s="76"/>
      <c r="AS18" s="77">
        <f>SUMPRODUCT(--(WEEKDAY(C$3:AG$3,2)&lt;5),--ISNUMBER(MATCH(C18:AG18,{"DM","CS1","CS2","SB1","AE","CS/B"},0)))</f>
        <v>1</v>
      </c>
      <c r="AT18" s="77"/>
      <c r="AU18" s="77">
        <f>SUMPRODUCT(--(WEEKDAY(C$3:AG$3,2)=5),--ISNUMBER(MATCH(C18:AG18,{"DM","CS1","CS2","SB1","AE","CS/B","WEEKEND OUTFIELD RESERVE"},0)))</f>
        <v>0</v>
      </c>
      <c r="AV18" s="77">
        <f>SUMPRODUCT(--(WEEKDAY(C$3:AG$3,2)&gt;5),--ISNUMBER(MATCH(C18:AG18,{"DM","CS1","CS2","SB1","AE","CS/B","WEEKEND OUTFIELD RESERVE"},0)))</f>
        <v>0</v>
      </c>
      <c r="AW18" s="77"/>
      <c r="AX18" s="77">
        <f t="shared" si="3"/>
        <v>1.5</v>
      </c>
      <c r="AY18" s="77">
        <f t="shared" si="4"/>
        <v>1</v>
      </c>
      <c r="AZ18" s="77">
        <f t="shared" si="5"/>
        <v>0</v>
      </c>
      <c r="BA18" s="76">
        <f t="shared" si="6"/>
        <v>1.5</v>
      </c>
      <c r="BB18" s="77">
        <f t="shared" si="7"/>
        <v>0</v>
      </c>
      <c r="BC18" s="77">
        <f t="shared" si="8"/>
        <v>0</v>
      </c>
      <c r="BD18" s="77">
        <f t="shared" si="9"/>
        <v>0</v>
      </c>
      <c r="BE18" s="77">
        <f t="shared" si="10"/>
        <v>0</v>
      </c>
      <c r="BF18" s="77">
        <f t="shared" si="11"/>
        <v>0</v>
      </c>
      <c r="BG18" s="77">
        <f t="shared" si="12"/>
        <v>0</v>
      </c>
      <c r="BH18" s="77">
        <f t="shared" si="13"/>
        <v>0</v>
      </c>
      <c r="BI18" s="77">
        <f t="shared" si="14"/>
        <v>0</v>
      </c>
      <c r="BJ18" s="77">
        <f t="shared" si="15"/>
        <v>0</v>
      </c>
      <c r="BK18" s="77">
        <f t="shared" si="16"/>
        <v>0</v>
      </c>
      <c r="BL18" s="77">
        <f t="shared" si="17"/>
        <v>0</v>
      </c>
      <c r="BM18" s="77">
        <f t="shared" si="25"/>
        <v>0</v>
      </c>
      <c r="BN18" s="77">
        <f t="shared" si="26"/>
        <v>0</v>
      </c>
      <c r="BO18" s="77">
        <f t="shared" si="27"/>
        <v>0</v>
      </c>
      <c r="BP18" s="77"/>
    </row>
    <row r="19" ht="47.25" customHeight="1" spans="1:68">
      <c r="A19" s="67"/>
      <c r="B19" s="76" t="s">
        <v>940</v>
      </c>
      <c r="C19" s="60"/>
      <c r="D19" s="53"/>
      <c r="E19" s="60"/>
      <c r="F19" s="53"/>
      <c r="G19" s="53"/>
      <c r="H19" s="60"/>
      <c r="I19" s="60"/>
      <c r="J19" s="60"/>
      <c r="K19" s="60"/>
      <c r="L19" s="60" t="s">
        <v>65</v>
      </c>
      <c r="M19" s="60"/>
      <c r="N19" s="60"/>
      <c r="O19" s="60"/>
      <c r="P19" s="60"/>
      <c r="Q19" s="60"/>
      <c r="R19" s="60"/>
      <c r="S19" s="60"/>
      <c r="T19" s="53"/>
      <c r="U19" s="60"/>
      <c r="V19" s="60"/>
      <c r="W19" s="60" t="s">
        <v>573</v>
      </c>
      <c r="X19" s="60"/>
      <c r="Y19" s="60"/>
      <c r="Z19" s="60" t="s">
        <v>93</v>
      </c>
      <c r="AA19" s="60"/>
      <c r="AB19" s="53"/>
      <c r="AC19" s="53"/>
      <c r="AD19" s="60" t="s">
        <v>65</v>
      </c>
      <c r="AE19" s="79"/>
      <c r="AF19" s="60"/>
      <c r="AG19" s="60"/>
      <c r="AH19" s="67">
        <f t="shared" ref="AH19:AP19" si="34">COUNTIF($C19:$AF19,AH$4)</f>
        <v>0</v>
      </c>
      <c r="AI19" s="67">
        <f t="shared" si="34"/>
        <v>0</v>
      </c>
      <c r="AJ19" s="67">
        <f t="shared" si="34"/>
        <v>0</v>
      </c>
      <c r="AK19" s="67">
        <f t="shared" si="34"/>
        <v>0</v>
      </c>
      <c r="AL19" s="67">
        <f t="shared" si="34"/>
        <v>0</v>
      </c>
      <c r="AM19" s="67">
        <f t="shared" si="34"/>
        <v>1</v>
      </c>
      <c r="AN19" s="67">
        <f t="shared" si="34"/>
        <v>2</v>
      </c>
      <c r="AO19" s="67">
        <f t="shared" si="34"/>
        <v>0</v>
      </c>
      <c r="AP19" s="67">
        <f t="shared" si="34"/>
        <v>0</v>
      </c>
      <c r="AQ19" s="76"/>
      <c r="AR19" s="76"/>
      <c r="AS19" s="77">
        <f>SUMPRODUCT(--(WEEKDAY(C$3:AG$3,2)&lt;5),--ISNUMBER(MATCH(C19:AG19,{"DM","CS1","CS2","SB1","AE","CS/B"},0)))</f>
        <v>1</v>
      </c>
      <c r="AT19" s="77"/>
      <c r="AU19" s="77">
        <f>SUMPRODUCT(--(WEEKDAY(C$3:AG$3,2)=5),--ISNUMBER(MATCH(C19:AG19,{"DM","CS1","CS2","SB1","AE","CS/B","WEEKEND OUTFIELD RESERVE"},0)))</f>
        <v>1</v>
      </c>
      <c r="AV19" s="77">
        <f>SUMPRODUCT(--(WEEKDAY(C$3:AG$3,2)&gt;5),--ISNUMBER(MATCH(C19:AG19,{"DM","CS1","CS2","SB1","AE","CS/B","WEEKEND OUTFIELD RESERVE"},0)))</f>
        <v>0</v>
      </c>
      <c r="AW19" s="77"/>
      <c r="AX19" s="77">
        <f t="shared" si="3"/>
        <v>3</v>
      </c>
      <c r="AY19" s="77">
        <f t="shared" si="4"/>
        <v>2</v>
      </c>
      <c r="AZ19" s="77">
        <f t="shared" si="5"/>
        <v>0</v>
      </c>
      <c r="BA19" s="76">
        <f t="shared" si="6"/>
        <v>3</v>
      </c>
      <c r="BB19" s="77">
        <f t="shared" si="7"/>
        <v>0</v>
      </c>
      <c r="BC19" s="77">
        <f t="shared" si="8"/>
        <v>0</v>
      </c>
      <c r="BD19" s="77">
        <f t="shared" si="9"/>
        <v>0</v>
      </c>
      <c r="BE19" s="77">
        <f t="shared" si="10"/>
        <v>0</v>
      </c>
      <c r="BF19" s="77">
        <f t="shared" si="11"/>
        <v>0</v>
      </c>
      <c r="BG19" s="77">
        <f t="shared" si="12"/>
        <v>0</v>
      </c>
      <c r="BH19" s="77">
        <f t="shared" si="13"/>
        <v>0</v>
      </c>
      <c r="BI19" s="77">
        <f t="shared" si="14"/>
        <v>0</v>
      </c>
      <c r="BJ19" s="77">
        <f t="shared" si="15"/>
        <v>0</v>
      </c>
      <c r="BK19" s="77">
        <f t="shared" si="16"/>
        <v>0</v>
      </c>
      <c r="BL19" s="77">
        <f t="shared" si="17"/>
        <v>0</v>
      </c>
      <c r="BM19" s="77">
        <f t="shared" si="25"/>
        <v>0</v>
      </c>
      <c r="BN19" s="77">
        <f t="shared" si="26"/>
        <v>0</v>
      </c>
      <c r="BO19" s="77">
        <f t="shared" si="27"/>
        <v>0</v>
      </c>
      <c r="BP19" s="77"/>
    </row>
    <row r="20" ht="47.25" customHeight="1" spans="1:68">
      <c r="A20" s="67"/>
      <c r="B20" s="76" t="s">
        <v>941</v>
      </c>
      <c r="C20" s="60"/>
      <c r="D20" s="53"/>
      <c r="E20" s="60"/>
      <c r="F20" s="53"/>
      <c r="G20" s="53"/>
      <c r="H20" s="60"/>
      <c r="I20" s="60"/>
      <c r="J20" s="60"/>
      <c r="K20" s="60"/>
      <c r="L20" s="53"/>
      <c r="M20" s="60"/>
      <c r="N20" s="60"/>
      <c r="O20" s="60"/>
      <c r="P20" s="60" t="s">
        <v>93</v>
      </c>
      <c r="Q20" s="60"/>
      <c r="R20" s="60"/>
      <c r="T20" s="53"/>
      <c r="U20" s="60"/>
      <c r="V20" s="60"/>
      <c r="W20" s="60"/>
      <c r="X20" s="60"/>
      <c r="Y20" s="60"/>
      <c r="Z20" s="60" t="s">
        <v>58</v>
      </c>
      <c r="AA20" s="60"/>
      <c r="AB20" s="53"/>
      <c r="AC20" s="53"/>
      <c r="AD20" s="60"/>
      <c r="AE20" s="84"/>
      <c r="AF20" s="60"/>
      <c r="AG20" s="60"/>
      <c r="AH20" s="67">
        <f t="shared" ref="AH20:AP20" si="35">COUNTIF($C20:$AF20,AH$4)</f>
        <v>0</v>
      </c>
      <c r="AI20" s="67">
        <f t="shared" si="35"/>
        <v>0</v>
      </c>
      <c r="AJ20" s="67">
        <f t="shared" si="35"/>
        <v>0</v>
      </c>
      <c r="AK20" s="67">
        <f t="shared" si="35"/>
        <v>0</v>
      </c>
      <c r="AL20" s="67">
        <f t="shared" si="35"/>
        <v>1</v>
      </c>
      <c r="AM20" s="67">
        <f t="shared" si="35"/>
        <v>1</v>
      </c>
      <c r="AN20" s="67">
        <f t="shared" si="35"/>
        <v>0</v>
      </c>
      <c r="AO20" s="67">
        <f t="shared" si="35"/>
        <v>0</v>
      </c>
      <c r="AP20" s="67">
        <f t="shared" si="35"/>
        <v>0</v>
      </c>
      <c r="AQ20" s="76"/>
      <c r="AR20" s="76"/>
      <c r="AS20" s="77">
        <f>SUMPRODUCT(--(WEEKDAY(C$3:AG$3,2)&lt;5),--ISNUMBER(MATCH(C20:AG20,{"DM","CS1","CS2","SB1","AE","CS/B"},0)))</f>
        <v>0</v>
      </c>
      <c r="AT20" s="77"/>
      <c r="AU20" s="77">
        <f>SUMPRODUCT(--(WEEKDAY(C$3:AG$3,2)=5),--ISNUMBER(MATCH(C20:AG20,{"DM","CS1","CS2","SB1","AE","CS/B","WEEKEND OUTFIELD RESERVE"},0)))</f>
        <v>1</v>
      </c>
      <c r="AV20" s="77">
        <f>SUMPRODUCT(--(WEEKDAY(C$3:AG$3,2)&gt;5),--ISNUMBER(MATCH(C20:AG20,{"DM","CS1","CS2","SB1","AE","CS/B","WEEKEND OUTFIELD RESERVE"},0)))</f>
        <v>0</v>
      </c>
      <c r="AW20" s="77"/>
      <c r="AX20" s="77">
        <f t="shared" si="3"/>
        <v>2</v>
      </c>
      <c r="AY20" s="77">
        <f t="shared" si="4"/>
        <v>1</v>
      </c>
      <c r="AZ20" s="77">
        <f t="shared" si="5"/>
        <v>0</v>
      </c>
      <c r="BA20" s="76">
        <f t="shared" si="6"/>
        <v>2</v>
      </c>
      <c r="BB20" s="77">
        <f t="shared" si="7"/>
        <v>0</v>
      </c>
      <c r="BC20" s="77">
        <f t="shared" si="8"/>
        <v>0</v>
      </c>
      <c r="BD20" s="77">
        <f t="shared" si="9"/>
        <v>0</v>
      </c>
      <c r="BE20" s="77">
        <f t="shared" si="10"/>
        <v>0</v>
      </c>
      <c r="BF20" s="77">
        <f t="shared" si="11"/>
        <v>0</v>
      </c>
      <c r="BG20" s="77">
        <f t="shared" si="12"/>
        <v>0</v>
      </c>
      <c r="BH20" s="77">
        <f t="shared" si="13"/>
        <v>0</v>
      </c>
      <c r="BI20" s="77">
        <f t="shared" si="14"/>
        <v>0</v>
      </c>
      <c r="BJ20" s="77">
        <f t="shared" si="15"/>
        <v>0</v>
      </c>
      <c r="BK20" s="77">
        <f t="shared" si="16"/>
        <v>0</v>
      </c>
      <c r="BL20" s="77">
        <f t="shared" si="17"/>
        <v>0</v>
      </c>
      <c r="BM20" s="77">
        <f t="shared" si="25"/>
        <v>0</v>
      </c>
      <c r="BN20" s="77">
        <f t="shared" si="26"/>
        <v>0</v>
      </c>
      <c r="BO20" s="77">
        <f t="shared" si="27"/>
        <v>0</v>
      </c>
      <c r="BP20" s="77"/>
    </row>
    <row r="21" ht="47.25" customHeight="1" spans="1:68">
      <c r="A21" s="67"/>
      <c r="B21" s="76" t="s">
        <v>942</v>
      </c>
      <c r="C21" s="60"/>
      <c r="D21" s="53"/>
      <c r="E21" s="60"/>
      <c r="F21" s="53"/>
      <c r="G21" s="53"/>
      <c r="H21" s="60"/>
      <c r="I21" s="60"/>
      <c r="J21" s="60"/>
      <c r="K21" s="60"/>
      <c r="L21" s="53"/>
      <c r="M21" s="60"/>
      <c r="N21" s="60"/>
      <c r="O21" s="60"/>
      <c r="P21" s="60"/>
      <c r="Q21" s="60"/>
      <c r="R21" s="60"/>
      <c r="S21" s="60"/>
      <c r="T21" s="53"/>
      <c r="U21" s="60"/>
      <c r="V21" s="60"/>
      <c r="W21" s="60" t="s">
        <v>65</v>
      </c>
      <c r="X21" s="60"/>
      <c r="Y21" s="60"/>
      <c r="Z21" s="60"/>
      <c r="AA21" s="60"/>
      <c r="AB21" s="53"/>
      <c r="AC21" s="53"/>
      <c r="AD21" s="60"/>
      <c r="AE21" s="79"/>
      <c r="AF21" s="60"/>
      <c r="AG21" s="60" t="s">
        <v>58</v>
      </c>
      <c r="AH21" s="67">
        <f t="shared" ref="AH21:AP21" si="36">COUNTIF($C21:$AF21,AH$4)</f>
        <v>0</v>
      </c>
      <c r="AI21" s="67">
        <f t="shared" si="36"/>
        <v>0</v>
      </c>
      <c r="AJ21" s="67">
        <f t="shared" si="36"/>
        <v>0</v>
      </c>
      <c r="AK21" s="67">
        <f t="shared" si="36"/>
        <v>0</v>
      </c>
      <c r="AL21" s="67">
        <f t="shared" si="36"/>
        <v>0</v>
      </c>
      <c r="AM21" s="67">
        <f t="shared" si="36"/>
        <v>0</v>
      </c>
      <c r="AN21" s="67">
        <f t="shared" si="36"/>
        <v>1</v>
      </c>
      <c r="AO21" s="67">
        <f t="shared" si="36"/>
        <v>0</v>
      </c>
      <c r="AP21" s="67">
        <f t="shared" si="36"/>
        <v>0</v>
      </c>
      <c r="AQ21" s="76"/>
      <c r="AR21" s="76"/>
      <c r="AS21" s="77">
        <f>SUMPRODUCT(--(WEEKDAY(C$3:AG$3,2)&lt;5),--ISNUMBER(MATCH(C21:AG21,{"DM","CS1","CS2","SB1","AE","CS/B"},0)))</f>
        <v>1</v>
      </c>
      <c r="AT21" s="77"/>
      <c r="AU21" s="77">
        <f>SUMPRODUCT(--(WEEKDAY(C$3:AG$3,2)=5),--ISNUMBER(MATCH(C21:AG21,{"DM","CS1","CS2","SB1","AE","CS/B","WEEKEND OUTFIELD RESERVE"},0)))</f>
        <v>1</v>
      </c>
      <c r="AV21" s="77">
        <f>SUMPRODUCT(--(WEEKDAY(C$3:AG$3,2)&gt;5),--ISNUMBER(MATCH(C21:AG21,{"DM","CS1","CS2","SB1","AE","CS/B","WEEKEND OUTFIELD RESERVE"},0)))</f>
        <v>0</v>
      </c>
      <c r="AW21" s="77"/>
      <c r="AX21" s="77">
        <f t="shared" si="3"/>
        <v>2.5</v>
      </c>
      <c r="AY21" s="77">
        <f t="shared" si="4"/>
        <v>2</v>
      </c>
      <c r="AZ21" s="77">
        <f t="shared" si="5"/>
        <v>0</v>
      </c>
      <c r="BA21" s="76">
        <f t="shared" si="6"/>
        <v>2.5</v>
      </c>
      <c r="BB21" s="77">
        <f t="shared" si="7"/>
        <v>0</v>
      </c>
      <c r="BC21" s="77">
        <f t="shared" si="8"/>
        <v>0</v>
      </c>
      <c r="BD21" s="77">
        <f t="shared" si="9"/>
        <v>0</v>
      </c>
      <c r="BE21" s="77">
        <f t="shared" si="10"/>
        <v>0</v>
      </c>
      <c r="BF21" s="77">
        <f t="shared" si="11"/>
        <v>0</v>
      </c>
      <c r="BG21" s="77">
        <f t="shared" si="12"/>
        <v>0</v>
      </c>
      <c r="BH21" s="77">
        <f t="shared" si="13"/>
        <v>0</v>
      </c>
      <c r="BI21" s="77">
        <f t="shared" si="14"/>
        <v>0</v>
      </c>
      <c r="BJ21" s="77">
        <f t="shared" si="15"/>
        <v>0</v>
      </c>
      <c r="BK21" s="77">
        <f t="shared" si="16"/>
        <v>0</v>
      </c>
      <c r="BL21" s="77">
        <f t="shared" si="17"/>
        <v>0</v>
      </c>
      <c r="BM21" s="77">
        <f t="shared" si="25"/>
        <v>0</v>
      </c>
      <c r="BN21" s="77">
        <f t="shared" si="26"/>
        <v>0</v>
      </c>
      <c r="BO21" s="77">
        <f t="shared" si="27"/>
        <v>0</v>
      </c>
      <c r="BP21" s="77"/>
    </row>
    <row r="22" ht="45" customHeight="1" spans="1:68">
      <c r="A22" s="67"/>
      <c r="B22" s="76" t="s">
        <v>592</v>
      </c>
      <c r="C22" s="60"/>
      <c r="D22" s="60"/>
      <c r="E22" s="60"/>
      <c r="F22" s="60"/>
      <c r="G22" s="53"/>
      <c r="H22" s="53"/>
      <c r="I22" s="53"/>
      <c r="J22" s="60"/>
      <c r="K22" s="53"/>
      <c r="L22" s="60"/>
      <c r="M22" s="60"/>
      <c r="N22" s="60"/>
      <c r="O22" s="60"/>
      <c r="P22" s="60"/>
      <c r="Q22" s="60"/>
      <c r="R22" s="53"/>
      <c r="S22" s="60"/>
      <c r="T22" s="53"/>
      <c r="U22" s="53"/>
      <c r="V22" s="60"/>
      <c r="W22" s="60"/>
      <c r="X22" s="60"/>
      <c r="Y22" s="60"/>
      <c r="Z22" s="60"/>
      <c r="AA22" s="60"/>
      <c r="AB22" s="60"/>
      <c r="AC22" s="60"/>
      <c r="AD22" s="60"/>
      <c r="AE22" s="84"/>
      <c r="AF22" s="60"/>
      <c r="AG22" s="60"/>
      <c r="AH22" s="67">
        <f t="shared" ref="AH22:AP22" si="37">COUNTIF($C22:$AF22,AH$4)</f>
        <v>0</v>
      </c>
      <c r="AI22" s="67">
        <f t="shared" si="37"/>
        <v>0</v>
      </c>
      <c r="AJ22" s="67">
        <f t="shared" si="37"/>
        <v>0</v>
      </c>
      <c r="AK22" s="67">
        <f t="shared" si="37"/>
        <v>0</v>
      </c>
      <c r="AL22" s="67">
        <f t="shared" si="37"/>
        <v>0</v>
      </c>
      <c r="AM22" s="67">
        <f t="shared" si="37"/>
        <v>0</v>
      </c>
      <c r="AN22" s="67">
        <f t="shared" si="37"/>
        <v>0</v>
      </c>
      <c r="AO22" s="67">
        <f t="shared" si="37"/>
        <v>0</v>
      </c>
      <c r="AP22" s="67">
        <f t="shared" si="37"/>
        <v>0</v>
      </c>
      <c r="AQ22" s="76">
        <v>1</v>
      </c>
      <c r="AR22" s="76"/>
      <c r="AS22" s="77">
        <f>SUMPRODUCT(--(WEEKDAY(C$3:AG$3,2)&lt;5),--ISNUMBER(MATCH(C22:AG22,{"DM","CS1","CS2","SB1","AE","CS/B"},0)))</f>
        <v>0</v>
      </c>
      <c r="AT22" s="77"/>
      <c r="AU22" s="77">
        <f>SUMPRODUCT(--(WEEKDAY(C$3:AG$3,2)=5),--ISNUMBER(MATCH(C22:AG22,{"DM","CS1","CS2","SB1","AE","CS/B","WEEKEND OUTFIELD RESERVE"},0)))</f>
        <v>0</v>
      </c>
      <c r="AV22" s="77">
        <f>SUMPRODUCT(--(WEEKDAY(C$3:AG$3,2)&gt;5),--ISNUMBER(MATCH(C22:AG22,{"DM","CS1","CS2","SB1","AE","CS/B","WEEKEND OUTFIELD RESERVE"},0)))</f>
        <v>0</v>
      </c>
      <c r="AW22" s="77"/>
      <c r="AX22" s="77">
        <f t="shared" si="3"/>
        <v>1</v>
      </c>
      <c r="AY22" s="77">
        <f t="shared" si="4"/>
        <v>0</v>
      </c>
      <c r="AZ22" s="77">
        <f t="shared" si="5"/>
        <v>0</v>
      </c>
      <c r="BA22" s="76">
        <f t="shared" si="6"/>
        <v>1</v>
      </c>
      <c r="BB22" s="77">
        <f t="shared" si="7"/>
        <v>0</v>
      </c>
      <c r="BC22" s="77">
        <f t="shared" si="8"/>
        <v>0</v>
      </c>
      <c r="BD22" s="77">
        <f t="shared" si="9"/>
        <v>0</v>
      </c>
      <c r="BE22" s="77">
        <f t="shared" si="10"/>
        <v>0</v>
      </c>
      <c r="BF22" s="77">
        <f t="shared" si="11"/>
        <v>0</v>
      </c>
      <c r="BG22" s="77">
        <f t="shared" si="12"/>
        <v>0</v>
      </c>
      <c r="BH22" s="77">
        <f t="shared" si="13"/>
        <v>0</v>
      </c>
      <c r="BI22" s="77">
        <f t="shared" si="14"/>
        <v>0</v>
      </c>
      <c r="BJ22" s="77">
        <f t="shared" si="15"/>
        <v>0</v>
      </c>
      <c r="BK22" s="77">
        <f t="shared" si="16"/>
        <v>0</v>
      </c>
      <c r="BL22" s="77">
        <f t="shared" si="17"/>
        <v>0</v>
      </c>
      <c r="BM22" s="77">
        <f t="shared" si="25"/>
        <v>0</v>
      </c>
      <c r="BN22" s="77">
        <f t="shared" si="26"/>
        <v>0</v>
      </c>
      <c r="BO22" s="77">
        <f t="shared" si="27"/>
        <v>0</v>
      </c>
      <c r="BP22" s="77"/>
    </row>
    <row r="23" ht="51" customHeight="1" spans="1:68">
      <c r="A23" s="67"/>
      <c r="B23" s="76" t="s">
        <v>598</v>
      </c>
      <c r="C23" s="60"/>
      <c r="D23" s="60"/>
      <c r="E23" s="60" t="s">
        <v>56</v>
      </c>
      <c r="F23" s="60"/>
      <c r="G23" s="60"/>
      <c r="H23" s="60" t="s">
        <v>55</v>
      </c>
      <c r="I23" s="60" t="s">
        <v>58</v>
      </c>
      <c r="J23" s="60"/>
      <c r="K23" s="85" t="s">
        <v>986</v>
      </c>
      <c r="L23" s="60"/>
      <c r="N23" s="60" t="s">
        <v>56</v>
      </c>
      <c r="O23" s="60" t="s">
        <v>55</v>
      </c>
      <c r="P23" s="60"/>
      <c r="Q23" s="60"/>
      <c r="R23" s="60" t="s">
        <v>350</v>
      </c>
      <c r="S23" s="60"/>
      <c r="T23" s="60"/>
      <c r="U23" s="60"/>
      <c r="V23" s="60" t="s">
        <v>55</v>
      </c>
      <c r="W23" s="60"/>
      <c r="X23" s="60" t="s">
        <v>93</v>
      </c>
      <c r="Y23" s="60"/>
      <c r="Z23" s="53"/>
      <c r="AA23" s="60"/>
      <c r="AB23" s="60"/>
      <c r="AC23" s="53" t="s">
        <v>55</v>
      </c>
      <c r="AD23" s="60"/>
      <c r="AE23" s="79"/>
      <c r="AF23" s="60"/>
      <c r="AG23" s="60"/>
      <c r="AH23" s="67">
        <f t="shared" ref="AH23:AP23" si="38">COUNTIF($C23:$AF23,AH$4)</f>
        <v>0</v>
      </c>
      <c r="AI23" s="67">
        <f t="shared" si="38"/>
        <v>2</v>
      </c>
      <c r="AJ23" s="67">
        <f t="shared" si="38"/>
        <v>0</v>
      </c>
      <c r="AK23" s="67">
        <f t="shared" si="38"/>
        <v>0</v>
      </c>
      <c r="AL23" s="67">
        <f t="shared" si="38"/>
        <v>1</v>
      </c>
      <c r="AM23" s="67">
        <f t="shared" si="38"/>
        <v>1</v>
      </c>
      <c r="AN23" s="67">
        <f t="shared" si="38"/>
        <v>0</v>
      </c>
      <c r="AO23" s="67">
        <f t="shared" si="38"/>
        <v>0</v>
      </c>
      <c r="AP23" s="67">
        <f t="shared" si="38"/>
        <v>0</v>
      </c>
      <c r="AQ23" s="76">
        <v>0</v>
      </c>
      <c r="AR23" s="76"/>
      <c r="AS23" s="77">
        <f>SUMPRODUCT(--(WEEKDAY(C$3:AG$3,2)&lt;5),--ISNUMBER(MATCH(C23:AG23,{"DM","CS1","CS2","SB1","AE","CS/B"},0)))</f>
        <v>1</v>
      </c>
      <c r="AT23" s="77"/>
      <c r="AU23" s="77">
        <f>SUMPRODUCT(--(WEEKDAY(C$3:AG$3,2)=5),--ISNUMBER(MATCH(C23:AG23,{"DM","CS1","CS2","SB1","AE","CS/B","WEEKEND OUTFIELD RESERVE"},0)))</f>
        <v>1</v>
      </c>
      <c r="AV23" s="77">
        <f>SUMPRODUCT(--(WEEKDAY(C$3:AG$3,2)&gt;5),--ISNUMBER(MATCH(C23:AG23,{"DM","CS1","CS2","SB1","AE","CS/B","WEEKEND OUTFIELD RESERVE"},0)))</f>
        <v>1</v>
      </c>
      <c r="AW23" s="77"/>
      <c r="AX23" s="77">
        <f t="shared" si="3"/>
        <v>5</v>
      </c>
      <c r="AY23" s="77">
        <f t="shared" si="4"/>
        <v>3</v>
      </c>
      <c r="AZ23" s="77">
        <f t="shared" si="5"/>
        <v>1</v>
      </c>
      <c r="BA23" s="76">
        <f t="shared" si="6"/>
        <v>6</v>
      </c>
      <c r="BB23" s="77">
        <f t="shared" si="7"/>
        <v>1</v>
      </c>
      <c r="BC23" s="77">
        <f t="shared" si="8"/>
        <v>0</v>
      </c>
      <c r="BD23" s="77">
        <f t="shared" si="9"/>
        <v>0</v>
      </c>
      <c r="BE23" s="77">
        <f t="shared" si="10"/>
        <v>1</v>
      </c>
      <c r="BF23" s="77">
        <f t="shared" si="11"/>
        <v>1</v>
      </c>
      <c r="BG23" s="77">
        <f t="shared" si="12"/>
        <v>0</v>
      </c>
      <c r="BH23" s="77">
        <f t="shared" si="13"/>
        <v>0</v>
      </c>
      <c r="BI23" s="77">
        <f t="shared" si="14"/>
        <v>0</v>
      </c>
      <c r="BJ23" s="77">
        <f t="shared" si="15"/>
        <v>0</v>
      </c>
      <c r="BK23" s="77">
        <f t="shared" si="16"/>
        <v>0</v>
      </c>
      <c r="BL23" s="77">
        <f t="shared" si="17"/>
        <v>0</v>
      </c>
      <c r="BM23" s="77">
        <f t="shared" si="25"/>
        <v>0</v>
      </c>
      <c r="BN23" s="77">
        <f t="shared" si="26"/>
        <v>1</v>
      </c>
      <c r="BO23" s="77">
        <f t="shared" si="27"/>
        <v>3</v>
      </c>
      <c r="BP23" s="77"/>
    </row>
    <row r="24" ht="19.5" customHeight="1" spans="1:68">
      <c r="A24" s="67"/>
      <c r="B24" s="76" t="s">
        <v>944</v>
      </c>
      <c r="C24" s="60"/>
      <c r="D24" s="60" t="s">
        <v>566</v>
      </c>
      <c r="E24" s="60"/>
      <c r="F24" s="60"/>
      <c r="G24" s="60"/>
      <c r="H24" s="60"/>
      <c r="I24" s="60" t="s">
        <v>55</v>
      </c>
      <c r="J24" s="60" t="s">
        <v>945</v>
      </c>
      <c r="K24" s="60" t="s">
        <v>54</v>
      </c>
      <c r="L24" s="60" t="s">
        <v>54</v>
      </c>
      <c r="M24" s="60" t="s">
        <v>54</v>
      </c>
      <c r="N24" s="60" t="s">
        <v>54</v>
      </c>
      <c r="O24" s="60"/>
      <c r="P24" s="60"/>
      <c r="Q24" s="53" t="s">
        <v>59</v>
      </c>
      <c r="R24" s="53"/>
      <c r="S24" s="60"/>
      <c r="T24" s="53" t="s">
        <v>57</v>
      </c>
      <c r="U24" s="53"/>
      <c r="V24" s="60"/>
      <c r="W24" s="53"/>
      <c r="X24" s="60" t="s">
        <v>946</v>
      </c>
      <c r="Y24" s="53"/>
      <c r="Z24" s="53"/>
      <c r="AA24" s="60"/>
      <c r="AB24" s="60"/>
      <c r="AC24" s="60"/>
      <c r="AD24" s="60"/>
      <c r="AE24" s="84"/>
      <c r="AF24" s="60"/>
      <c r="AG24" s="60"/>
      <c r="AH24" s="67">
        <f t="shared" ref="AH24:AP24" si="39">COUNTIF($C24:$Z24,AH$4)</f>
        <v>1</v>
      </c>
      <c r="AI24" s="67">
        <f t="shared" si="39"/>
        <v>0</v>
      </c>
      <c r="AJ24" s="67">
        <f t="shared" si="39"/>
        <v>1</v>
      </c>
      <c r="AK24" s="67">
        <f t="shared" si="39"/>
        <v>1</v>
      </c>
      <c r="AL24" s="67">
        <f t="shared" si="39"/>
        <v>0</v>
      </c>
      <c r="AM24" s="67">
        <f t="shared" si="39"/>
        <v>0</v>
      </c>
      <c r="AN24" s="67">
        <f t="shared" si="39"/>
        <v>0</v>
      </c>
      <c r="AO24" s="67">
        <f t="shared" si="39"/>
        <v>0</v>
      </c>
      <c r="AP24" s="67">
        <f t="shared" si="39"/>
        <v>0</v>
      </c>
      <c r="AQ24" s="76"/>
      <c r="AR24" s="76">
        <v>4.5</v>
      </c>
      <c r="AS24" s="77">
        <f>SUMPRODUCT(--(WEEKDAY(C$3:AG$3,2)&lt;5),--ISNUMBER(MATCH(C24:AG24,{"DM","CS1","CS2","SB1","AE","CS/B"},0)))</f>
        <v>2</v>
      </c>
      <c r="AT24" s="67"/>
      <c r="AU24" s="77">
        <f>SUMPRODUCT(--(WEEKDAY(C$3:AG$3,2)=5),--ISNUMBER(MATCH(C24:AG24,{"DM","CS1","CS2","SB1","AE","CS/B","WEEKEND OUTFIELD RESERVE"},0)))</f>
        <v>0</v>
      </c>
      <c r="AV24" s="77">
        <f>SUMPRODUCT(--(WEEKDAY(C$3:AG$3,2)&gt;5),--ISNUMBER(MATCH(C24:AG24,{"DM","CS1","CS2","SB1","AE","CS/B","WEEKEND OUTFIELD RESERVE"},0)))</f>
        <v>1</v>
      </c>
      <c r="AW24" s="67"/>
      <c r="AX24" s="77">
        <f t="shared" si="3"/>
        <v>-0.5</v>
      </c>
      <c r="AY24" s="77">
        <f t="shared" si="4"/>
        <v>3</v>
      </c>
      <c r="AZ24" s="77">
        <f t="shared" si="5"/>
        <v>1</v>
      </c>
      <c r="BA24" s="76">
        <f t="shared" si="6"/>
        <v>0</v>
      </c>
      <c r="BB24" s="77">
        <f t="shared" si="7"/>
        <v>0.5</v>
      </c>
      <c r="BC24" s="77">
        <f t="shared" si="8"/>
        <v>0</v>
      </c>
      <c r="BD24" s="77">
        <f t="shared" si="9"/>
        <v>0</v>
      </c>
      <c r="BE24" s="77">
        <f t="shared" si="10"/>
        <v>0</v>
      </c>
      <c r="BF24" s="77">
        <f t="shared" si="11"/>
        <v>0</v>
      </c>
      <c r="BG24" s="77">
        <f t="shared" si="12"/>
        <v>0</v>
      </c>
      <c r="BH24" s="77">
        <f t="shared" si="13"/>
        <v>0</v>
      </c>
      <c r="BI24" s="77">
        <f t="shared" si="14"/>
        <v>1</v>
      </c>
      <c r="BJ24" s="77">
        <f t="shared" si="15"/>
        <v>0.5</v>
      </c>
      <c r="BK24" s="77">
        <f t="shared" si="16"/>
        <v>0</v>
      </c>
      <c r="BL24" s="77">
        <f t="shared" si="17"/>
        <v>0</v>
      </c>
      <c r="BM24" s="77">
        <f>COUNTIF($D24:$Z24,BM$4)</f>
        <v>0</v>
      </c>
      <c r="BN24" s="77">
        <f>COUNTIF($D24:$Z24,BN$4)</f>
        <v>0</v>
      </c>
      <c r="BO24" s="77">
        <f>COUNTIF($D24:$Z24,BO$4)</f>
        <v>1</v>
      </c>
      <c r="BP24" s="67"/>
    </row>
    <row r="25" ht="103.5" customHeight="1" spans="1:68">
      <c r="A25" s="67"/>
      <c r="B25" s="76" t="s">
        <v>594</v>
      </c>
      <c r="C25" s="60"/>
      <c r="D25" s="60" t="s">
        <v>573</v>
      </c>
      <c r="E25" s="60"/>
      <c r="F25" s="60" t="s">
        <v>56</v>
      </c>
      <c r="G25" s="60"/>
      <c r="H25" s="60"/>
      <c r="I25" s="60" t="s">
        <v>308</v>
      </c>
      <c r="J25" s="60"/>
      <c r="K25" s="60" t="s">
        <v>707</v>
      </c>
      <c r="L25" s="53"/>
      <c r="M25" s="53" t="s">
        <v>350</v>
      </c>
      <c r="N25" s="60"/>
      <c r="O25" s="60" t="s">
        <v>380</v>
      </c>
      <c r="P25" s="60" t="s">
        <v>380</v>
      </c>
      <c r="Q25" s="60"/>
      <c r="R25" s="53"/>
      <c r="S25" s="53" t="s">
        <v>162</v>
      </c>
      <c r="T25" s="60"/>
      <c r="U25" s="60" t="s">
        <v>947</v>
      </c>
      <c r="V25" s="60"/>
      <c r="W25" s="60" t="s">
        <v>948</v>
      </c>
      <c r="X25" s="60"/>
      <c r="Y25" s="60" t="s">
        <v>57</v>
      </c>
      <c r="Z25" s="60"/>
      <c r="AA25" s="60" t="s">
        <v>58</v>
      </c>
      <c r="AB25" s="60"/>
      <c r="AC25" s="60"/>
      <c r="AD25" s="60" t="s">
        <v>59</v>
      </c>
      <c r="AE25" s="79"/>
      <c r="AF25" s="53"/>
      <c r="AG25" s="60" t="s">
        <v>57</v>
      </c>
      <c r="AH25" s="67">
        <f t="shared" ref="AH25:AP25" si="40">COUNTIF($C25:$AF25,AH$4)</f>
        <v>1</v>
      </c>
      <c r="AI25" s="67">
        <f t="shared" si="40"/>
        <v>1</v>
      </c>
      <c r="AJ25" s="67">
        <f t="shared" si="40"/>
        <v>1</v>
      </c>
      <c r="AK25" s="67">
        <f t="shared" si="40"/>
        <v>0</v>
      </c>
      <c r="AL25" s="67">
        <f t="shared" si="40"/>
        <v>1</v>
      </c>
      <c r="AM25" s="67">
        <f t="shared" si="40"/>
        <v>0</v>
      </c>
      <c r="AN25" s="67">
        <f t="shared" si="40"/>
        <v>0</v>
      </c>
      <c r="AO25" s="67">
        <f t="shared" si="40"/>
        <v>0</v>
      </c>
      <c r="AP25" s="67">
        <f t="shared" si="40"/>
        <v>0</v>
      </c>
      <c r="AQ25" s="76"/>
      <c r="AR25" s="76">
        <v>2.5</v>
      </c>
      <c r="AS25" s="77">
        <f>SUMPRODUCT(--(WEEKDAY(C$3:AG$3,2)&lt;5),--ISNUMBER(MATCH(C25:AG25,{"DM","CS1","CS2","SB1","AE","CS/B"},0)))</f>
        <v>2</v>
      </c>
      <c r="AT25" s="77"/>
      <c r="AU25" s="77">
        <f>SUMPRODUCT(--(WEEKDAY(C$3:AG$3,2)=5),--ISNUMBER(MATCH(C25:AG25,{"DM","CS1","CS2","SB1","AE","CS/B","WEEKEND OUTFIELD RESERVE"},0)))</f>
        <v>1</v>
      </c>
      <c r="AV25" s="77">
        <f>SUMPRODUCT(--(WEEKDAY(C$3:AG$3,2)&gt;5),--ISNUMBER(MATCH(C25:AG25,{"DM","CS1","CS2","SB1","AE","CS/B","WEEKEND OUTFIELD RESERVE"},0)))</f>
        <v>2</v>
      </c>
      <c r="AW25" s="77"/>
      <c r="AX25" s="77">
        <f t="shared" si="3"/>
        <v>5</v>
      </c>
      <c r="AY25" s="77">
        <f t="shared" si="4"/>
        <v>5</v>
      </c>
      <c r="AZ25" s="77">
        <f t="shared" si="5"/>
        <v>2</v>
      </c>
      <c r="BA25" s="76">
        <f t="shared" si="6"/>
        <v>7</v>
      </c>
      <c r="BB25" s="77">
        <f t="shared" si="7"/>
        <v>2</v>
      </c>
      <c r="BC25" s="77">
        <f t="shared" si="8"/>
        <v>1</v>
      </c>
      <c r="BD25" s="77">
        <f t="shared" si="9"/>
        <v>1.5</v>
      </c>
      <c r="BE25" s="77">
        <f t="shared" si="10"/>
        <v>0</v>
      </c>
      <c r="BF25" s="77">
        <f t="shared" si="11"/>
        <v>0</v>
      </c>
      <c r="BG25" s="77">
        <f t="shared" si="12"/>
        <v>1</v>
      </c>
      <c r="BH25" s="77">
        <f t="shared" si="13"/>
        <v>0.5</v>
      </c>
      <c r="BI25" s="77">
        <f t="shared" si="14"/>
        <v>0</v>
      </c>
      <c r="BJ25" s="77">
        <f t="shared" si="15"/>
        <v>0</v>
      </c>
      <c r="BK25" s="77">
        <f t="shared" si="16"/>
        <v>0</v>
      </c>
      <c r="BL25" s="77">
        <f t="shared" si="17"/>
        <v>0</v>
      </c>
      <c r="BM25" s="77">
        <f t="shared" ref="BM25:BM30" si="41">COUNTIF($D25:$AA25,BM$4)</f>
        <v>0</v>
      </c>
      <c r="BN25" s="77">
        <f t="shared" ref="BN25:BN30" si="42">COUNTIF($D25:$AA25,BN$4)</f>
        <v>1</v>
      </c>
      <c r="BO25" s="77">
        <f t="shared" ref="BO25:BO30" si="43">COUNTIF($D25:$AA25,BO$4)</f>
        <v>0</v>
      </c>
      <c r="BP25" s="77"/>
    </row>
    <row r="26" ht="68.25" customHeight="1" spans="1:68">
      <c r="A26" s="67"/>
      <c r="B26" s="76" t="s">
        <v>725</v>
      </c>
      <c r="C26" s="53"/>
      <c r="D26" s="60" t="s">
        <v>93</v>
      </c>
      <c r="E26" s="60"/>
      <c r="F26" s="60" t="s">
        <v>57</v>
      </c>
      <c r="G26" s="53"/>
      <c r="H26" s="60" t="s">
        <v>949</v>
      </c>
      <c r="I26" s="53" t="s">
        <v>55</v>
      </c>
      <c r="J26" s="60" t="s">
        <v>69</v>
      </c>
      <c r="K26" s="53" t="s">
        <v>57</v>
      </c>
      <c r="L26" s="60"/>
      <c r="M26" s="60"/>
      <c r="N26" s="53"/>
      <c r="O26" s="60" t="s">
        <v>55</v>
      </c>
      <c r="P26" s="60" t="s">
        <v>350</v>
      </c>
      <c r="Q26" s="60"/>
      <c r="R26" s="60"/>
      <c r="S26" s="60"/>
      <c r="T26" s="53"/>
      <c r="U26" s="60"/>
      <c r="V26" s="60" t="s">
        <v>55</v>
      </c>
      <c r="W26" s="60"/>
      <c r="X26" s="53" t="s">
        <v>950</v>
      </c>
      <c r="Y26" s="60"/>
      <c r="Z26" s="60"/>
      <c r="AA26" s="60"/>
      <c r="AB26" s="60"/>
      <c r="AC26" s="60" t="s">
        <v>483</v>
      </c>
      <c r="AD26" s="60" t="s">
        <v>71</v>
      </c>
      <c r="AE26" s="78" t="s">
        <v>71</v>
      </c>
      <c r="AF26" s="53"/>
      <c r="AG26" s="60"/>
      <c r="AH26" s="67">
        <f t="shared" ref="AH26:AP26" si="44">COUNTIF($C26:$AF26,AH$4)</f>
        <v>2</v>
      </c>
      <c r="AI26" s="67">
        <f t="shared" si="44"/>
        <v>0</v>
      </c>
      <c r="AJ26" s="67">
        <f t="shared" si="44"/>
        <v>0</v>
      </c>
      <c r="AK26" s="67">
        <f t="shared" si="44"/>
        <v>0</v>
      </c>
      <c r="AL26" s="67">
        <f t="shared" si="44"/>
        <v>0</v>
      </c>
      <c r="AM26" s="67">
        <f t="shared" si="44"/>
        <v>1</v>
      </c>
      <c r="AN26" s="67">
        <f t="shared" si="44"/>
        <v>0</v>
      </c>
      <c r="AO26" s="67">
        <f t="shared" si="44"/>
        <v>0</v>
      </c>
      <c r="AP26" s="67">
        <f t="shared" si="44"/>
        <v>0</v>
      </c>
      <c r="AQ26" s="76"/>
      <c r="AR26" s="76"/>
      <c r="AS26" s="77">
        <f>SUMPRODUCT(--(WEEKDAY(C$3:AG$3,2)&lt;5),--ISNUMBER(MATCH(C26:AG26,{"DM","CS1","CS2","SB1","AE","CS/B"},0)))</f>
        <v>1</v>
      </c>
      <c r="AT26" s="77"/>
      <c r="AU26" s="77">
        <f>SUMPRODUCT(--(WEEKDAY(C$3:AG$3,2)=5),--ISNUMBER(MATCH(C26:AG26,{"DM","CS1","CS2","SB1","AE","CS/B","WEEKEND OUTFIELD RESERVE"},0)))</f>
        <v>0</v>
      </c>
      <c r="AV26" s="77">
        <f>SUMPRODUCT(--(WEEKDAY(C$3:AG$3,2)&gt;5),--ISNUMBER(MATCH(C26:AG26,{"DM","CS1","CS2","SB1","AE","CS/B","WEEKEND OUTFIELD RESERVE"},0)))</f>
        <v>1</v>
      </c>
      <c r="AW26" s="77"/>
      <c r="AX26" s="77">
        <f t="shared" si="3"/>
        <v>3.5</v>
      </c>
      <c r="AY26" s="77">
        <f t="shared" si="4"/>
        <v>2</v>
      </c>
      <c r="AZ26" s="77">
        <f t="shared" si="5"/>
        <v>1</v>
      </c>
      <c r="BA26" s="76">
        <f t="shared" si="6"/>
        <v>4</v>
      </c>
      <c r="BB26" s="77">
        <f t="shared" si="7"/>
        <v>0.5</v>
      </c>
      <c r="BC26" s="77">
        <f t="shared" si="8"/>
        <v>0</v>
      </c>
      <c r="BD26" s="77">
        <f t="shared" si="9"/>
        <v>0</v>
      </c>
      <c r="BE26" s="77">
        <f t="shared" si="10"/>
        <v>0</v>
      </c>
      <c r="BF26" s="77">
        <f t="shared" si="11"/>
        <v>0</v>
      </c>
      <c r="BG26" s="77">
        <f t="shared" si="12"/>
        <v>1</v>
      </c>
      <c r="BH26" s="77">
        <f t="shared" si="13"/>
        <v>0.5</v>
      </c>
      <c r="BI26" s="77">
        <f t="shared" si="14"/>
        <v>0</v>
      </c>
      <c r="BJ26" s="77">
        <f t="shared" si="15"/>
        <v>0</v>
      </c>
      <c r="BK26" s="77">
        <f t="shared" si="16"/>
        <v>0</v>
      </c>
      <c r="BL26" s="77">
        <f t="shared" si="17"/>
        <v>0</v>
      </c>
      <c r="BM26" s="77">
        <f t="shared" si="41"/>
        <v>0</v>
      </c>
      <c r="BN26" s="77">
        <f t="shared" si="42"/>
        <v>1</v>
      </c>
      <c r="BO26" s="77">
        <f t="shared" si="43"/>
        <v>3</v>
      </c>
      <c r="BP26" s="77"/>
    </row>
    <row r="27" ht="19.5" customHeight="1" spans="1:68">
      <c r="A27" s="67"/>
      <c r="B27" s="76" t="s">
        <v>951</v>
      </c>
      <c r="C27" s="60"/>
      <c r="D27" s="60"/>
      <c r="E27" s="53" t="s">
        <v>57</v>
      </c>
      <c r="F27" s="53"/>
      <c r="G27" s="60"/>
      <c r="H27" s="60" t="s">
        <v>573</v>
      </c>
      <c r="I27" s="60"/>
      <c r="J27" s="53" t="s">
        <v>573</v>
      </c>
      <c r="K27" s="60" t="s">
        <v>707</v>
      </c>
      <c r="L27" s="53" t="s">
        <v>54</v>
      </c>
      <c r="M27" s="53" t="s">
        <v>54</v>
      </c>
      <c r="N27" s="60" t="s">
        <v>54</v>
      </c>
      <c r="O27" s="60" t="s">
        <v>380</v>
      </c>
      <c r="P27" s="60" t="s">
        <v>380</v>
      </c>
      <c r="Q27" s="60"/>
      <c r="R27" s="53"/>
      <c r="S27" s="53" t="s">
        <v>162</v>
      </c>
      <c r="T27" s="60"/>
      <c r="U27" s="60" t="s">
        <v>57</v>
      </c>
      <c r="V27" s="60"/>
      <c r="W27" s="53" t="s">
        <v>952</v>
      </c>
      <c r="X27" s="60" t="s">
        <v>57</v>
      </c>
      <c r="Y27" s="53"/>
      <c r="Z27" s="53"/>
      <c r="AA27" s="60" t="s">
        <v>350</v>
      </c>
      <c r="AB27" s="53"/>
      <c r="AC27" s="86" t="s">
        <v>573</v>
      </c>
      <c r="AD27" s="87" t="s">
        <v>93</v>
      </c>
      <c r="AE27" s="88" t="s">
        <v>58</v>
      </c>
      <c r="AF27" s="60"/>
      <c r="AG27" s="60"/>
      <c r="AH27" s="67">
        <f t="shared" ref="AH27:AP27" si="45">COUNTIF($C27:$AF27,AH$4)</f>
        <v>3</v>
      </c>
      <c r="AI27" s="67">
        <f t="shared" si="45"/>
        <v>0</v>
      </c>
      <c r="AJ27" s="67">
        <f t="shared" si="45"/>
        <v>0</v>
      </c>
      <c r="AK27" s="67">
        <f t="shared" si="45"/>
        <v>0</v>
      </c>
      <c r="AL27" s="67">
        <f t="shared" si="45"/>
        <v>1</v>
      </c>
      <c r="AM27" s="67">
        <f t="shared" si="45"/>
        <v>1</v>
      </c>
      <c r="AN27" s="67">
        <f t="shared" si="45"/>
        <v>0</v>
      </c>
      <c r="AO27" s="67">
        <f t="shared" si="45"/>
        <v>0</v>
      </c>
      <c r="AP27" s="67">
        <f t="shared" si="45"/>
        <v>0</v>
      </c>
      <c r="AQ27" s="76">
        <v>3</v>
      </c>
      <c r="AR27" s="76"/>
      <c r="AS27" s="77">
        <f>SUMPRODUCT(--(WEEKDAY(C$3:AG$3,2)&lt;5),--ISNUMBER(MATCH(C27:AG27,{"DM","CS1","CS2","SB1","AE","CS/B"},0)))</f>
        <v>2</v>
      </c>
      <c r="AT27" s="67"/>
      <c r="AU27" s="77">
        <f>SUMPRODUCT(--(WEEKDAY(C$3:AG$3,2)=5),--ISNUMBER(MATCH(C27:AG27,{"DM","CS1","CS2","SB1","AE","CS/B","WEEKEND OUTFIELD RESERVE"},0)))</f>
        <v>1</v>
      </c>
      <c r="AV27" s="77">
        <f>SUMPRODUCT(--(WEEKDAY(C$3:AG$3,2)&gt;5),--ISNUMBER(MATCH(C27:AG27,{"DM","CS1","CS2","SB1","AE","CS/B","WEEKEND OUTFIELD RESERVE"},0)))</f>
        <v>1</v>
      </c>
      <c r="AW27" s="67"/>
      <c r="AX27" s="77">
        <f t="shared" si="3"/>
        <v>9</v>
      </c>
      <c r="AY27" s="77">
        <f t="shared" si="4"/>
        <v>4</v>
      </c>
      <c r="AZ27" s="77">
        <f t="shared" si="5"/>
        <v>1</v>
      </c>
      <c r="BA27" s="76">
        <f t="shared" si="6"/>
        <v>9.5</v>
      </c>
      <c r="BB27" s="77">
        <f t="shared" si="7"/>
        <v>0.5</v>
      </c>
      <c r="BC27" s="77">
        <f t="shared" si="8"/>
        <v>0</v>
      </c>
      <c r="BD27" s="77">
        <f t="shared" si="9"/>
        <v>0</v>
      </c>
      <c r="BE27" s="77">
        <f t="shared" si="10"/>
        <v>0</v>
      </c>
      <c r="BF27" s="77">
        <f t="shared" si="11"/>
        <v>0</v>
      </c>
      <c r="BG27" s="77">
        <f t="shared" si="12"/>
        <v>0</v>
      </c>
      <c r="BH27" s="77">
        <f t="shared" si="13"/>
        <v>0</v>
      </c>
      <c r="BI27" s="77">
        <f t="shared" si="14"/>
        <v>1</v>
      </c>
      <c r="BJ27" s="77">
        <f t="shared" si="15"/>
        <v>0.5</v>
      </c>
      <c r="BK27" s="77">
        <f t="shared" si="16"/>
        <v>0</v>
      </c>
      <c r="BL27" s="77">
        <f t="shared" si="17"/>
        <v>0</v>
      </c>
      <c r="BM27" s="77">
        <f t="shared" si="41"/>
        <v>0</v>
      </c>
      <c r="BN27" s="77">
        <f t="shared" si="42"/>
        <v>1</v>
      </c>
      <c r="BO27" s="77">
        <f t="shared" si="43"/>
        <v>0</v>
      </c>
      <c r="BP27" s="67"/>
    </row>
    <row r="28" ht="48" customHeight="1" spans="1:68">
      <c r="A28" s="67"/>
      <c r="B28" s="76" t="s">
        <v>609</v>
      </c>
      <c r="C28" s="53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X28" s="60"/>
      <c r="Y28" s="60"/>
      <c r="Z28" s="60"/>
      <c r="AA28" s="60"/>
      <c r="AB28" s="60"/>
      <c r="AC28" s="89"/>
      <c r="AD28" s="89"/>
      <c r="AE28" s="84"/>
      <c r="AF28" s="60"/>
      <c r="AG28" s="60"/>
      <c r="AH28" s="67">
        <f t="shared" ref="AH28:AP28" si="46">COUNTIF($C28:$AF28,AH$4)</f>
        <v>0</v>
      </c>
      <c r="AI28" s="67">
        <f t="shared" si="46"/>
        <v>0</v>
      </c>
      <c r="AJ28" s="67">
        <f t="shared" si="46"/>
        <v>0</v>
      </c>
      <c r="AK28" s="67">
        <f t="shared" si="46"/>
        <v>0</v>
      </c>
      <c r="AL28" s="67">
        <f t="shared" si="46"/>
        <v>0</v>
      </c>
      <c r="AM28" s="67">
        <f t="shared" si="46"/>
        <v>0</v>
      </c>
      <c r="AN28" s="67">
        <f t="shared" si="46"/>
        <v>0</v>
      </c>
      <c r="AO28" s="67">
        <f t="shared" si="46"/>
        <v>0</v>
      </c>
      <c r="AP28" s="67">
        <f t="shared" si="46"/>
        <v>0</v>
      </c>
      <c r="AQ28" s="76"/>
      <c r="AR28" s="76">
        <v>7</v>
      </c>
      <c r="AS28" s="77">
        <f>SUMPRODUCT(--(WEEKDAY(C$3:AG$3,2)&lt;5),--ISNUMBER(MATCH(C28:AG28,{"DM","CS1","CS2","SB1","AE","CS/B"},0)))</f>
        <v>0</v>
      </c>
      <c r="AT28" s="77"/>
      <c r="AU28" s="77">
        <f>SUMPRODUCT(--(WEEKDAY(C$3:AG$3,2)=5),--ISNUMBER(MATCH(C28:AG28,{"DM","CS1","CS2","SB1","AE","CS/B","WEEKEND OUTFIELD RESERVE"},0)))</f>
        <v>0</v>
      </c>
      <c r="AV28" s="77">
        <f>SUMPRODUCT(--(WEEKDAY(C$3:AG$3,2)&gt;5),--ISNUMBER(MATCH(C28:AG28,{"DM","CS1","CS2","SB1","AE","CS/B","WEEKEND OUTFIELD RESERVE"},0)))</f>
        <v>0</v>
      </c>
      <c r="AW28" s="77"/>
      <c r="AX28" s="77">
        <f t="shared" si="3"/>
        <v>-7</v>
      </c>
      <c r="AY28" s="77">
        <f t="shared" si="4"/>
        <v>0</v>
      </c>
      <c r="AZ28" s="77">
        <f t="shared" si="5"/>
        <v>0</v>
      </c>
      <c r="BA28" s="76">
        <f t="shared" si="6"/>
        <v>-7</v>
      </c>
      <c r="BB28" s="77">
        <f t="shared" si="7"/>
        <v>0</v>
      </c>
      <c r="BC28" s="77">
        <f t="shared" si="8"/>
        <v>0</v>
      </c>
      <c r="BD28" s="77">
        <f t="shared" si="9"/>
        <v>0</v>
      </c>
      <c r="BE28" s="77">
        <f t="shared" si="10"/>
        <v>0</v>
      </c>
      <c r="BF28" s="77">
        <f t="shared" si="11"/>
        <v>0</v>
      </c>
      <c r="BG28" s="77">
        <f t="shared" si="12"/>
        <v>0</v>
      </c>
      <c r="BH28" s="77">
        <f t="shared" si="13"/>
        <v>0</v>
      </c>
      <c r="BI28" s="77">
        <f t="shared" si="14"/>
        <v>0</v>
      </c>
      <c r="BJ28" s="77">
        <f t="shared" si="15"/>
        <v>0</v>
      </c>
      <c r="BK28" s="77">
        <f t="shared" si="16"/>
        <v>0</v>
      </c>
      <c r="BL28" s="77">
        <f t="shared" si="17"/>
        <v>0</v>
      </c>
      <c r="BM28" s="77">
        <f t="shared" si="41"/>
        <v>0</v>
      </c>
      <c r="BN28" s="77">
        <f t="shared" si="42"/>
        <v>0</v>
      </c>
      <c r="BO28" s="77">
        <f t="shared" si="43"/>
        <v>0</v>
      </c>
      <c r="BP28" s="77"/>
    </row>
    <row r="29" ht="19.5" customHeight="1" spans="1:68">
      <c r="A29" s="67"/>
      <c r="B29" s="76" t="s">
        <v>614</v>
      </c>
      <c r="C29" s="60" t="s">
        <v>56</v>
      </c>
      <c r="D29" s="60"/>
      <c r="E29" s="60" t="s">
        <v>573</v>
      </c>
      <c r="F29" s="53"/>
      <c r="G29" s="60" t="s">
        <v>350</v>
      </c>
      <c r="H29" s="53"/>
      <c r="I29" s="60" t="s">
        <v>57</v>
      </c>
      <c r="J29" s="53"/>
      <c r="K29" s="60" t="s">
        <v>881</v>
      </c>
      <c r="L29" s="53"/>
      <c r="M29" s="53"/>
      <c r="N29" s="53"/>
      <c r="O29" s="60"/>
      <c r="P29" s="60" t="s">
        <v>56</v>
      </c>
      <c r="Q29" s="60"/>
      <c r="R29" s="60"/>
      <c r="S29" s="60" t="s">
        <v>57</v>
      </c>
      <c r="T29" s="60"/>
      <c r="U29" s="60"/>
      <c r="V29" s="53"/>
      <c r="W29" s="60"/>
      <c r="X29" s="60" t="s">
        <v>953</v>
      </c>
      <c r="Y29" s="60"/>
      <c r="Z29" s="60"/>
      <c r="AA29" s="53" t="s">
        <v>57</v>
      </c>
      <c r="AB29" s="60"/>
      <c r="AC29" s="90"/>
      <c r="AD29" s="91" t="s">
        <v>952</v>
      </c>
      <c r="AE29" s="79"/>
      <c r="AF29" s="60" t="s">
        <v>573</v>
      </c>
      <c r="AG29" s="60"/>
      <c r="AH29" s="67">
        <f t="shared" ref="AH29:AP29" si="47">COUNTIF($C29:$AF29,AH$4)</f>
        <v>3</v>
      </c>
      <c r="AI29" s="67">
        <f t="shared" si="47"/>
        <v>2</v>
      </c>
      <c r="AJ29" s="67">
        <f t="shared" si="47"/>
        <v>0</v>
      </c>
      <c r="AK29" s="67">
        <f t="shared" si="47"/>
        <v>0</v>
      </c>
      <c r="AL29" s="67">
        <f t="shared" si="47"/>
        <v>0</v>
      </c>
      <c r="AM29" s="67">
        <f t="shared" si="47"/>
        <v>0</v>
      </c>
      <c r="AN29" s="67">
        <f t="shared" si="47"/>
        <v>0</v>
      </c>
      <c r="AO29" s="67">
        <f t="shared" si="47"/>
        <v>0</v>
      </c>
      <c r="AP29" s="67">
        <f t="shared" si="47"/>
        <v>0</v>
      </c>
      <c r="AQ29" s="76">
        <v>2</v>
      </c>
      <c r="AR29" s="76"/>
      <c r="AS29" s="77">
        <f>SUMPRODUCT(--(WEEKDAY(C$3:AG$3,2)&lt;5),--ISNUMBER(MATCH(C29:AG29,{"DM","CS1","CS2","SB1","AE","CS/B"},0)))</f>
        <v>3</v>
      </c>
      <c r="AT29" s="67"/>
      <c r="AU29" s="77">
        <f>SUMPRODUCT(--(WEEKDAY(C$3:AG$3,2)=5),--ISNUMBER(MATCH(C29:AG29,{"DM","CS1","CS2","SB1","AE","CS/B","WEEKEND OUTFIELD RESERVE"},0)))</f>
        <v>1</v>
      </c>
      <c r="AV29" s="77">
        <f>SUMPRODUCT(--(WEEKDAY(C$3:AG$3,2)&gt;5),--ISNUMBER(MATCH(C29:AG29,{"DM","CS1","CS2","SB1","AE","CS/B","WEEKEND OUTFIELD RESERVE"},0)))</f>
        <v>1</v>
      </c>
      <c r="AW29" s="67"/>
      <c r="AX29" s="77">
        <f t="shared" si="3"/>
        <v>8.5</v>
      </c>
      <c r="AY29" s="77">
        <f t="shared" si="4"/>
        <v>5</v>
      </c>
      <c r="AZ29" s="77">
        <f t="shared" si="5"/>
        <v>3</v>
      </c>
      <c r="BA29" s="76">
        <f t="shared" si="6"/>
        <v>10</v>
      </c>
      <c r="BB29" s="77">
        <f t="shared" si="7"/>
        <v>1.5</v>
      </c>
      <c r="BC29" s="77">
        <f t="shared" si="8"/>
        <v>0</v>
      </c>
      <c r="BD29" s="77">
        <f t="shared" si="9"/>
        <v>0</v>
      </c>
      <c r="BE29" s="77">
        <f t="shared" si="10"/>
        <v>0</v>
      </c>
      <c r="BF29" s="77">
        <f t="shared" si="11"/>
        <v>0</v>
      </c>
      <c r="BG29" s="77">
        <f t="shared" si="12"/>
        <v>0</v>
      </c>
      <c r="BH29" s="77">
        <f t="shared" si="13"/>
        <v>0</v>
      </c>
      <c r="BI29" s="77">
        <f t="shared" si="14"/>
        <v>3</v>
      </c>
      <c r="BJ29" s="77">
        <f t="shared" si="15"/>
        <v>1.5</v>
      </c>
      <c r="BK29" s="77">
        <f t="shared" si="16"/>
        <v>0</v>
      </c>
      <c r="BL29" s="77">
        <f t="shared" si="17"/>
        <v>0</v>
      </c>
      <c r="BM29" s="77">
        <f t="shared" si="41"/>
        <v>0</v>
      </c>
      <c r="BN29" s="77">
        <f t="shared" si="42"/>
        <v>1</v>
      </c>
      <c r="BO29" s="77">
        <f t="shared" si="43"/>
        <v>0</v>
      </c>
      <c r="BP29" s="67"/>
    </row>
    <row r="30" ht="19.5" customHeight="1" spans="1:68">
      <c r="A30" s="67"/>
      <c r="B30" s="76" t="s">
        <v>954</v>
      </c>
      <c r="C30" s="60"/>
      <c r="D30" s="60" t="s">
        <v>57</v>
      </c>
      <c r="E30" s="60"/>
      <c r="F30" s="53"/>
      <c r="G30" s="60" t="s">
        <v>57</v>
      </c>
      <c r="H30" s="60"/>
      <c r="I30" s="60" t="s">
        <v>573</v>
      </c>
      <c r="J30" s="53" t="s">
        <v>955</v>
      </c>
      <c r="K30" s="53"/>
      <c r="L30" s="53" t="s">
        <v>57</v>
      </c>
      <c r="M30" s="60"/>
      <c r="N30" s="53" t="s">
        <v>57</v>
      </c>
      <c r="O30" s="53"/>
      <c r="P30" s="85" t="s">
        <v>956</v>
      </c>
      <c r="Q30" s="60" t="s">
        <v>93</v>
      </c>
      <c r="R30" s="53"/>
      <c r="S30" s="60"/>
      <c r="T30" s="60" t="s">
        <v>56</v>
      </c>
      <c r="U30" s="60"/>
      <c r="W30" s="60"/>
      <c r="X30" s="60" t="s">
        <v>957</v>
      </c>
      <c r="Y30" s="60"/>
      <c r="Z30" s="53" t="s">
        <v>59</v>
      </c>
      <c r="AA30" s="60"/>
      <c r="AB30" s="53"/>
      <c r="AC30" s="92" t="s">
        <v>237</v>
      </c>
      <c r="AD30" s="89"/>
      <c r="AE30" s="93" t="s">
        <v>57</v>
      </c>
      <c r="AF30" s="60"/>
      <c r="AG30" s="60" t="s">
        <v>573</v>
      </c>
      <c r="AH30" s="67">
        <f t="shared" ref="AH30:AP30" si="48">COUNTIF($C30:$AF30,AH$4)</f>
        <v>5</v>
      </c>
      <c r="AI30" s="67">
        <f t="shared" si="48"/>
        <v>1</v>
      </c>
      <c r="AJ30" s="67">
        <f t="shared" si="48"/>
        <v>1</v>
      </c>
      <c r="AK30" s="67">
        <f t="shared" si="48"/>
        <v>0</v>
      </c>
      <c r="AL30" s="67">
        <f t="shared" si="48"/>
        <v>0</v>
      </c>
      <c r="AM30" s="67">
        <f t="shared" si="48"/>
        <v>1</v>
      </c>
      <c r="AN30" s="67">
        <f t="shared" si="48"/>
        <v>0</v>
      </c>
      <c r="AO30" s="67">
        <f t="shared" si="48"/>
        <v>0</v>
      </c>
      <c r="AP30" s="67">
        <f t="shared" si="48"/>
        <v>0</v>
      </c>
      <c r="AQ30" s="76"/>
      <c r="AR30" s="76">
        <v>5</v>
      </c>
      <c r="AS30" s="77">
        <f>SUMPRODUCT(--(WEEKDAY(C$3:AG$3,2)&lt;5),--ISNUMBER(MATCH(C30:AG30,{"DM","CS1","CS2","SB1","AE","CS/B"},0)))</f>
        <v>2</v>
      </c>
      <c r="AT30" s="67"/>
      <c r="AU30" s="77">
        <f>SUMPRODUCT(--(WEEKDAY(C$3:AG$3,2)=5),--ISNUMBER(MATCH(C30:AG30,{"DM","CS1","CS2","SB1","AE","CS/B","WEEKEND OUTFIELD RESERVE"},0)))</f>
        <v>2</v>
      </c>
      <c r="AV30" s="77">
        <f>SUMPRODUCT(--(WEEKDAY(C$3:AG$3,2)&gt;5),--ISNUMBER(MATCH(C30:AG30,{"DM","CS1","CS2","SB1","AE","CS/B","WEEKEND OUTFIELD RESERVE"},0)))</f>
        <v>3</v>
      </c>
      <c r="AW30" s="67"/>
      <c r="AX30" s="77">
        <f t="shared" si="3"/>
        <v>6.5</v>
      </c>
      <c r="AY30" s="77">
        <f t="shared" si="4"/>
        <v>7</v>
      </c>
      <c r="AZ30" s="77">
        <f t="shared" si="5"/>
        <v>4</v>
      </c>
      <c r="BA30" s="76">
        <f t="shared" si="6"/>
        <v>9.5</v>
      </c>
      <c r="BB30" s="77">
        <f t="shared" si="7"/>
        <v>3</v>
      </c>
      <c r="BC30" s="77">
        <f t="shared" si="8"/>
        <v>1</v>
      </c>
      <c r="BD30" s="77">
        <f t="shared" si="9"/>
        <v>1.5</v>
      </c>
      <c r="BE30" s="77">
        <f t="shared" si="10"/>
        <v>0</v>
      </c>
      <c r="BF30" s="77">
        <f t="shared" si="11"/>
        <v>0</v>
      </c>
      <c r="BG30" s="77">
        <f t="shared" si="12"/>
        <v>1</v>
      </c>
      <c r="BH30" s="77">
        <f t="shared" si="13"/>
        <v>0.5</v>
      </c>
      <c r="BI30" s="77">
        <f t="shared" si="14"/>
        <v>2</v>
      </c>
      <c r="BJ30" s="77">
        <f t="shared" si="15"/>
        <v>1</v>
      </c>
      <c r="BK30" s="77">
        <f t="shared" si="16"/>
        <v>0</v>
      </c>
      <c r="BL30" s="77">
        <f t="shared" si="17"/>
        <v>0</v>
      </c>
      <c r="BM30" s="77">
        <f t="shared" si="41"/>
        <v>0</v>
      </c>
      <c r="BN30" s="77">
        <f t="shared" si="42"/>
        <v>0</v>
      </c>
      <c r="BO30" s="77">
        <f t="shared" si="43"/>
        <v>0</v>
      </c>
      <c r="BP30" s="67"/>
    </row>
    <row r="31" ht="19.5" customHeight="1" spans="1:68">
      <c r="A31" s="67"/>
      <c r="B31" s="76" t="s">
        <v>627</v>
      </c>
      <c r="C31" s="60"/>
      <c r="D31" s="60"/>
      <c r="E31" s="60"/>
      <c r="F31" s="60"/>
      <c r="G31" s="53"/>
      <c r="H31" s="53" t="s">
        <v>949</v>
      </c>
      <c r="I31" s="60"/>
      <c r="J31" s="60" t="s">
        <v>61</v>
      </c>
      <c r="L31" s="53"/>
      <c r="M31" s="60" t="s">
        <v>54</v>
      </c>
      <c r="N31" s="60" t="s">
        <v>54</v>
      </c>
      <c r="O31" s="60" t="s">
        <v>54</v>
      </c>
      <c r="P31" s="60" t="s">
        <v>54</v>
      </c>
      <c r="Q31" s="60" t="s">
        <v>54</v>
      </c>
      <c r="R31" s="60" t="s">
        <v>54</v>
      </c>
      <c r="S31" s="60" t="s">
        <v>54</v>
      </c>
      <c r="T31" s="60" t="s">
        <v>54</v>
      </c>
      <c r="U31" s="53" t="s">
        <v>56</v>
      </c>
      <c r="V31" s="60"/>
      <c r="W31" s="53" t="s">
        <v>93</v>
      </c>
      <c r="X31" s="60" t="s">
        <v>958</v>
      </c>
      <c r="Y31" s="53"/>
      <c r="Z31" s="85" t="s">
        <v>956</v>
      </c>
      <c r="AA31" s="53"/>
      <c r="AB31" s="60" t="s">
        <v>595</v>
      </c>
      <c r="AC31" s="94" t="s">
        <v>595</v>
      </c>
      <c r="AD31" s="94" t="s">
        <v>595</v>
      </c>
      <c r="AE31" s="95" t="s">
        <v>595</v>
      </c>
      <c r="AF31" s="60" t="s">
        <v>595</v>
      </c>
      <c r="AG31" s="60"/>
      <c r="AH31" s="67">
        <f t="shared" ref="AH31:AP31" si="49">COUNTIF($C31:$AF31,AH$4)</f>
        <v>0</v>
      </c>
      <c r="AI31" s="67">
        <f t="shared" si="49"/>
        <v>1</v>
      </c>
      <c r="AJ31" s="67">
        <f t="shared" si="49"/>
        <v>0</v>
      </c>
      <c r="AK31" s="67">
        <f t="shared" si="49"/>
        <v>0</v>
      </c>
      <c r="AL31" s="67">
        <f t="shared" si="49"/>
        <v>0</v>
      </c>
      <c r="AM31" s="67">
        <f t="shared" si="49"/>
        <v>1</v>
      </c>
      <c r="AN31" s="67">
        <f t="shared" si="49"/>
        <v>0</v>
      </c>
      <c r="AO31" s="67">
        <f t="shared" si="49"/>
        <v>0</v>
      </c>
      <c r="AP31" s="67">
        <f t="shared" si="49"/>
        <v>0</v>
      </c>
      <c r="AQ31" s="76"/>
      <c r="AR31" s="76">
        <v>12.5</v>
      </c>
      <c r="AS31" s="77">
        <f>SUMPRODUCT(--(WEEKDAY(C$3:AG$3,2)&lt;5),--ISNUMBER(MATCH(C31:AG31,{"DM","CS1","CS2","SB1","AE","CS/B"},0)))</f>
        <v>0</v>
      </c>
      <c r="AT31" s="67"/>
      <c r="AU31" s="77">
        <f>SUMPRODUCT(--(WEEKDAY(C$3:AG$3,2)=5),--ISNUMBER(MATCH(C31:AG31,{"DM","CS1","CS2","SB1","AE","CS/B","WEEKEND OUTFIELD RESERVE"},0)))</f>
        <v>0</v>
      </c>
      <c r="AV31" s="77">
        <f>SUMPRODUCT(--(WEEKDAY(C$3:AG$3,2)&gt;5),--ISNUMBER(MATCH(C31:AG31,{"DM","CS1","CS2","SB1","AE","CS/B","WEEKEND OUTFIELD RESERVE"},0)))</f>
        <v>1</v>
      </c>
      <c r="AW31" s="67"/>
      <c r="AX31" s="77">
        <f t="shared" si="3"/>
        <v>-10</v>
      </c>
      <c r="AY31" s="77">
        <f t="shared" si="4"/>
        <v>1</v>
      </c>
      <c r="AZ31" s="77">
        <f t="shared" si="5"/>
        <v>7</v>
      </c>
      <c r="BA31" s="76">
        <f t="shared" si="6"/>
        <v>-3.5</v>
      </c>
      <c r="BB31" s="77">
        <f t="shared" si="7"/>
        <v>6.5</v>
      </c>
      <c r="BC31" s="77">
        <f t="shared" si="8"/>
        <v>0</v>
      </c>
      <c r="BD31" s="77">
        <f t="shared" si="9"/>
        <v>0</v>
      </c>
      <c r="BE31" s="77">
        <f t="shared" si="10"/>
        <v>1</v>
      </c>
      <c r="BF31" s="77">
        <f t="shared" si="11"/>
        <v>1</v>
      </c>
      <c r="BG31" s="77">
        <f t="shared" si="12"/>
        <v>0</v>
      </c>
      <c r="BH31" s="77">
        <f t="shared" si="13"/>
        <v>0</v>
      </c>
      <c r="BI31" s="77">
        <f t="shared" si="14"/>
        <v>1</v>
      </c>
      <c r="BJ31" s="77">
        <f t="shared" si="15"/>
        <v>0.5</v>
      </c>
      <c r="BK31" s="77">
        <f t="shared" si="16"/>
        <v>5</v>
      </c>
      <c r="BL31" s="77">
        <f t="shared" si="17"/>
        <v>5</v>
      </c>
      <c r="BM31" s="77">
        <f>COUNTIF($D31:$Z31,BM$4)</f>
        <v>0</v>
      </c>
      <c r="BN31" s="77">
        <f>COUNTIF($D31:$Z31,BN$4)</f>
        <v>0</v>
      </c>
      <c r="BO31" s="77">
        <f>COUNTIF($D31:$Z31,BO$4)</f>
        <v>0</v>
      </c>
      <c r="BP31" s="67"/>
    </row>
    <row r="32" ht="48.75" customHeight="1" spans="1:68">
      <c r="A32" s="67"/>
      <c r="B32" s="76" t="s">
        <v>610</v>
      </c>
      <c r="C32" s="60" t="s">
        <v>959</v>
      </c>
      <c r="D32" s="60" t="s">
        <v>57</v>
      </c>
      <c r="E32" s="60" t="s">
        <v>164</v>
      </c>
      <c r="F32" s="60"/>
      <c r="G32" s="60"/>
      <c r="H32" s="60"/>
      <c r="I32" s="53"/>
      <c r="J32" s="60"/>
      <c r="K32" s="60" t="s">
        <v>566</v>
      </c>
      <c r="L32" s="60"/>
      <c r="M32" s="60" t="s">
        <v>59</v>
      </c>
      <c r="O32" s="60"/>
      <c r="P32" s="53" t="s">
        <v>57</v>
      </c>
      <c r="Q32" s="53"/>
      <c r="R32" s="60"/>
      <c r="S32" s="60" t="s">
        <v>960</v>
      </c>
      <c r="T32" s="53"/>
      <c r="U32" s="53"/>
      <c r="V32" s="60"/>
      <c r="W32" s="60" t="s">
        <v>573</v>
      </c>
      <c r="X32" s="60"/>
      <c r="Y32" s="53"/>
      <c r="Z32" s="60"/>
      <c r="AA32" s="60"/>
      <c r="AB32" s="60"/>
      <c r="AC32" s="96" t="s">
        <v>57</v>
      </c>
      <c r="AD32" s="89"/>
      <c r="AE32" s="78" t="s">
        <v>61</v>
      </c>
      <c r="AF32" s="60"/>
      <c r="AG32" s="60" t="s">
        <v>59</v>
      </c>
      <c r="AH32" s="67">
        <f t="shared" ref="AH32:AP32" si="50">COUNTIF($C32:$AF32,AH$4)</f>
        <v>3</v>
      </c>
      <c r="AI32" s="67">
        <f t="shared" si="50"/>
        <v>0</v>
      </c>
      <c r="AJ32" s="67">
        <f t="shared" si="50"/>
        <v>1</v>
      </c>
      <c r="AK32" s="67">
        <f t="shared" si="50"/>
        <v>1</v>
      </c>
      <c r="AL32" s="67">
        <f t="shared" si="50"/>
        <v>0</v>
      </c>
      <c r="AM32" s="67">
        <f t="shared" si="50"/>
        <v>0</v>
      </c>
      <c r="AN32" s="67">
        <f t="shared" si="50"/>
        <v>0</v>
      </c>
      <c r="AO32" s="67">
        <f t="shared" si="50"/>
        <v>0</v>
      </c>
      <c r="AP32" s="67">
        <f t="shared" si="50"/>
        <v>0</v>
      </c>
      <c r="AQ32" s="76">
        <v>1</v>
      </c>
      <c r="AR32" s="76"/>
      <c r="AS32" s="77">
        <f>SUMPRODUCT(--(WEEKDAY(C$3:AG$3,2)&lt;5),--ISNUMBER(MATCH(C32:AG32,{"DM","CS1","CS2","SB1","AE","CS/B"},0)))</f>
        <v>4</v>
      </c>
      <c r="AT32" s="77"/>
      <c r="AU32" s="77">
        <f>SUMPRODUCT(--(WEEKDAY(C$3:AG$3,2)=5),--ISNUMBER(MATCH(C32:AG32,{"DM","CS1","CS2","SB1","AE","CS/B","WEEKEND OUTFIELD RESERVE"},0)))</f>
        <v>1</v>
      </c>
      <c r="AV32" s="77">
        <f>SUMPRODUCT(--(WEEKDAY(C$3:AG$3,2)&gt;5),--ISNUMBER(MATCH(C32:AG32,{"DM","CS1","CS2","SB1","AE","CS/B","WEEKEND OUTFIELD RESERVE"},0)))</f>
        <v>1</v>
      </c>
      <c r="AW32" s="77"/>
      <c r="AX32" s="77">
        <f t="shared" si="3"/>
        <v>8.5</v>
      </c>
      <c r="AY32" s="77">
        <f t="shared" si="4"/>
        <v>6</v>
      </c>
      <c r="AZ32" s="77">
        <f t="shared" si="5"/>
        <v>2</v>
      </c>
      <c r="BA32" s="76">
        <f t="shared" si="6"/>
        <v>9.5</v>
      </c>
      <c r="BB32" s="77">
        <f t="shared" si="7"/>
        <v>1</v>
      </c>
      <c r="BC32" s="77">
        <f t="shared" si="8"/>
        <v>0</v>
      </c>
      <c r="BD32" s="77">
        <f t="shared" si="9"/>
        <v>0</v>
      </c>
      <c r="BE32" s="77">
        <f t="shared" si="10"/>
        <v>0</v>
      </c>
      <c r="BF32" s="77">
        <f t="shared" si="11"/>
        <v>0</v>
      </c>
      <c r="BG32" s="77">
        <f t="shared" si="12"/>
        <v>0</v>
      </c>
      <c r="BH32" s="77">
        <f t="shared" si="13"/>
        <v>0</v>
      </c>
      <c r="BI32" s="77">
        <f t="shared" si="14"/>
        <v>2</v>
      </c>
      <c r="BJ32" s="77">
        <f t="shared" si="15"/>
        <v>1</v>
      </c>
      <c r="BK32" s="77">
        <f t="shared" si="16"/>
        <v>0</v>
      </c>
      <c r="BL32" s="77">
        <f t="shared" si="17"/>
        <v>0</v>
      </c>
      <c r="BM32" s="77">
        <f>COUNTIF($D32:$AA32,BM$4)</f>
        <v>0</v>
      </c>
      <c r="BN32" s="77">
        <f>COUNTIF($D32:$AA32,BN$4)</f>
        <v>0</v>
      </c>
      <c r="BO32" s="77">
        <f>COUNTIF($D32:$AA32,BO$4)</f>
        <v>0</v>
      </c>
      <c r="BP32" s="77"/>
    </row>
    <row r="33" ht="19.5" customHeight="1" spans="1:68">
      <c r="A33" s="67"/>
      <c r="B33" s="76" t="s">
        <v>633</v>
      </c>
      <c r="C33" s="60"/>
      <c r="D33" s="60" t="s">
        <v>55</v>
      </c>
      <c r="E33" s="53" t="s">
        <v>54</v>
      </c>
      <c r="F33" s="60" t="s">
        <v>54</v>
      </c>
      <c r="G33" s="60" t="s">
        <v>54</v>
      </c>
      <c r="H33" s="60" t="s">
        <v>949</v>
      </c>
      <c r="I33" s="60" t="s">
        <v>57</v>
      </c>
      <c r="J33" s="60"/>
      <c r="K33" s="60" t="s">
        <v>57</v>
      </c>
      <c r="L33" s="60"/>
      <c r="M33" s="60"/>
      <c r="N33" s="60"/>
      <c r="O33" s="60"/>
      <c r="P33" s="60" t="s">
        <v>967</v>
      </c>
      <c r="Q33" s="60"/>
      <c r="R33" s="53" t="s">
        <v>93</v>
      </c>
      <c r="S33" s="60"/>
      <c r="T33" s="60"/>
      <c r="U33" s="60" t="s">
        <v>566</v>
      </c>
      <c r="V33" s="60"/>
      <c r="W33" s="53" t="s">
        <v>57</v>
      </c>
      <c r="X33" s="53"/>
      <c r="Y33" s="53"/>
      <c r="Z33" s="60"/>
      <c r="AA33" s="60"/>
      <c r="AB33" s="60"/>
      <c r="AC33" s="75" t="s">
        <v>767</v>
      </c>
      <c r="AD33" s="75" t="s">
        <v>767</v>
      </c>
      <c r="AE33" s="79"/>
      <c r="AF33" s="60" t="s">
        <v>57</v>
      </c>
      <c r="AG33" s="60"/>
      <c r="AH33" s="67">
        <f t="shared" ref="AH33:AP33" si="51">COUNTIF($C33:$AF33,AH$4)</f>
        <v>4</v>
      </c>
      <c r="AI33" s="67">
        <f t="shared" si="51"/>
        <v>0</v>
      </c>
      <c r="AJ33" s="67">
        <f t="shared" si="51"/>
        <v>0</v>
      </c>
      <c r="AK33" s="67">
        <f t="shared" si="51"/>
        <v>1</v>
      </c>
      <c r="AL33" s="67">
        <f t="shared" si="51"/>
        <v>0</v>
      </c>
      <c r="AM33" s="67">
        <f t="shared" si="51"/>
        <v>1</v>
      </c>
      <c r="AN33" s="67">
        <f t="shared" si="51"/>
        <v>0</v>
      </c>
      <c r="AO33" s="67">
        <f t="shared" si="51"/>
        <v>2</v>
      </c>
      <c r="AP33" s="67">
        <f t="shared" si="51"/>
        <v>0</v>
      </c>
      <c r="AQ33" s="76">
        <v>1</v>
      </c>
      <c r="AR33" s="76"/>
      <c r="AS33" s="77">
        <f>SUMPRODUCT(--(WEEKDAY(C$3:AG$3,2)&lt;5),--ISNUMBER(MATCH(C33:AG33,{"DM","CS1","CS2","SB1","AE","CS/B"},0)))</f>
        <v>4</v>
      </c>
      <c r="AT33" s="67"/>
      <c r="AU33" s="77">
        <f>SUMPRODUCT(--(WEEKDAY(C$3:AG$3,2)=5),--ISNUMBER(MATCH(C33:AG33,{"DM","CS1","CS2","SB1","AE","CS/B","WEEKEND OUTFIELD RESERVE"},0)))</f>
        <v>0</v>
      </c>
      <c r="AV33" s="77">
        <f>SUMPRODUCT(--(WEEKDAY(C$3:AG$3,2)&gt;5),--ISNUMBER(MATCH(C33:AG33,{"DM","CS1","CS2","SB1","AE","CS/B","WEEKEND OUTFIELD RESERVE"},0)))</f>
        <v>1</v>
      </c>
      <c r="AW33" s="67"/>
      <c r="AX33" s="77">
        <f t="shared" si="3"/>
        <v>8.5</v>
      </c>
      <c r="AY33" s="77">
        <f t="shared" si="4"/>
        <v>5</v>
      </c>
      <c r="AZ33" s="77">
        <f t="shared" si="5"/>
        <v>1</v>
      </c>
      <c r="BA33" s="76">
        <f t="shared" si="6"/>
        <v>10</v>
      </c>
      <c r="BB33" s="77">
        <f t="shared" si="7"/>
        <v>1.5</v>
      </c>
      <c r="BC33" s="77">
        <f t="shared" si="8"/>
        <v>1</v>
      </c>
      <c r="BD33" s="77">
        <f t="shared" si="9"/>
        <v>1.5</v>
      </c>
      <c r="BE33" s="77">
        <f t="shared" si="10"/>
        <v>0</v>
      </c>
      <c r="BF33" s="77">
        <f t="shared" si="11"/>
        <v>0</v>
      </c>
      <c r="BG33" s="77">
        <f t="shared" si="12"/>
        <v>0</v>
      </c>
      <c r="BH33" s="77">
        <f t="shared" si="13"/>
        <v>0</v>
      </c>
      <c r="BI33" s="77">
        <f t="shared" si="14"/>
        <v>0</v>
      </c>
      <c r="BJ33" s="77">
        <f t="shared" si="15"/>
        <v>0</v>
      </c>
      <c r="BK33" s="77">
        <f t="shared" si="16"/>
        <v>0</v>
      </c>
      <c r="BL33" s="77">
        <f t="shared" si="17"/>
        <v>0</v>
      </c>
      <c r="BM33" s="77">
        <f>COUNTIF($D33:$Z33,BM$4)</f>
        <v>0</v>
      </c>
      <c r="BN33" s="77">
        <f>COUNTIF($D33:$Z33,BN$4)</f>
        <v>0</v>
      </c>
      <c r="BO33" s="77">
        <f>COUNTIF($D33:$Z33,BO$4)</f>
        <v>1</v>
      </c>
      <c r="BP33" s="67"/>
    </row>
    <row r="34" ht="19.5" customHeight="1" spans="1:68">
      <c r="A34" s="67"/>
      <c r="B34" s="76" t="s">
        <v>637</v>
      </c>
      <c r="D34" s="53" t="s">
        <v>961</v>
      </c>
      <c r="E34" s="60" t="s">
        <v>57</v>
      </c>
      <c r="F34" s="60"/>
      <c r="G34" s="60"/>
      <c r="H34" s="60" t="s">
        <v>949</v>
      </c>
      <c r="I34" s="60"/>
      <c r="J34" s="60" t="s">
        <v>57</v>
      </c>
      <c r="K34" s="60" t="s">
        <v>707</v>
      </c>
      <c r="L34" s="53"/>
      <c r="M34" s="53"/>
      <c r="N34" s="60"/>
      <c r="O34" s="60" t="s">
        <v>380</v>
      </c>
      <c r="P34" s="60" t="s">
        <v>380</v>
      </c>
      <c r="Q34" s="60"/>
      <c r="R34" s="53"/>
      <c r="S34" s="53" t="s">
        <v>162</v>
      </c>
      <c r="T34" s="53"/>
      <c r="U34" s="60"/>
      <c r="V34" s="53" t="s">
        <v>57</v>
      </c>
      <c r="W34" s="53"/>
      <c r="Y34" s="60" t="s">
        <v>56</v>
      </c>
      <c r="Z34" s="53"/>
      <c r="AA34" s="60"/>
      <c r="AB34" s="60" t="s">
        <v>57</v>
      </c>
      <c r="AC34" s="89"/>
      <c r="AD34" s="89"/>
      <c r="AE34" s="78" t="s">
        <v>767</v>
      </c>
      <c r="AF34" s="60" t="s">
        <v>767</v>
      </c>
      <c r="AG34" s="60" t="s">
        <v>56</v>
      </c>
      <c r="AH34" s="67">
        <f t="shared" ref="AH34:AP34" si="52">COUNTIF($C34:$AF34,AH$4)</f>
        <v>4</v>
      </c>
      <c r="AI34" s="67">
        <f t="shared" si="52"/>
        <v>1</v>
      </c>
      <c r="AJ34" s="67">
        <f t="shared" si="52"/>
        <v>0</v>
      </c>
      <c r="AK34" s="67">
        <f t="shared" si="52"/>
        <v>0</v>
      </c>
      <c r="AL34" s="67">
        <f t="shared" si="52"/>
        <v>0</v>
      </c>
      <c r="AM34" s="67">
        <f t="shared" si="52"/>
        <v>0</v>
      </c>
      <c r="AN34" s="67">
        <f t="shared" si="52"/>
        <v>0</v>
      </c>
      <c r="AO34" s="67">
        <f t="shared" si="52"/>
        <v>2</v>
      </c>
      <c r="AP34" s="67">
        <f t="shared" si="52"/>
        <v>0</v>
      </c>
      <c r="AQ34" s="76">
        <v>0</v>
      </c>
      <c r="AR34" s="76"/>
      <c r="AS34" s="77">
        <f>SUMPRODUCT(--(WEEKDAY(C$3:AG$3,2)&lt;5),--ISNUMBER(MATCH(C34:AG34,{"DM","CS1","CS2","SB1","AE","CS/B"},0)))</f>
        <v>3</v>
      </c>
      <c r="AT34" s="67"/>
      <c r="AU34" s="77">
        <f>SUMPRODUCT(--(WEEKDAY(C$3:AG$3,2)=5),--ISNUMBER(MATCH(C34:AG34,{"DM","CS1","CS2","SB1","AE","CS/B","WEEKEND OUTFIELD RESERVE"},0)))</f>
        <v>2</v>
      </c>
      <c r="AV34" s="77">
        <f>SUMPRODUCT(--(WEEKDAY(C$3:AG$3,2)&gt;5),--ISNUMBER(MATCH(C34:AG34,{"DM","CS1","CS2","SB1","AE","CS/B","WEEKEND OUTFIELD RESERVE"},0)))</f>
        <v>1</v>
      </c>
      <c r="AW34" s="67"/>
      <c r="AX34" s="77">
        <f t="shared" si="3"/>
        <v>9</v>
      </c>
      <c r="AY34" s="77">
        <f t="shared" si="4"/>
        <v>6</v>
      </c>
      <c r="AZ34" s="77">
        <f t="shared" si="5"/>
        <v>1</v>
      </c>
      <c r="BA34" s="76">
        <f t="shared" si="6"/>
        <v>9.5</v>
      </c>
      <c r="BB34" s="77">
        <f t="shared" si="7"/>
        <v>0.5</v>
      </c>
      <c r="BC34" s="77">
        <f t="shared" si="8"/>
        <v>0</v>
      </c>
      <c r="BD34" s="77">
        <f t="shared" si="9"/>
        <v>0</v>
      </c>
      <c r="BE34" s="77">
        <f t="shared" si="10"/>
        <v>0</v>
      </c>
      <c r="BF34" s="77">
        <f t="shared" si="11"/>
        <v>0</v>
      </c>
      <c r="BG34" s="77">
        <f t="shared" si="12"/>
        <v>0</v>
      </c>
      <c r="BH34" s="77">
        <f t="shared" si="13"/>
        <v>0</v>
      </c>
      <c r="BI34" s="77">
        <f t="shared" si="14"/>
        <v>1</v>
      </c>
      <c r="BJ34" s="77">
        <f t="shared" si="15"/>
        <v>0.5</v>
      </c>
      <c r="BK34" s="77">
        <f t="shared" si="16"/>
        <v>0</v>
      </c>
      <c r="BL34" s="77">
        <f t="shared" si="17"/>
        <v>0</v>
      </c>
      <c r="BM34" s="77">
        <f>COUNTIF($H34:$AA34,BM$4)</f>
        <v>0</v>
      </c>
      <c r="BN34" s="77">
        <f>COUNTIF($H34:$AA34,BN$4)</f>
        <v>0</v>
      </c>
      <c r="BO34" s="77">
        <f>COUNTIF($H34:$AA34,BO$4)</f>
        <v>0</v>
      </c>
      <c r="BP34" s="67"/>
    </row>
    <row r="35" ht="51.75" customHeight="1" spans="1:68">
      <c r="A35" s="67"/>
      <c r="B35" s="76" t="s">
        <v>639</v>
      </c>
      <c r="C35" s="60"/>
      <c r="D35" s="60"/>
      <c r="E35" s="60" t="s">
        <v>58</v>
      </c>
      <c r="F35" s="53"/>
      <c r="G35" s="60"/>
      <c r="H35" s="60" t="s">
        <v>949</v>
      </c>
      <c r="I35" s="60" t="s">
        <v>56</v>
      </c>
      <c r="J35" s="60"/>
      <c r="K35" s="60" t="s">
        <v>93</v>
      </c>
      <c r="L35" s="60"/>
      <c r="M35" s="60"/>
      <c r="N35" s="60"/>
      <c r="O35" s="60"/>
      <c r="P35" s="60"/>
      <c r="Q35" s="53" t="s">
        <v>350</v>
      </c>
      <c r="R35" s="60"/>
      <c r="S35" s="60" t="s">
        <v>93</v>
      </c>
      <c r="T35" s="60"/>
      <c r="U35" s="53"/>
      <c r="V35" s="53" t="s">
        <v>65</v>
      </c>
      <c r="W35" s="53"/>
      <c r="X35" s="53"/>
      <c r="Y35" s="60" t="s">
        <v>350</v>
      </c>
      <c r="Z35" s="60"/>
      <c r="AA35" s="60"/>
      <c r="AB35" s="60" t="s">
        <v>65</v>
      </c>
      <c r="AC35" s="90"/>
      <c r="AD35" s="90"/>
      <c r="AE35" s="83" t="s">
        <v>61</v>
      </c>
      <c r="AF35" s="60"/>
      <c r="AG35" s="53" t="s">
        <v>65</v>
      </c>
      <c r="AH35" s="67">
        <f t="shared" ref="AH35:AP35" si="53">COUNTIF($C35:$AF35,AH$4)</f>
        <v>0</v>
      </c>
      <c r="AI35" s="67">
        <f t="shared" si="53"/>
        <v>1</v>
      </c>
      <c r="AJ35" s="67">
        <f t="shared" si="53"/>
        <v>0</v>
      </c>
      <c r="AK35" s="67">
        <f t="shared" si="53"/>
        <v>0</v>
      </c>
      <c r="AL35" s="67">
        <f t="shared" si="53"/>
        <v>1</v>
      </c>
      <c r="AM35" s="67">
        <f t="shared" si="53"/>
        <v>2</v>
      </c>
      <c r="AN35" s="67">
        <f t="shared" si="53"/>
        <v>2</v>
      </c>
      <c r="AO35" s="67">
        <f t="shared" si="53"/>
        <v>0</v>
      </c>
      <c r="AP35" s="67">
        <f t="shared" si="53"/>
        <v>0</v>
      </c>
      <c r="AQ35" s="76"/>
      <c r="AR35" s="76">
        <v>0.5</v>
      </c>
      <c r="AS35" s="77">
        <f>SUMPRODUCT(--(WEEKDAY(C$3:AG$3,2)&lt;5),--ISNUMBER(MATCH(C35:AG35,{"DM","CS1","CS2","SB1","AE","CS/B"},0)))</f>
        <v>2</v>
      </c>
      <c r="AT35" s="67"/>
      <c r="AU35" s="77">
        <f>SUMPRODUCT(--(WEEKDAY(C$3:AG$3,2)=5),--ISNUMBER(MATCH(C35:AG35,{"DM","CS1","CS2","SB1","AE","CS/B","WEEKEND OUTFIELD RESERVE"},0)))</f>
        <v>2</v>
      </c>
      <c r="AV35" s="77">
        <f>SUMPRODUCT(--(WEEKDAY(C$3:AG$3,2)&gt;5),--ISNUMBER(MATCH(C35:AG35,{"DM","CS1","CS2","SB1","AE","CS/B","WEEKEND OUTFIELD RESERVE"},0)))</f>
        <v>1</v>
      </c>
      <c r="AW35" s="67"/>
      <c r="AX35" s="77">
        <f t="shared" si="3"/>
        <v>7.5</v>
      </c>
      <c r="AY35" s="77">
        <f t="shared" si="4"/>
        <v>5</v>
      </c>
      <c r="AZ35" s="77">
        <f t="shared" si="5"/>
        <v>0</v>
      </c>
      <c r="BA35" s="76">
        <f t="shared" si="6"/>
        <v>7.5</v>
      </c>
      <c r="BB35" s="77">
        <f t="shared" si="7"/>
        <v>0</v>
      </c>
      <c r="BC35" s="77">
        <f t="shared" si="8"/>
        <v>0</v>
      </c>
      <c r="BD35" s="77">
        <f t="shared" si="9"/>
        <v>0</v>
      </c>
      <c r="BE35" s="77">
        <f t="shared" si="10"/>
        <v>0</v>
      </c>
      <c r="BF35" s="77">
        <f t="shared" si="11"/>
        <v>0</v>
      </c>
      <c r="BG35" s="77">
        <f t="shared" si="12"/>
        <v>0</v>
      </c>
      <c r="BH35" s="77">
        <f t="shared" si="13"/>
        <v>0</v>
      </c>
      <c r="BI35" s="77">
        <f t="shared" si="14"/>
        <v>0</v>
      </c>
      <c r="BJ35" s="77">
        <f t="shared" si="15"/>
        <v>0</v>
      </c>
      <c r="BK35" s="77">
        <f t="shared" si="16"/>
        <v>0</v>
      </c>
      <c r="BL35" s="77">
        <f t="shared" si="17"/>
        <v>0</v>
      </c>
      <c r="BM35" s="77">
        <f>COUNTIF($D35:$Z35,BM$4)</f>
        <v>0</v>
      </c>
      <c r="BN35" s="77">
        <f>COUNTIF($D35:$Z35,BN$4)</f>
        <v>2</v>
      </c>
      <c r="BO35" s="77">
        <f>COUNTIF($D35:$Z35,BO$4)</f>
        <v>0</v>
      </c>
      <c r="BP35" s="67"/>
    </row>
    <row r="36" ht="19.5" customHeight="1" spans="1:68">
      <c r="A36" s="67"/>
      <c r="B36" s="76" t="s">
        <v>736</v>
      </c>
      <c r="C36" s="60" t="s">
        <v>124</v>
      </c>
      <c r="D36" s="53" t="s">
        <v>962</v>
      </c>
      <c r="E36" s="60" t="s">
        <v>59</v>
      </c>
      <c r="F36" s="60"/>
      <c r="G36" s="60"/>
      <c r="H36" s="60"/>
      <c r="I36" s="60" t="s">
        <v>93</v>
      </c>
      <c r="J36" s="60" t="s">
        <v>308</v>
      </c>
      <c r="K36" s="60"/>
      <c r="L36" s="60" t="s">
        <v>350</v>
      </c>
      <c r="M36" s="60"/>
      <c r="N36" s="53"/>
      <c r="O36" s="60" t="s">
        <v>56</v>
      </c>
      <c r="P36" s="53"/>
      <c r="Q36" s="60"/>
      <c r="R36" s="60"/>
      <c r="S36" s="60"/>
      <c r="T36" s="60" t="s">
        <v>58</v>
      </c>
      <c r="U36" s="60"/>
      <c r="V36" s="53"/>
      <c r="W36" s="60" t="s">
        <v>59</v>
      </c>
      <c r="X36" s="53"/>
      <c r="Y36" s="60" t="s">
        <v>55</v>
      </c>
      <c r="Z36" s="60" t="s">
        <v>55</v>
      </c>
      <c r="AA36" s="60"/>
      <c r="AB36" s="60"/>
      <c r="AC36" s="89"/>
      <c r="AD36" s="92" t="s">
        <v>237</v>
      </c>
      <c r="AE36" s="84"/>
      <c r="AF36" s="60"/>
      <c r="AG36" s="60" t="s">
        <v>93</v>
      </c>
      <c r="AH36" s="67">
        <f t="shared" ref="AH36:AP36" si="54">COUNTIF($C36:$AF36,AH$4)</f>
        <v>0</v>
      </c>
      <c r="AI36" s="67">
        <f t="shared" si="54"/>
        <v>1</v>
      </c>
      <c r="AJ36" s="67">
        <f t="shared" si="54"/>
        <v>2</v>
      </c>
      <c r="AK36" s="67">
        <f t="shared" si="54"/>
        <v>0</v>
      </c>
      <c r="AL36" s="67">
        <f t="shared" si="54"/>
        <v>1</v>
      </c>
      <c r="AM36" s="67">
        <f t="shared" si="54"/>
        <v>1</v>
      </c>
      <c r="AN36" s="67">
        <f t="shared" si="54"/>
        <v>0</v>
      </c>
      <c r="AO36" s="67">
        <f t="shared" si="54"/>
        <v>0</v>
      </c>
      <c r="AP36" s="67">
        <f t="shared" si="54"/>
        <v>0</v>
      </c>
      <c r="AQ36" s="76"/>
      <c r="AR36" s="76">
        <v>0.5</v>
      </c>
      <c r="AS36" s="77">
        <f>SUMPRODUCT(--(WEEKDAY(C$3:AG$3,2)&lt;5),--ISNUMBER(MATCH(C36:AG36,{"DM","CS1","CS2","SB1","AE","CS/B"},0)))</f>
        <v>2</v>
      </c>
      <c r="AT36" s="67"/>
      <c r="AU36" s="77">
        <f>SUMPRODUCT(--(WEEKDAY(C$3:AG$3,2)=5),--ISNUMBER(MATCH(C36:AG36,{"DM","CS1","CS2","SB1","AE","CS/B","WEEKEND OUTFIELD RESERVE"},0)))</f>
        <v>1</v>
      </c>
      <c r="AV36" s="77">
        <f>SUMPRODUCT(--(WEEKDAY(C$3:AG$3,2)&gt;5),--ISNUMBER(MATCH(C36:AG36,{"DM","CS1","CS2","SB1","AE","CS/B","WEEKEND OUTFIELD RESERVE"},0)))</f>
        <v>1</v>
      </c>
      <c r="AW36" s="67"/>
      <c r="AX36" s="77">
        <f t="shared" si="3"/>
        <v>5.5</v>
      </c>
      <c r="AY36" s="77">
        <f t="shared" si="4"/>
        <v>4</v>
      </c>
      <c r="AZ36" s="77">
        <f t="shared" si="5"/>
        <v>4</v>
      </c>
      <c r="BA36" s="76">
        <f t="shared" si="6"/>
        <v>9.5</v>
      </c>
      <c r="BB36" s="77">
        <f t="shared" si="7"/>
        <v>4</v>
      </c>
      <c r="BC36" s="77">
        <f t="shared" si="8"/>
        <v>2</v>
      </c>
      <c r="BD36" s="77">
        <f t="shared" si="9"/>
        <v>3</v>
      </c>
      <c r="BE36" s="77">
        <f t="shared" si="10"/>
        <v>0</v>
      </c>
      <c r="BF36" s="77">
        <f t="shared" si="11"/>
        <v>0</v>
      </c>
      <c r="BG36" s="77">
        <f t="shared" si="12"/>
        <v>1</v>
      </c>
      <c r="BH36" s="77">
        <f t="shared" si="13"/>
        <v>0.5</v>
      </c>
      <c r="BI36" s="77">
        <f t="shared" si="14"/>
        <v>1</v>
      </c>
      <c r="BJ36" s="77">
        <f t="shared" si="15"/>
        <v>0.5</v>
      </c>
      <c r="BK36" s="77">
        <f t="shared" si="16"/>
        <v>0</v>
      </c>
      <c r="BL36" s="77">
        <f t="shared" si="17"/>
        <v>0</v>
      </c>
      <c r="BM36" s="77">
        <f>COUNTIF($D36:$AA36,BM$4)</f>
        <v>0</v>
      </c>
      <c r="BN36" s="77">
        <f>COUNTIF($D36:$AA36,BN$4)</f>
        <v>1</v>
      </c>
      <c r="BO36" s="77">
        <f>COUNTIF($D36:$AA36,BO$4)</f>
        <v>2</v>
      </c>
      <c r="BP36" s="67"/>
    </row>
    <row r="37" ht="19.5" customHeight="1" spans="1:68">
      <c r="A37" s="67"/>
      <c r="B37" s="76" t="s">
        <v>739</v>
      </c>
      <c r="C37" s="53" t="s">
        <v>59</v>
      </c>
      <c r="D37" s="53"/>
      <c r="E37" s="60"/>
      <c r="F37" s="60" t="s">
        <v>58</v>
      </c>
      <c r="G37" s="60"/>
      <c r="H37" s="60" t="s">
        <v>566</v>
      </c>
      <c r="I37" s="53"/>
      <c r="J37" s="60" t="s">
        <v>93</v>
      </c>
      <c r="K37" s="60" t="s">
        <v>573</v>
      </c>
      <c r="L37" s="60"/>
      <c r="M37" s="53" t="s">
        <v>964</v>
      </c>
      <c r="N37" s="60"/>
      <c r="O37" s="53"/>
      <c r="P37" s="53" t="s">
        <v>58</v>
      </c>
      <c r="Q37" s="60"/>
      <c r="R37" s="60"/>
      <c r="S37" s="60" t="s">
        <v>56</v>
      </c>
      <c r="T37" s="60"/>
      <c r="U37" s="53"/>
      <c r="V37" s="53"/>
      <c r="W37" s="53"/>
      <c r="X37" s="60" t="s">
        <v>573</v>
      </c>
      <c r="Y37" s="60"/>
      <c r="Z37" s="60" t="s">
        <v>54</v>
      </c>
      <c r="AA37" s="53" t="s">
        <v>54</v>
      </c>
      <c r="AB37" s="53" t="s">
        <v>54</v>
      </c>
      <c r="AC37" s="90"/>
      <c r="AD37" s="75" t="s">
        <v>573</v>
      </c>
      <c r="AE37" s="79"/>
      <c r="AF37" s="60" t="s">
        <v>943</v>
      </c>
      <c r="AG37" s="60"/>
      <c r="AH37" s="67">
        <f t="shared" ref="AH37:AP37" si="55">COUNTIF($C37:$AF37,AH$4)</f>
        <v>0</v>
      </c>
      <c r="AI37" s="67">
        <f t="shared" si="55"/>
        <v>1</v>
      </c>
      <c r="AJ37" s="67">
        <f t="shared" si="55"/>
        <v>1</v>
      </c>
      <c r="AK37" s="67">
        <f t="shared" si="55"/>
        <v>1</v>
      </c>
      <c r="AL37" s="67">
        <f t="shared" si="55"/>
        <v>2</v>
      </c>
      <c r="AM37" s="67">
        <f t="shared" si="55"/>
        <v>1</v>
      </c>
      <c r="AN37" s="67">
        <f t="shared" si="55"/>
        <v>0</v>
      </c>
      <c r="AO37" s="67">
        <f t="shared" si="55"/>
        <v>0</v>
      </c>
      <c r="AP37" s="67">
        <f t="shared" si="55"/>
        <v>0</v>
      </c>
      <c r="AQ37" s="76">
        <v>0</v>
      </c>
      <c r="AR37" s="76"/>
      <c r="AS37" s="77">
        <f>SUMPRODUCT(--(WEEKDAY(C$3:AG$3,2)&lt;5),--ISNUMBER(MATCH(C37:AG37,{"DM","CS1","CS2","SB1","AE","CS/B"},0)))</f>
        <v>3</v>
      </c>
      <c r="AT37" s="67"/>
      <c r="AU37" s="77">
        <f>SUMPRODUCT(--(WEEKDAY(C$3:AG$3,2)=5),--ISNUMBER(MATCH(C37:AG37,{"DM","CS1","CS2","SB1","AE","CS/B","WEEKEND OUTFIELD RESERVE"},0)))</f>
        <v>1</v>
      </c>
      <c r="AV37" s="77">
        <f>SUMPRODUCT(--(WEEKDAY(C$3:AG$3,2)&gt;5),--ISNUMBER(MATCH(C37:AG37,{"DM","CS1","CS2","SB1","AE","CS/B","WEEKEND OUTFIELD RESERVE"},0)))</f>
        <v>1</v>
      </c>
      <c r="AW37" s="67"/>
      <c r="AX37" s="77">
        <f t="shared" si="3"/>
        <v>7</v>
      </c>
      <c r="AY37" s="77">
        <f t="shared" si="4"/>
        <v>5</v>
      </c>
      <c r="AZ37" s="77">
        <f t="shared" si="5"/>
        <v>2</v>
      </c>
      <c r="BA37" s="76">
        <f t="shared" si="6"/>
        <v>9</v>
      </c>
      <c r="BB37" s="77">
        <f t="shared" si="7"/>
        <v>2</v>
      </c>
      <c r="BC37" s="77">
        <f t="shared" si="8"/>
        <v>0</v>
      </c>
      <c r="BD37" s="77">
        <f t="shared" si="9"/>
        <v>0</v>
      </c>
      <c r="BE37" s="77">
        <f t="shared" si="10"/>
        <v>2</v>
      </c>
      <c r="BF37" s="77">
        <f t="shared" si="11"/>
        <v>2</v>
      </c>
      <c r="BG37" s="77">
        <f t="shared" si="12"/>
        <v>0</v>
      </c>
      <c r="BH37" s="77">
        <f t="shared" si="13"/>
        <v>0</v>
      </c>
      <c r="BI37" s="77">
        <f t="shared" si="14"/>
        <v>0</v>
      </c>
      <c r="BJ37" s="77">
        <f t="shared" si="15"/>
        <v>0</v>
      </c>
      <c r="BK37" s="77">
        <f t="shared" si="16"/>
        <v>0</v>
      </c>
      <c r="BL37" s="77">
        <f t="shared" si="17"/>
        <v>0</v>
      </c>
      <c r="BM37" s="77">
        <f>COUNTIF($D37:$Y37,BM$4)</f>
        <v>0</v>
      </c>
      <c r="BN37" s="77">
        <f>COUNTIF($D37:$Y37,BN$4)</f>
        <v>0</v>
      </c>
      <c r="BO37" s="77">
        <f>COUNTIF($D37:$Y37,BO$4)</f>
        <v>0</v>
      </c>
      <c r="BP37" s="67"/>
    </row>
    <row r="38" ht="19.5" customHeight="1" spans="1:68">
      <c r="A38" s="67"/>
      <c r="B38" s="76" t="s">
        <v>965</v>
      </c>
      <c r="C38" s="60"/>
      <c r="D38" s="53"/>
      <c r="E38" s="60"/>
      <c r="F38" s="60"/>
      <c r="G38" s="60"/>
      <c r="H38" s="53" t="s">
        <v>56</v>
      </c>
      <c r="I38" s="53"/>
      <c r="J38" s="60" t="s">
        <v>59</v>
      </c>
      <c r="K38" s="60"/>
      <c r="L38" s="60" t="s">
        <v>93</v>
      </c>
      <c r="M38" s="53"/>
      <c r="N38" s="60" t="s">
        <v>966</v>
      </c>
      <c r="P38" s="60" t="s">
        <v>573</v>
      </c>
      <c r="Q38" s="60"/>
      <c r="R38" s="60"/>
      <c r="S38" s="60" t="s">
        <v>968</v>
      </c>
      <c r="T38" s="60"/>
      <c r="U38" s="60"/>
      <c r="V38" s="60" t="s">
        <v>56</v>
      </c>
      <c r="W38" s="60"/>
      <c r="X38" s="53"/>
      <c r="Y38" s="60" t="s">
        <v>566</v>
      </c>
      <c r="Z38" s="53"/>
      <c r="AA38" s="53"/>
      <c r="AB38" s="60"/>
      <c r="AC38" s="89"/>
      <c r="AD38" s="97" t="s">
        <v>58</v>
      </c>
      <c r="AE38" s="84"/>
      <c r="AF38" s="60" t="s">
        <v>93</v>
      </c>
      <c r="AG38" s="60" t="s">
        <v>350</v>
      </c>
      <c r="AH38" s="67">
        <f t="shared" ref="AH38:AP38" si="56">COUNTIF($C38:$AF38,AH$4)</f>
        <v>0</v>
      </c>
      <c r="AI38" s="67">
        <f t="shared" si="56"/>
        <v>2</v>
      </c>
      <c r="AJ38" s="67">
        <f t="shared" si="56"/>
        <v>1</v>
      </c>
      <c r="AK38" s="67">
        <f t="shared" si="56"/>
        <v>1</v>
      </c>
      <c r="AL38" s="67">
        <f t="shared" si="56"/>
        <v>1</v>
      </c>
      <c r="AM38" s="67">
        <f t="shared" si="56"/>
        <v>2</v>
      </c>
      <c r="AN38" s="67">
        <f t="shared" si="56"/>
        <v>0</v>
      </c>
      <c r="AO38" s="67">
        <f t="shared" si="56"/>
        <v>0</v>
      </c>
      <c r="AP38" s="67">
        <f t="shared" si="56"/>
        <v>0</v>
      </c>
      <c r="AQ38" s="76"/>
      <c r="AR38" s="76">
        <v>0.5</v>
      </c>
      <c r="AS38" s="77">
        <f>SUMPRODUCT(--(WEEKDAY(C$3:AG$3,2)&lt;5),--ISNUMBER(MATCH(C38:AG38,{"DM","CS1","CS2","SB1","AE","CS/B"},0)))</f>
        <v>5</v>
      </c>
      <c r="AT38" s="67"/>
      <c r="AU38" s="77">
        <f>SUMPRODUCT(--(WEEKDAY(C$3:AG$3,2)=5),--ISNUMBER(MATCH(C38:AG38,{"DM","CS1","CS2","SB1","AE","CS/B","WEEKEND OUTFIELD RESERVE"},0)))</f>
        <v>0</v>
      </c>
      <c r="AV38" s="77">
        <f>SUMPRODUCT(--(WEEKDAY(C$3:AG$3,2)&gt;5),--ISNUMBER(MATCH(C38:AG38,{"DM","CS1","CS2","SB1","AE","CS/B","WEEKEND OUTFIELD RESERVE"},0)))</f>
        <v>0</v>
      </c>
      <c r="AW38" s="67"/>
      <c r="AX38" s="77">
        <f t="shared" si="3"/>
        <v>5.5</v>
      </c>
      <c r="AY38" s="77">
        <f t="shared" si="4"/>
        <v>5</v>
      </c>
      <c r="AZ38" s="77">
        <f t="shared" si="5"/>
        <v>2</v>
      </c>
      <c r="BA38" s="76">
        <f t="shared" si="6"/>
        <v>7</v>
      </c>
      <c r="BB38" s="77">
        <f t="shared" si="7"/>
        <v>1.5</v>
      </c>
      <c r="BC38" s="77">
        <f t="shared" si="8"/>
        <v>0</v>
      </c>
      <c r="BD38" s="77">
        <f t="shared" si="9"/>
        <v>0</v>
      </c>
      <c r="BE38" s="77">
        <f t="shared" si="10"/>
        <v>1</v>
      </c>
      <c r="BF38" s="77">
        <f t="shared" si="11"/>
        <v>1</v>
      </c>
      <c r="BG38" s="77">
        <f t="shared" si="12"/>
        <v>1</v>
      </c>
      <c r="BH38" s="77">
        <f t="shared" si="13"/>
        <v>0.5</v>
      </c>
      <c r="BI38" s="77">
        <f t="shared" si="14"/>
        <v>0</v>
      </c>
      <c r="BJ38" s="77">
        <f t="shared" si="15"/>
        <v>0</v>
      </c>
      <c r="BK38" s="77">
        <f t="shared" si="16"/>
        <v>0</v>
      </c>
      <c r="BL38" s="77">
        <f t="shared" si="17"/>
        <v>0</v>
      </c>
      <c r="BM38" s="77">
        <f>COUNTIF($D38:$Z38,BM$4)</f>
        <v>0</v>
      </c>
      <c r="BN38" s="77">
        <f>COUNTIF($D38:$Z38,BN$4)</f>
        <v>0</v>
      </c>
      <c r="BO38" s="77">
        <f>COUNTIF($D38:$Z38,BO$4)</f>
        <v>0</v>
      </c>
      <c r="BP38" s="67"/>
    </row>
    <row r="39" ht="19.5" customHeight="1" spans="1:68">
      <c r="A39" s="67"/>
      <c r="B39" s="76" t="s">
        <v>657</v>
      </c>
      <c r="D39" s="53" t="s">
        <v>56</v>
      </c>
      <c r="E39" s="60"/>
      <c r="F39" s="60"/>
      <c r="G39" s="60" t="s">
        <v>566</v>
      </c>
      <c r="I39" s="53"/>
      <c r="J39" s="60" t="s">
        <v>58</v>
      </c>
      <c r="K39" s="60"/>
      <c r="L39" s="60"/>
      <c r="M39" s="60"/>
      <c r="N39" s="60" t="s">
        <v>566</v>
      </c>
      <c r="O39" s="53"/>
      <c r="P39" s="60" t="s">
        <v>993</v>
      </c>
      <c r="Q39" s="53"/>
      <c r="R39" s="60"/>
      <c r="S39" s="60" t="s">
        <v>65</v>
      </c>
      <c r="T39" s="53"/>
      <c r="U39" s="53"/>
      <c r="V39" s="53"/>
      <c r="W39" s="60" t="s">
        <v>240</v>
      </c>
      <c r="X39" s="60" t="s">
        <v>350</v>
      </c>
      <c r="Y39" s="60"/>
      <c r="Z39" s="60" t="s">
        <v>573</v>
      </c>
      <c r="AA39" s="53"/>
      <c r="AB39" s="60"/>
      <c r="AC39" s="94" t="s">
        <v>754</v>
      </c>
      <c r="AD39" s="94" t="s">
        <v>754</v>
      </c>
      <c r="AE39" s="95" t="s">
        <v>754</v>
      </c>
      <c r="AF39" s="60" t="s">
        <v>754</v>
      </c>
      <c r="AG39" s="60" t="s">
        <v>754</v>
      </c>
      <c r="AH39" s="67">
        <f t="shared" ref="AH39:AP39" si="57">COUNTIF($C39:$AB39,AH$4)</f>
        <v>0</v>
      </c>
      <c r="AI39" s="67">
        <f t="shared" si="57"/>
        <v>1</v>
      </c>
      <c r="AJ39" s="67">
        <f t="shared" si="57"/>
        <v>0</v>
      </c>
      <c r="AK39" s="67">
        <f t="shared" si="57"/>
        <v>2</v>
      </c>
      <c r="AL39" s="67">
        <f t="shared" si="57"/>
        <v>1</v>
      </c>
      <c r="AM39" s="67">
        <f t="shared" si="57"/>
        <v>0</v>
      </c>
      <c r="AN39" s="67">
        <f t="shared" si="57"/>
        <v>1</v>
      </c>
      <c r="AO39" s="67">
        <f t="shared" si="57"/>
        <v>0</v>
      </c>
      <c r="AP39" s="67">
        <f t="shared" si="57"/>
        <v>0</v>
      </c>
      <c r="AQ39" s="76"/>
      <c r="AR39" s="76">
        <v>7</v>
      </c>
      <c r="AS39" s="77">
        <f>SUMPRODUCT(--(WEEKDAY(C$3:AG$3,2)&lt;5),--ISNUMBER(MATCH(C39:AG39,{"DM","CS1","CS2","SB1","AE","CS/B"},0)))</f>
        <v>2</v>
      </c>
      <c r="AT39" s="67"/>
      <c r="AU39" s="77">
        <f>SUMPRODUCT(--(WEEKDAY(C$3:AG$3,2)=5),--ISNUMBER(MATCH(C39:AG39,{"DM","CS1","CS2","SB1","AE","CS/B","WEEKEND OUTFIELD RESERVE"},0)))</f>
        <v>1</v>
      </c>
      <c r="AV39" s="77">
        <f>SUMPRODUCT(--(WEEKDAY(C$3:AG$3,2)&gt;5),--ISNUMBER(MATCH(C39:AG39,{"DM","CS1","CS2","SB1","AE","CS/B","WEEKEND OUTFIELD RESERVE"},0)))</f>
        <v>2</v>
      </c>
      <c r="AW39" s="67"/>
      <c r="AX39" s="77">
        <f t="shared" si="3"/>
        <v>0.5</v>
      </c>
      <c r="AY39" s="77">
        <f t="shared" si="4"/>
        <v>5</v>
      </c>
      <c r="AZ39" s="77">
        <f t="shared" si="5"/>
        <v>7</v>
      </c>
      <c r="BA39" s="76">
        <f t="shared" si="6"/>
        <v>7</v>
      </c>
      <c r="BB39" s="77">
        <f t="shared" si="7"/>
        <v>6.5</v>
      </c>
      <c r="BC39" s="77">
        <f t="shared" si="8"/>
        <v>0</v>
      </c>
      <c r="BD39" s="77">
        <f t="shared" si="9"/>
        <v>0</v>
      </c>
      <c r="BE39" s="77">
        <f t="shared" si="10"/>
        <v>1</v>
      </c>
      <c r="BF39" s="77">
        <f t="shared" si="11"/>
        <v>1</v>
      </c>
      <c r="BG39" s="77">
        <f t="shared" si="12"/>
        <v>0</v>
      </c>
      <c r="BH39" s="77">
        <f t="shared" si="13"/>
        <v>0</v>
      </c>
      <c r="BI39" s="77">
        <f t="shared" si="14"/>
        <v>1</v>
      </c>
      <c r="BJ39" s="77">
        <f t="shared" si="15"/>
        <v>0.5</v>
      </c>
      <c r="BK39" s="77">
        <f t="shared" si="16"/>
        <v>5</v>
      </c>
      <c r="BL39" s="77">
        <f t="shared" si="17"/>
        <v>5</v>
      </c>
      <c r="BM39" s="77">
        <f>COUNTIF($D39:$Z39,BM$4)</f>
        <v>0</v>
      </c>
      <c r="BN39" s="77">
        <f>COUNTIF($D39:$Z39,BN$4)</f>
        <v>1</v>
      </c>
      <c r="BO39" s="77">
        <f>COUNTIF($D39:$Z39,BO$4)</f>
        <v>0</v>
      </c>
      <c r="BP39" s="67"/>
    </row>
    <row r="40" ht="19.5" customHeight="1" spans="1:68">
      <c r="A40" s="67"/>
      <c r="B40" s="76" t="s">
        <v>970</v>
      </c>
      <c r="C40" s="60" t="s">
        <v>573</v>
      </c>
      <c r="D40" s="85" t="s">
        <v>971</v>
      </c>
      <c r="E40" s="60"/>
      <c r="F40" s="60"/>
      <c r="G40" s="60"/>
      <c r="H40" s="60" t="s">
        <v>949</v>
      </c>
      <c r="I40" s="53" t="s">
        <v>59</v>
      </c>
      <c r="J40" s="60"/>
      <c r="K40" s="60"/>
      <c r="L40" s="60"/>
      <c r="M40" s="60"/>
      <c r="N40" s="60"/>
      <c r="O40" s="60" t="s">
        <v>566</v>
      </c>
      <c r="P40" s="60"/>
      <c r="Q40" s="60" t="s">
        <v>58</v>
      </c>
      <c r="R40" s="53"/>
      <c r="S40" s="60"/>
      <c r="T40" s="53" t="s">
        <v>350</v>
      </c>
      <c r="U40" s="53"/>
      <c r="V40" s="53" t="s">
        <v>93</v>
      </c>
      <c r="W40" s="53" t="s">
        <v>962</v>
      </c>
      <c r="X40" s="53" t="s">
        <v>58</v>
      </c>
      <c r="Y40" s="53"/>
      <c r="Z40" s="60"/>
      <c r="AA40" s="53" t="s">
        <v>56</v>
      </c>
      <c r="AB40" s="60"/>
      <c r="AC40" s="97"/>
      <c r="AD40" s="89"/>
      <c r="AE40" s="98" t="s">
        <v>93</v>
      </c>
      <c r="AF40" s="53" t="s">
        <v>350</v>
      </c>
      <c r="AG40" s="60"/>
      <c r="AH40" s="67">
        <f t="shared" ref="AH40:AP40" si="58">COUNTIF($C40:$AF40,AH$4)</f>
        <v>0</v>
      </c>
      <c r="AI40" s="67">
        <f t="shared" si="58"/>
        <v>1</v>
      </c>
      <c r="AJ40" s="67">
        <f t="shared" si="58"/>
        <v>1</v>
      </c>
      <c r="AK40" s="67">
        <f t="shared" si="58"/>
        <v>1</v>
      </c>
      <c r="AL40" s="67">
        <f t="shared" si="58"/>
        <v>2</v>
      </c>
      <c r="AM40" s="67">
        <f t="shared" si="58"/>
        <v>2</v>
      </c>
      <c r="AN40" s="67">
        <f t="shared" si="58"/>
        <v>0</v>
      </c>
      <c r="AO40" s="67">
        <f t="shared" si="58"/>
        <v>0</v>
      </c>
      <c r="AP40" s="67">
        <f t="shared" si="58"/>
        <v>0</v>
      </c>
      <c r="AQ40" s="76"/>
      <c r="AR40" s="76">
        <v>0.5</v>
      </c>
      <c r="AS40" s="77">
        <f>SUMPRODUCT(--(WEEKDAY(C$3:AG$3,2)&lt;5),--ISNUMBER(MATCH(C40:AG40,{"DM","CS1","CS2","SB1","AE","CS/B"},0)))</f>
        <v>4</v>
      </c>
      <c r="AT40" s="67"/>
      <c r="AU40" s="77">
        <f>SUMPRODUCT(--(WEEKDAY(C$3:AG$3,2)=5),--ISNUMBER(MATCH(C40:AG40,{"DM","CS1","CS2","SB1","AE","CS/B","WEEKEND OUTFIELD RESERVE"},0)))</f>
        <v>0</v>
      </c>
      <c r="AV40" s="77">
        <f>SUMPRODUCT(--(WEEKDAY(C$3:AG$3,2)&gt;5),--ISNUMBER(MATCH(C40:AG40,{"DM","CS1","CS2","SB1","AE","CS/B","WEEKEND OUTFIELD RESERVE"},0)))</f>
        <v>1</v>
      </c>
      <c r="AW40" s="67"/>
      <c r="AX40" s="77">
        <f t="shared" si="3"/>
        <v>6.5</v>
      </c>
      <c r="AY40" s="77">
        <f t="shared" si="4"/>
        <v>5</v>
      </c>
      <c r="AZ40" s="77">
        <f t="shared" si="5"/>
        <v>2</v>
      </c>
      <c r="BA40" s="76">
        <f t="shared" si="6"/>
        <v>7.5</v>
      </c>
      <c r="BB40" s="77">
        <f t="shared" si="7"/>
        <v>1</v>
      </c>
      <c r="BC40" s="77">
        <f t="shared" si="8"/>
        <v>0</v>
      </c>
      <c r="BD40" s="77">
        <f t="shared" si="9"/>
        <v>0</v>
      </c>
      <c r="BE40" s="77">
        <f t="shared" si="10"/>
        <v>0</v>
      </c>
      <c r="BF40" s="77">
        <f t="shared" si="11"/>
        <v>0</v>
      </c>
      <c r="BG40" s="77">
        <f t="shared" si="12"/>
        <v>0</v>
      </c>
      <c r="BH40" s="77">
        <f t="shared" si="13"/>
        <v>0</v>
      </c>
      <c r="BI40" s="77">
        <f t="shared" si="14"/>
        <v>2</v>
      </c>
      <c r="BJ40" s="77">
        <f t="shared" si="15"/>
        <v>1</v>
      </c>
      <c r="BK40" s="77">
        <f t="shared" si="16"/>
        <v>0</v>
      </c>
      <c r="BL40" s="77">
        <f t="shared" si="17"/>
        <v>0</v>
      </c>
      <c r="BM40" s="77">
        <f>COUNTIF($D40:$Z40,BM$4)</f>
        <v>0</v>
      </c>
      <c r="BN40" s="77">
        <f>COUNTIF($D40:$Z40,BN$4)</f>
        <v>1</v>
      </c>
      <c r="BO40" s="77">
        <f>COUNTIF($D40:$Z40,BO$4)</f>
        <v>0</v>
      </c>
      <c r="BP40" s="67"/>
    </row>
    <row r="41" ht="19.5" customHeight="1" spans="1:68">
      <c r="A41" s="67"/>
      <c r="B41" s="76" t="s">
        <v>974</v>
      </c>
      <c r="C41" s="53" t="s">
        <v>55</v>
      </c>
      <c r="D41" s="53" t="s">
        <v>55</v>
      </c>
      <c r="E41" s="60" t="s">
        <v>55</v>
      </c>
      <c r="F41" s="60"/>
      <c r="G41" s="60"/>
      <c r="H41" s="53" t="s">
        <v>93</v>
      </c>
      <c r="I41" s="53"/>
      <c r="J41" s="60" t="s">
        <v>55</v>
      </c>
      <c r="K41" s="60" t="s">
        <v>55</v>
      </c>
      <c r="L41" s="60"/>
      <c r="M41" s="60"/>
      <c r="N41" s="60" t="s">
        <v>65</v>
      </c>
      <c r="O41" s="53"/>
      <c r="P41" s="53"/>
      <c r="Q41" s="53" t="s">
        <v>65</v>
      </c>
      <c r="R41" s="53"/>
      <c r="S41" s="60" t="s">
        <v>58</v>
      </c>
      <c r="T41" s="53"/>
      <c r="U41" s="60" t="s">
        <v>65</v>
      </c>
      <c r="V41" s="53"/>
      <c r="W41" s="60" t="s">
        <v>56</v>
      </c>
      <c r="X41" s="60"/>
      <c r="Y41" s="53" t="s">
        <v>975</v>
      </c>
      <c r="Z41" s="60"/>
      <c r="AA41" s="53"/>
      <c r="AB41" s="60"/>
      <c r="AC41" s="99" t="s">
        <v>56</v>
      </c>
      <c r="AD41" s="86"/>
      <c r="AE41" s="100" t="s">
        <v>976</v>
      </c>
      <c r="AF41" s="53"/>
      <c r="AG41" s="60" t="s">
        <v>977</v>
      </c>
      <c r="AH41" s="67">
        <f t="shared" ref="AH41:AP41" si="59">COUNTIF($E41:$AF41,AH$4)</f>
        <v>0</v>
      </c>
      <c r="AI41" s="67">
        <f t="shared" si="59"/>
        <v>2</v>
      </c>
      <c r="AJ41" s="67">
        <f t="shared" si="59"/>
        <v>0</v>
      </c>
      <c r="AK41" s="67">
        <f t="shared" si="59"/>
        <v>0</v>
      </c>
      <c r="AL41" s="67">
        <f t="shared" si="59"/>
        <v>1</v>
      </c>
      <c r="AM41" s="67">
        <f t="shared" si="59"/>
        <v>1</v>
      </c>
      <c r="AN41" s="67">
        <f t="shared" si="59"/>
        <v>3</v>
      </c>
      <c r="AO41" s="67">
        <f t="shared" si="59"/>
        <v>0</v>
      </c>
      <c r="AP41" s="67">
        <f t="shared" si="59"/>
        <v>0</v>
      </c>
      <c r="AQ41" s="76"/>
      <c r="AR41" s="76"/>
      <c r="AS41" s="77">
        <f>SUMPRODUCT(--(WEEKDAY(C$3:AG$3,2)&lt;5),--ISNUMBER(MATCH(C41:AG41,{"DM","CS1","CS2","SB1","AE","CS/B"},0)))</f>
        <v>3</v>
      </c>
      <c r="AT41" s="67"/>
      <c r="AU41" s="77">
        <f>SUMPRODUCT(--(WEEKDAY(C$3:AG$3,2)=5),--ISNUMBER(MATCH(C41:AG41,{"DM","CS1","CS2","SB1","AE","CS/B","WEEKEND OUTFIELD RESERVE"},0)))</f>
        <v>1</v>
      </c>
      <c r="AV41" s="77">
        <f>SUMPRODUCT(--(WEEKDAY(C$3:AG$3,2)&gt;5),--ISNUMBER(MATCH(C41:AG41,{"DM","CS1","CS2","SB1","AE","CS/B","WEEKEND OUTFIELD RESERVE"},0)))</f>
        <v>2</v>
      </c>
      <c r="AW41" s="67"/>
      <c r="AX41" s="77">
        <f t="shared" si="3"/>
        <v>9</v>
      </c>
      <c r="AY41" s="77">
        <f t="shared" si="4"/>
        <v>6</v>
      </c>
      <c r="AZ41" s="77">
        <f t="shared" si="5"/>
        <v>2</v>
      </c>
      <c r="BA41" s="76">
        <f t="shared" si="6"/>
        <v>10</v>
      </c>
      <c r="BB41" s="77">
        <f t="shared" si="7"/>
        <v>1</v>
      </c>
      <c r="BC41" s="77">
        <f t="shared" si="8"/>
        <v>0</v>
      </c>
      <c r="BD41" s="77">
        <f t="shared" si="9"/>
        <v>0</v>
      </c>
      <c r="BE41" s="77">
        <f t="shared" si="10"/>
        <v>0</v>
      </c>
      <c r="BF41" s="77">
        <f t="shared" si="11"/>
        <v>0</v>
      </c>
      <c r="BG41" s="77">
        <f t="shared" si="12"/>
        <v>0</v>
      </c>
      <c r="BH41" s="77">
        <f t="shared" si="13"/>
        <v>0</v>
      </c>
      <c r="BI41" s="77">
        <f t="shared" si="14"/>
        <v>2</v>
      </c>
      <c r="BJ41" s="77">
        <f t="shared" si="15"/>
        <v>1</v>
      </c>
      <c r="BK41" s="77">
        <f t="shared" si="16"/>
        <v>0</v>
      </c>
      <c r="BL41" s="77">
        <f t="shared" si="17"/>
        <v>0</v>
      </c>
      <c r="BM41" s="77">
        <f>COUNTIF($K41:$Y41,BM$4)</f>
        <v>0</v>
      </c>
      <c r="BN41" s="77">
        <f>COUNTIF($K41:$Y41,BN$4)</f>
        <v>0</v>
      </c>
      <c r="BO41" s="77">
        <f>COUNTIF($K41:$Y41,BO$4)</f>
        <v>1</v>
      </c>
      <c r="BP41" s="67"/>
    </row>
    <row r="42" ht="19.5" customHeight="1" spans="1:68">
      <c r="A42" s="67"/>
      <c r="B42" s="76" t="s">
        <v>978</v>
      </c>
      <c r="C42" s="53" t="s">
        <v>218</v>
      </c>
      <c r="D42" s="53" t="s">
        <v>218</v>
      </c>
      <c r="E42" s="53" t="s">
        <v>218</v>
      </c>
      <c r="F42" s="53" t="s">
        <v>65</v>
      </c>
      <c r="G42" s="53"/>
      <c r="H42" s="53" t="s">
        <v>218</v>
      </c>
      <c r="I42" s="53" t="s">
        <v>218</v>
      </c>
      <c r="J42" s="53" t="s">
        <v>218</v>
      </c>
      <c r="K42" s="53" t="s">
        <v>218</v>
      </c>
      <c r="L42" s="53" t="s">
        <v>218</v>
      </c>
      <c r="M42" s="60" t="s">
        <v>54</v>
      </c>
      <c r="N42" s="53" t="s">
        <v>54</v>
      </c>
      <c r="O42" s="60"/>
      <c r="P42" s="60" t="s">
        <v>59</v>
      </c>
      <c r="Q42" s="60"/>
      <c r="R42" s="60"/>
      <c r="S42" s="60" t="s">
        <v>979</v>
      </c>
      <c r="T42" s="60"/>
      <c r="U42" s="53"/>
      <c r="V42" s="53"/>
      <c r="W42" s="53"/>
      <c r="X42" s="53" t="s">
        <v>65</v>
      </c>
      <c r="Y42" s="60"/>
      <c r="Z42" s="53" t="s">
        <v>65</v>
      </c>
      <c r="AA42" s="60"/>
      <c r="AB42" s="53"/>
      <c r="AC42" s="53" t="s">
        <v>566</v>
      </c>
      <c r="AD42" s="53"/>
      <c r="AE42" s="101" t="s">
        <v>65</v>
      </c>
      <c r="AF42" s="60" t="s">
        <v>980</v>
      </c>
      <c r="AG42" s="53"/>
      <c r="AH42" s="67">
        <f t="shared" ref="AH42:AP42" si="60">COUNTIF($C42:$AF42,AH$4)</f>
        <v>0</v>
      </c>
      <c r="AI42" s="67">
        <f t="shared" si="60"/>
        <v>0</v>
      </c>
      <c r="AJ42" s="67">
        <f t="shared" si="60"/>
        <v>1</v>
      </c>
      <c r="AK42" s="67">
        <f t="shared" si="60"/>
        <v>1</v>
      </c>
      <c r="AL42" s="67">
        <f t="shared" si="60"/>
        <v>0</v>
      </c>
      <c r="AM42" s="67">
        <f t="shared" si="60"/>
        <v>0</v>
      </c>
      <c r="AN42" s="67">
        <f t="shared" si="60"/>
        <v>4</v>
      </c>
      <c r="AO42" s="67">
        <f t="shared" si="60"/>
        <v>0</v>
      </c>
      <c r="AP42" s="67">
        <f t="shared" si="60"/>
        <v>0</v>
      </c>
      <c r="AQ42" s="76"/>
      <c r="AR42" s="76">
        <v>1</v>
      </c>
      <c r="AS42" s="77">
        <f>SUMPRODUCT(--(WEEKDAY(C$3:AG$3,2)&lt;5),--ISNUMBER(MATCH(C42:AG42,{"DM","CS1","CS2","SB1","AE","CS/B"},0)))</f>
        <v>4</v>
      </c>
      <c r="AT42" s="67"/>
      <c r="AU42" s="77">
        <f>SUMPRODUCT(--(WEEKDAY(C$3:AG$3,2)=5),--ISNUMBER(MATCH(C42:AG42,{"DM","CS1","CS2","SB1","AE","CS/B","WEEKEND OUTFIELD RESERVE"},0)))</f>
        <v>1</v>
      </c>
      <c r="AV42" s="77">
        <f>SUMPRODUCT(--(WEEKDAY(C$3:AG$3,2)&gt;5),--ISNUMBER(MATCH(C42:AG42,{"DM","CS1","CS2","SB1","AE","CS/B","WEEKEND OUTFIELD RESERVE"},0)))</f>
        <v>1</v>
      </c>
      <c r="AW42" s="67"/>
      <c r="AX42" s="77">
        <f t="shared" si="3"/>
        <v>6.5</v>
      </c>
      <c r="AY42" s="77">
        <f t="shared" si="4"/>
        <v>6</v>
      </c>
      <c r="AZ42" s="77">
        <f t="shared" si="5"/>
        <v>2</v>
      </c>
      <c r="BA42" s="76">
        <f t="shared" si="6"/>
        <v>7.5</v>
      </c>
      <c r="BB42" s="77">
        <f t="shared" si="7"/>
        <v>1</v>
      </c>
      <c r="BC42" s="77">
        <f t="shared" si="8"/>
        <v>0</v>
      </c>
      <c r="BD42" s="77">
        <f t="shared" si="9"/>
        <v>0</v>
      </c>
      <c r="BE42" s="77">
        <f t="shared" si="10"/>
        <v>0</v>
      </c>
      <c r="BF42" s="77">
        <f t="shared" si="11"/>
        <v>0</v>
      </c>
      <c r="BG42" s="77">
        <f t="shared" si="12"/>
        <v>1</v>
      </c>
      <c r="BH42" s="77">
        <f t="shared" si="13"/>
        <v>0.5</v>
      </c>
      <c r="BI42" s="77">
        <f t="shared" si="14"/>
        <v>1</v>
      </c>
      <c r="BJ42" s="77">
        <f t="shared" si="15"/>
        <v>0.5</v>
      </c>
      <c r="BK42" s="77">
        <f t="shared" si="16"/>
        <v>0</v>
      </c>
      <c r="BL42" s="77">
        <f t="shared" si="17"/>
        <v>0</v>
      </c>
      <c r="BM42" s="77">
        <f>COUNTIF($D42:$Z42,BM$4)</f>
        <v>0</v>
      </c>
      <c r="BN42" s="77">
        <f>COUNTIF($D42:$Z42,BN$4)</f>
        <v>0</v>
      </c>
      <c r="BO42" s="77">
        <f>COUNTIF($D42:$Z42,BO$4)</f>
        <v>0</v>
      </c>
      <c r="BP42" s="67"/>
    </row>
    <row r="43" ht="19.5" customHeight="1" spans="1:68">
      <c r="A43" s="67"/>
      <c r="B43" s="76" t="s">
        <v>981</v>
      </c>
      <c r="C43" s="60" t="s">
        <v>65</v>
      </c>
      <c r="D43" s="60"/>
      <c r="E43" s="60" t="s">
        <v>350</v>
      </c>
      <c r="F43" s="60"/>
      <c r="G43" s="53"/>
      <c r="H43" s="60"/>
      <c r="I43" s="53" t="s">
        <v>65</v>
      </c>
      <c r="J43" s="60"/>
      <c r="K43" s="60"/>
      <c r="L43" s="60"/>
      <c r="M43" s="53"/>
      <c r="N43" s="53"/>
      <c r="O43" s="60" t="s">
        <v>967</v>
      </c>
      <c r="P43" s="53"/>
      <c r="Q43" s="60"/>
      <c r="R43" s="60" t="s">
        <v>65</v>
      </c>
      <c r="S43" s="60"/>
      <c r="T43" s="60"/>
      <c r="U43" s="53"/>
      <c r="V43" s="60" t="s">
        <v>982</v>
      </c>
      <c r="W43" s="60" t="s">
        <v>350</v>
      </c>
      <c r="X43" s="60"/>
      <c r="Y43" s="60" t="s">
        <v>573</v>
      </c>
      <c r="Z43" s="53"/>
      <c r="AA43" s="53" t="s">
        <v>59</v>
      </c>
      <c r="AB43" s="53"/>
      <c r="AC43" s="60" t="s">
        <v>767</v>
      </c>
      <c r="AD43" s="60" t="s">
        <v>767</v>
      </c>
      <c r="AE43" s="79"/>
      <c r="AF43" s="60" t="s">
        <v>983</v>
      </c>
      <c r="AG43" s="60" t="s">
        <v>713</v>
      </c>
      <c r="AH43" s="67">
        <f t="shared" ref="AH43:AP43" si="61">COUNTIF($C43:$AF43,AH$4)</f>
        <v>0</v>
      </c>
      <c r="AI43" s="67">
        <f t="shared" si="61"/>
        <v>0</v>
      </c>
      <c r="AJ43" s="67">
        <f t="shared" si="61"/>
        <v>1</v>
      </c>
      <c r="AK43" s="67">
        <f t="shared" si="61"/>
        <v>0</v>
      </c>
      <c r="AL43" s="67">
        <f t="shared" si="61"/>
        <v>0</v>
      </c>
      <c r="AM43" s="67">
        <f t="shared" si="61"/>
        <v>0</v>
      </c>
      <c r="AN43" s="67">
        <f t="shared" si="61"/>
        <v>3</v>
      </c>
      <c r="AO43" s="67">
        <f t="shared" si="61"/>
        <v>2</v>
      </c>
      <c r="AP43" s="67">
        <f t="shared" si="61"/>
        <v>0</v>
      </c>
      <c r="AQ43" s="76">
        <v>2.5</v>
      </c>
      <c r="AR43" s="76"/>
      <c r="AS43" s="77">
        <f>SUMPRODUCT(--(WEEKDAY(C$3:AG$3,2)&lt;5),--ISNUMBER(MATCH(C43:AG43,{"DM","CS1","CS2","SB1","AE","CS/B"},0)))</f>
        <v>3</v>
      </c>
      <c r="AT43" s="67"/>
      <c r="AU43" s="77">
        <f>SUMPRODUCT(--(WEEKDAY(C$3:AG$3,2)=5),--ISNUMBER(MATCH(C43:AG43,{"DM","CS1","CS2","SB1","AE","CS/B","WEEKEND OUTFIELD RESERVE"},0)))</f>
        <v>1</v>
      </c>
      <c r="AV43" s="77">
        <f>SUMPRODUCT(--(WEEKDAY(C$3:AG$3,2)&gt;5),--ISNUMBER(MATCH(C43:AG43,{"DM","CS1","CS2","SB1","AE","CS/B","WEEKEND OUTFIELD RESERVE"},0)))</f>
        <v>1</v>
      </c>
      <c r="AW43" s="67"/>
      <c r="AX43" s="77">
        <f t="shared" si="3"/>
        <v>10</v>
      </c>
      <c r="AY43" s="77">
        <f t="shared" si="4"/>
        <v>5</v>
      </c>
      <c r="AZ43" s="77">
        <f t="shared" si="5"/>
        <v>3</v>
      </c>
      <c r="BA43" s="76">
        <f t="shared" si="6"/>
        <v>12.5</v>
      </c>
      <c r="BB43" s="77">
        <f t="shared" si="7"/>
        <v>2.5</v>
      </c>
      <c r="BC43" s="77">
        <f t="shared" si="8"/>
        <v>1</v>
      </c>
      <c r="BD43" s="77">
        <f t="shared" si="9"/>
        <v>1.5</v>
      </c>
      <c r="BE43" s="77">
        <f t="shared" si="10"/>
        <v>0</v>
      </c>
      <c r="BF43" s="77">
        <f t="shared" si="11"/>
        <v>0</v>
      </c>
      <c r="BG43" s="77">
        <f t="shared" si="12"/>
        <v>0</v>
      </c>
      <c r="BH43" s="77">
        <f t="shared" si="13"/>
        <v>0</v>
      </c>
      <c r="BI43" s="77">
        <f t="shared" si="14"/>
        <v>2</v>
      </c>
      <c r="BJ43" s="77">
        <f t="shared" si="15"/>
        <v>1</v>
      </c>
      <c r="BK43" s="77">
        <f t="shared" si="16"/>
        <v>0</v>
      </c>
      <c r="BL43" s="77">
        <f t="shared" si="17"/>
        <v>0</v>
      </c>
      <c r="BM43" s="77">
        <f>COUNTIF($D43:$Y43,BM$4)</f>
        <v>0</v>
      </c>
      <c r="BN43" s="77">
        <f>COUNTIF($D43:$Y43,BN$4)</f>
        <v>2</v>
      </c>
      <c r="BO43" s="77">
        <f>COUNTIF($D43:$Y43,BO$4)</f>
        <v>0</v>
      </c>
      <c r="BP43" s="67"/>
    </row>
    <row r="44" ht="49.5" customHeight="1" spans="1:68">
      <c r="A44" s="67"/>
      <c r="B44" s="76" t="s">
        <v>984</v>
      </c>
      <c r="C44" s="60"/>
      <c r="D44" s="60" t="s">
        <v>65</v>
      </c>
      <c r="E44" s="60"/>
      <c r="F44" s="60"/>
      <c r="G44" s="53"/>
      <c r="H44" s="60" t="s">
        <v>985</v>
      </c>
      <c r="I44" s="53"/>
      <c r="J44" s="53"/>
      <c r="K44" s="60" t="s">
        <v>65</v>
      </c>
      <c r="L44" s="60"/>
      <c r="M44" s="60"/>
      <c r="N44" s="60"/>
      <c r="O44" s="60" t="s">
        <v>573</v>
      </c>
      <c r="P44" s="60"/>
      <c r="Q44" s="60"/>
      <c r="R44" s="60"/>
      <c r="S44" s="60"/>
      <c r="T44" s="60" t="s">
        <v>65</v>
      </c>
      <c r="U44" s="53"/>
      <c r="V44" s="60"/>
      <c r="W44" s="53"/>
      <c r="X44" s="60" t="s">
        <v>573</v>
      </c>
      <c r="Y44" s="60"/>
      <c r="Z44" s="60"/>
      <c r="AA44" s="60" t="s">
        <v>88</v>
      </c>
      <c r="AB44" s="60" t="s">
        <v>88</v>
      </c>
      <c r="AC44" s="60" t="s">
        <v>88</v>
      </c>
      <c r="AD44" s="60" t="s">
        <v>88</v>
      </c>
      <c r="AE44" s="95" t="s">
        <v>88</v>
      </c>
      <c r="AF44" s="53"/>
      <c r="AG44" s="60" t="s">
        <v>713</v>
      </c>
      <c r="AH44" s="67">
        <f t="shared" ref="AH44:AP44" si="62">COUNTIF($C44:$AF44,AH$4)</f>
        <v>0</v>
      </c>
      <c r="AI44" s="67">
        <f t="shared" si="62"/>
        <v>0</v>
      </c>
      <c r="AJ44" s="67">
        <f t="shared" si="62"/>
        <v>0</v>
      </c>
      <c r="AK44" s="67">
        <f t="shared" si="62"/>
        <v>0</v>
      </c>
      <c r="AL44" s="67">
        <f t="shared" si="62"/>
        <v>0</v>
      </c>
      <c r="AM44" s="67">
        <f t="shared" si="62"/>
        <v>0</v>
      </c>
      <c r="AN44" s="67">
        <f t="shared" si="62"/>
        <v>3</v>
      </c>
      <c r="AO44" s="67">
        <f t="shared" si="62"/>
        <v>0</v>
      </c>
      <c r="AP44" s="67">
        <f t="shared" si="62"/>
        <v>0</v>
      </c>
      <c r="AQ44" s="76">
        <v>0</v>
      </c>
      <c r="AR44" s="76"/>
      <c r="AS44" s="77">
        <f>SUMPRODUCT(--(WEEKDAY(C$3:AG$3,2)&lt;5),--ISNUMBER(MATCH(C44:AG44,{"DM","CS1","CS2","SB1","AE","CS/B"},0)))</f>
        <v>2</v>
      </c>
      <c r="AT44" s="67"/>
      <c r="AU44" s="77">
        <f>SUMPRODUCT(--(WEEKDAY(C$3:AG$3,2)=5),--ISNUMBER(MATCH(C44:AG44,{"DM","CS1","CS2","SB1","AE","CS/B","WEEKEND OUTFIELD RESERVE"},0)))</f>
        <v>1</v>
      </c>
      <c r="AV44" s="77">
        <f>SUMPRODUCT(--(WEEKDAY(C$3:AG$3,2)&gt;5),--ISNUMBER(MATCH(C44:AG44,{"DM","CS1","CS2","SB1","AE","CS/B","WEEKEND OUTFIELD RESERVE"},0)))</f>
        <v>1</v>
      </c>
      <c r="AW44" s="67"/>
      <c r="AX44" s="77">
        <f t="shared" si="3"/>
        <v>5.5</v>
      </c>
      <c r="AY44" s="77">
        <f t="shared" si="4"/>
        <v>4</v>
      </c>
      <c r="AZ44" s="77">
        <f t="shared" si="5"/>
        <v>6</v>
      </c>
      <c r="BA44" s="76">
        <f t="shared" si="6"/>
        <v>11.5</v>
      </c>
      <c r="BB44" s="77">
        <f t="shared" si="7"/>
        <v>6</v>
      </c>
      <c r="BC44" s="77">
        <f t="shared" si="8"/>
        <v>0</v>
      </c>
      <c r="BD44" s="77">
        <f t="shared" si="9"/>
        <v>0</v>
      </c>
      <c r="BE44" s="77">
        <f t="shared" si="10"/>
        <v>1</v>
      </c>
      <c r="BF44" s="77">
        <f t="shared" si="11"/>
        <v>1</v>
      </c>
      <c r="BG44" s="77">
        <f t="shared" si="12"/>
        <v>0</v>
      </c>
      <c r="BH44" s="77">
        <f t="shared" si="13"/>
        <v>0</v>
      </c>
      <c r="BI44" s="77">
        <f t="shared" si="14"/>
        <v>0</v>
      </c>
      <c r="BJ44" s="77">
        <f t="shared" si="15"/>
        <v>0</v>
      </c>
      <c r="BK44" s="77">
        <f t="shared" si="16"/>
        <v>5</v>
      </c>
      <c r="BL44" s="77">
        <f t="shared" si="17"/>
        <v>5</v>
      </c>
      <c r="BM44" s="77">
        <f>COUNTIF($D44:$Y44,BM$4)</f>
        <v>0</v>
      </c>
      <c r="BN44" s="77">
        <f>COUNTIF($D44:$Y44,BN$4)</f>
        <v>0</v>
      </c>
      <c r="BO44" s="77">
        <f>COUNTIF($D44:$Y44,BO$4)</f>
        <v>0</v>
      </c>
      <c r="BP44" s="67"/>
    </row>
    <row r="45" ht="37.5" customHeight="1" spans="1:68">
      <c r="A45" s="67"/>
      <c r="B45" s="76" t="s">
        <v>987</v>
      </c>
      <c r="C45" s="60"/>
      <c r="D45" s="60"/>
      <c r="E45" s="60"/>
      <c r="F45" s="60"/>
      <c r="G45" s="53"/>
      <c r="H45" s="53" t="s">
        <v>65</v>
      </c>
      <c r="I45" s="53"/>
      <c r="J45" s="53" t="s">
        <v>65</v>
      </c>
      <c r="K45" s="60"/>
      <c r="L45" s="60"/>
      <c r="M45" s="60"/>
      <c r="N45" s="60"/>
      <c r="O45" s="60" t="s">
        <v>934</v>
      </c>
      <c r="P45" s="60" t="s">
        <v>934</v>
      </c>
      <c r="Q45" s="60" t="s">
        <v>934</v>
      </c>
      <c r="R45" s="60" t="s">
        <v>934</v>
      </c>
      <c r="S45" s="60" t="s">
        <v>934</v>
      </c>
      <c r="T45" s="60" t="s">
        <v>934</v>
      </c>
      <c r="U45" s="60" t="s">
        <v>934</v>
      </c>
      <c r="V45" s="60" t="s">
        <v>934</v>
      </c>
      <c r="W45" s="60" t="s">
        <v>934</v>
      </c>
      <c r="X45" s="60" t="s">
        <v>934</v>
      </c>
      <c r="Y45" s="60" t="s">
        <v>934</v>
      </c>
      <c r="Z45" s="60" t="s">
        <v>934</v>
      </c>
      <c r="AA45" s="60" t="s">
        <v>934</v>
      </c>
      <c r="AB45" s="60" t="s">
        <v>934</v>
      </c>
      <c r="AC45" s="60" t="s">
        <v>934</v>
      </c>
      <c r="AD45" s="60" t="s">
        <v>934</v>
      </c>
      <c r="AE45" s="83" t="s">
        <v>934</v>
      </c>
      <c r="AF45" s="60" t="s">
        <v>934</v>
      </c>
      <c r="AG45" s="60" t="s">
        <v>934</v>
      </c>
      <c r="AH45" s="67">
        <f t="shared" ref="AH45:AP45" si="63">COUNTIF($C45:$AF45,AH$4)</f>
        <v>0</v>
      </c>
      <c r="AI45" s="67">
        <f t="shared" si="63"/>
        <v>0</v>
      </c>
      <c r="AJ45" s="67">
        <f t="shared" si="63"/>
        <v>0</v>
      </c>
      <c r="AK45" s="67">
        <f t="shared" si="63"/>
        <v>0</v>
      </c>
      <c r="AL45" s="67">
        <f t="shared" si="63"/>
        <v>0</v>
      </c>
      <c r="AM45" s="67">
        <f t="shared" si="63"/>
        <v>0</v>
      </c>
      <c r="AN45" s="67">
        <f t="shared" si="63"/>
        <v>2</v>
      </c>
      <c r="AO45" s="67">
        <f t="shared" si="63"/>
        <v>0</v>
      </c>
      <c r="AP45" s="67">
        <f t="shared" si="63"/>
        <v>0</v>
      </c>
      <c r="AQ45" s="76"/>
      <c r="AR45" s="76"/>
      <c r="AS45" s="77">
        <f>SUMPRODUCT(--(WEEKDAY(C$3:AG$3,2)&lt;5),--ISNUMBER(MATCH(C45:AG45,{"DM","CS1","CS2","SB1","AE","CS/B"},0)))</f>
        <v>2</v>
      </c>
      <c r="AT45" s="67"/>
      <c r="AU45" s="77">
        <f>SUMPRODUCT(--(WEEKDAY(C$3:AG$3,2)=5),--ISNUMBER(MATCH(C45:AG45,{"DM","CS1","CS2","SB1","AE","CS/B","WEEKEND OUTFIELD RESERVE"},0)))</f>
        <v>0</v>
      </c>
      <c r="AV45" s="77">
        <f>SUMPRODUCT(--(WEEKDAY(C$3:AG$3,2)&gt;5),--ISNUMBER(MATCH(C45:AG45,{"DM","CS1","CS2","SB1","AE","CS/B","WEEKEND OUTFIELD RESERVE"},0)))</f>
        <v>0</v>
      </c>
      <c r="AW45" s="67"/>
      <c r="AX45" s="77">
        <f t="shared" si="3"/>
        <v>2</v>
      </c>
      <c r="AY45" s="77">
        <f t="shared" si="4"/>
        <v>2</v>
      </c>
      <c r="AZ45" s="77">
        <f t="shared" si="5"/>
        <v>0</v>
      </c>
      <c r="BA45" s="76">
        <f t="shared" si="6"/>
        <v>2</v>
      </c>
      <c r="BB45" s="77">
        <f t="shared" si="7"/>
        <v>0</v>
      </c>
      <c r="BC45" s="77">
        <f t="shared" si="8"/>
        <v>0</v>
      </c>
      <c r="BD45" s="77">
        <f t="shared" si="9"/>
        <v>0</v>
      </c>
      <c r="BE45" s="77">
        <f t="shared" si="10"/>
        <v>0</v>
      </c>
      <c r="BF45" s="77">
        <f t="shared" si="11"/>
        <v>0</v>
      </c>
      <c r="BG45" s="77">
        <f t="shared" si="12"/>
        <v>0</v>
      </c>
      <c r="BH45" s="77">
        <f t="shared" si="13"/>
        <v>0</v>
      </c>
      <c r="BI45" s="77">
        <f t="shared" si="14"/>
        <v>0</v>
      </c>
      <c r="BJ45" s="77">
        <f t="shared" si="15"/>
        <v>0</v>
      </c>
      <c r="BK45" s="77">
        <f t="shared" si="16"/>
        <v>0</v>
      </c>
      <c r="BL45" s="77">
        <f t="shared" si="17"/>
        <v>0</v>
      </c>
      <c r="BM45" s="77">
        <f>COUNTIF($D45:$Y45,BM$4)</f>
        <v>0</v>
      </c>
      <c r="BN45" s="77">
        <f>COUNTIF($D45:$Y45,BN$4)</f>
        <v>0</v>
      </c>
      <c r="BO45" s="77">
        <f>COUNTIF($D45:$Y45,BO$4)</f>
        <v>0</v>
      </c>
      <c r="BP45" s="67"/>
    </row>
    <row r="46" ht="43.5" customHeight="1" spans="1:68">
      <c r="A46" s="67"/>
      <c r="B46" s="76" t="s">
        <v>988</v>
      </c>
      <c r="C46" s="60" t="s">
        <v>409</v>
      </c>
      <c r="D46" s="60" t="s">
        <v>409</v>
      </c>
      <c r="E46" s="60" t="s">
        <v>409</v>
      </c>
      <c r="F46" s="60" t="s">
        <v>409</v>
      </c>
      <c r="G46" s="60" t="s">
        <v>409</v>
      </c>
      <c r="H46" s="60" t="s">
        <v>409</v>
      </c>
      <c r="I46" s="60" t="s">
        <v>409</v>
      </c>
      <c r="J46" s="60" t="s">
        <v>409</v>
      </c>
      <c r="K46" s="60" t="s">
        <v>409</v>
      </c>
      <c r="L46" s="60" t="s">
        <v>409</v>
      </c>
      <c r="M46" s="60" t="s">
        <v>409</v>
      </c>
      <c r="N46" s="60" t="s">
        <v>409</v>
      </c>
      <c r="O46" s="60" t="s">
        <v>409</v>
      </c>
      <c r="P46" s="60" t="s">
        <v>409</v>
      </c>
      <c r="Q46" s="60" t="s">
        <v>409</v>
      </c>
      <c r="R46" s="60" t="s">
        <v>409</v>
      </c>
      <c r="S46" s="60" t="s">
        <v>409</v>
      </c>
      <c r="T46" s="60" t="s">
        <v>409</v>
      </c>
      <c r="U46" s="60" t="s">
        <v>409</v>
      </c>
      <c r="V46" s="60" t="s">
        <v>409</v>
      </c>
      <c r="W46" s="60" t="s">
        <v>409</v>
      </c>
      <c r="X46" s="60" t="s">
        <v>409</v>
      </c>
      <c r="Y46" s="60" t="s">
        <v>409</v>
      </c>
      <c r="Z46" s="60" t="s">
        <v>409</v>
      </c>
      <c r="AA46" s="60" t="s">
        <v>409</v>
      </c>
      <c r="AB46" s="60" t="s">
        <v>409</v>
      </c>
      <c r="AC46" s="60" t="s">
        <v>409</v>
      </c>
      <c r="AD46" s="60" t="s">
        <v>409</v>
      </c>
      <c r="AE46" s="78" t="s">
        <v>409</v>
      </c>
      <c r="AF46" s="60" t="s">
        <v>409</v>
      </c>
      <c r="AG46" s="60" t="s">
        <v>409</v>
      </c>
      <c r="AH46" s="67">
        <f t="shared" ref="AH46:AP46" si="64">COUNTIF($C46:$AF46,AH$4)</f>
        <v>0</v>
      </c>
      <c r="AI46" s="67">
        <f t="shared" si="64"/>
        <v>0</v>
      </c>
      <c r="AJ46" s="67">
        <f t="shared" si="64"/>
        <v>0</v>
      </c>
      <c r="AK46" s="67">
        <f t="shared" si="64"/>
        <v>0</v>
      </c>
      <c r="AL46" s="67">
        <f t="shared" si="64"/>
        <v>0</v>
      </c>
      <c r="AM46" s="67">
        <f t="shared" si="64"/>
        <v>0</v>
      </c>
      <c r="AN46" s="67">
        <f t="shared" si="64"/>
        <v>0</v>
      </c>
      <c r="AO46" s="67">
        <f t="shared" si="64"/>
        <v>0</v>
      </c>
      <c r="AP46" s="67">
        <f t="shared" si="64"/>
        <v>0</v>
      </c>
      <c r="AQ46" s="76"/>
      <c r="AR46" s="76"/>
      <c r="AS46" s="77">
        <f>SUMPRODUCT(--(WEEKDAY(C$3:AG$3,2)&lt;5),--ISNUMBER(MATCH(C46:AG46,{"DM","CS1","CS2","SB1","AE","CS/B"},0)))</f>
        <v>0</v>
      </c>
      <c r="AT46" s="67"/>
      <c r="AU46" s="77">
        <f>SUMPRODUCT(--(WEEKDAY(C$3:AG$3,2)=5),--ISNUMBER(MATCH(C46:AG46,{"DM","CS1","CS2","SB1","AE","CS/B","WEEKEND OUTFIELD RESERVE"},0)))</f>
        <v>0</v>
      </c>
      <c r="AV46" s="77">
        <f>SUMPRODUCT(--(WEEKDAY(C$3:AG$3,2)&gt;5),--ISNUMBER(MATCH(C46:AG46,{"DM","CS1","CS2","SB1","AE","CS/B","WEEKEND OUTFIELD RESERVE"},0)))</f>
        <v>0</v>
      </c>
      <c r="AW46" s="67"/>
      <c r="AX46" s="77">
        <f t="shared" si="3"/>
        <v>0</v>
      </c>
      <c r="AY46" s="77">
        <f t="shared" si="4"/>
        <v>0</v>
      </c>
      <c r="AZ46" s="77">
        <f t="shared" si="5"/>
        <v>0</v>
      </c>
      <c r="BA46" s="76">
        <f t="shared" si="6"/>
        <v>0</v>
      </c>
      <c r="BB46" s="77">
        <f t="shared" si="7"/>
        <v>0</v>
      </c>
      <c r="BC46" s="77">
        <f t="shared" si="8"/>
        <v>0</v>
      </c>
      <c r="BD46" s="77">
        <f t="shared" si="9"/>
        <v>0</v>
      </c>
      <c r="BE46" s="77">
        <f t="shared" si="10"/>
        <v>0</v>
      </c>
      <c r="BF46" s="77">
        <f t="shared" si="11"/>
        <v>0</v>
      </c>
      <c r="BG46" s="77">
        <f t="shared" si="12"/>
        <v>0</v>
      </c>
      <c r="BH46" s="77">
        <f t="shared" si="13"/>
        <v>0</v>
      </c>
      <c r="BI46" s="77">
        <f t="shared" si="14"/>
        <v>0</v>
      </c>
      <c r="BJ46" s="77">
        <f t="shared" si="15"/>
        <v>0</v>
      </c>
      <c r="BK46" s="77">
        <f t="shared" si="16"/>
        <v>0</v>
      </c>
      <c r="BL46" s="77">
        <f t="shared" si="17"/>
        <v>0</v>
      </c>
      <c r="BM46" s="77">
        <f>COUNTIF($D46:$Y46,BM$4)</f>
        <v>0</v>
      </c>
      <c r="BN46" s="77">
        <f>COUNTIF($D46:$Y46,BN$4)</f>
        <v>0</v>
      </c>
      <c r="BO46" s="77">
        <f>COUNTIF($D46:$Y46,BO$4)</f>
        <v>0</v>
      </c>
      <c r="BP46" s="67"/>
    </row>
    <row r="47" ht="19.5" customHeight="1" spans="1:68">
      <c r="A47" s="67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60"/>
      <c r="AH47" s="67"/>
      <c r="AI47" s="67"/>
      <c r="AJ47" s="67"/>
      <c r="AK47" s="67"/>
      <c r="AL47" s="67"/>
      <c r="AM47" s="67"/>
      <c r="AN47" s="67"/>
      <c r="AO47" s="67"/>
      <c r="AP47" s="67"/>
      <c r="AQ47" s="76"/>
      <c r="AR47" s="76"/>
      <c r="AS47" s="77"/>
      <c r="AT47" s="67"/>
      <c r="AU47" s="77"/>
      <c r="AV47" s="77">
        <f>SUMPRODUCT(--(WEEKDAY(C$3:AF$3,2)&gt;5),--ISNUMBER(MATCH(C47:AF47,{"DM","CS1","CS2","SB1","AE","CS/B"},0)))</f>
        <v>0</v>
      </c>
      <c r="AW47" s="67"/>
      <c r="AX47" s="77"/>
      <c r="AY47" s="77"/>
      <c r="AZ47" s="77"/>
      <c r="BA47" s="76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67"/>
    </row>
    <row r="48" ht="19.5" customHeight="1" spans="1:68">
      <c r="A48" s="67"/>
      <c r="B48" s="60" t="s">
        <v>57</v>
      </c>
      <c r="C48" s="103" t="str">
        <f t="shared" ref="C48:AG48" si="65">INDEX($B$4:$B$46,MATCH($B48,C$4:C$46,0))</f>
        <v>CPL WONG JI FENG WILLARD</v>
      </c>
      <c r="D48" s="103" t="str">
        <f t="shared" si="65"/>
        <v>CPL TAN JUN YANG KELVIN</v>
      </c>
      <c r="E48" s="103" t="str">
        <f t="shared" si="65"/>
        <v>CPL ZHANG ZHONGHAO</v>
      </c>
      <c r="F48" s="103" t="str">
        <f t="shared" si="65"/>
        <v>CFC DERRICK CHIN</v>
      </c>
      <c r="G48" s="103" t="str">
        <f t="shared" si="65"/>
        <v>CPL TAN JUN YANG KELVIN</v>
      </c>
      <c r="H48" s="103" t="str">
        <f t="shared" si="65"/>
        <v>LCP KOO YI XIAN RAPHAEL </v>
      </c>
      <c r="I48" s="103" t="str">
        <f t="shared" si="65"/>
        <v>LCP CHYE JING AN MAXIMUS</v>
      </c>
      <c r="J48" s="103" t="str">
        <f t="shared" si="65"/>
        <v>3SG SAMUEL TAN ENG WEE</v>
      </c>
      <c r="K48" s="103" t="str">
        <f t="shared" si="65"/>
        <v>CFC DERRICK CHIN</v>
      </c>
      <c r="L48" s="103" t="str">
        <f t="shared" si="65"/>
        <v>CPL TAN JUN YANG KELVIN</v>
      </c>
      <c r="M48" s="103" t="str">
        <f t="shared" si="65"/>
        <v>CPL FANG JIANGRUI</v>
      </c>
      <c r="N48" s="103" t="str">
        <f t="shared" si="65"/>
        <v>CPL TAN JUN YANG KELVIN</v>
      </c>
      <c r="O48" s="103" t="str">
        <f t="shared" si="65"/>
        <v>LCP KOO YI XIAN RAPHAEL </v>
      </c>
      <c r="P48" s="103" t="str">
        <f t="shared" si="65"/>
        <v>3SG SAMUEL TAN ENG WEE</v>
      </c>
      <c r="Q48" s="103" t="str">
        <f t="shared" si="65"/>
        <v>CFC GERALD TAN </v>
      </c>
      <c r="R48" s="103" t="str">
        <f t="shared" si="65"/>
        <v>CPL WONG JI FENG WILLARD</v>
      </c>
      <c r="S48" s="103" t="str">
        <f t="shared" si="65"/>
        <v>LCP CHYE JING AN MAXIMUS</v>
      </c>
      <c r="T48" s="103" t="str">
        <f t="shared" si="65"/>
        <v>CPL QUEK ZI YI</v>
      </c>
      <c r="U48" s="103" t="str">
        <f t="shared" si="65"/>
        <v>CPL ZHANG ZHONGHAO</v>
      </c>
      <c r="V48" s="103" t="str">
        <f t="shared" si="65"/>
        <v>LCP TRAN MINH KHOA</v>
      </c>
      <c r="W48" s="103" t="str">
        <f t="shared" si="65"/>
        <v>LCP RON NG </v>
      </c>
      <c r="X48" s="103" t="str">
        <f t="shared" si="65"/>
        <v>CPL ZHANG ZHONGHAO</v>
      </c>
      <c r="Y48" s="103" t="str">
        <f t="shared" si="65"/>
        <v>LCP EKLAYVA PINGALI</v>
      </c>
      <c r="Z48" s="103" t="str">
        <f t="shared" si="65"/>
        <v>LCP MATTHEW HWANG YEW SENG</v>
      </c>
      <c r="AA48" s="103" t="str">
        <f t="shared" si="65"/>
        <v>LCP CHYE JING AN MAXIMUS</v>
      </c>
      <c r="AB48" s="103" t="str">
        <f t="shared" si="65"/>
        <v>LCP TRAN MINH KHOA</v>
      </c>
      <c r="AC48" s="103" t="str">
        <f t="shared" si="65"/>
        <v>LCP MUHAMMAD YASIR BIN MUHAMMAD HIJAZ</v>
      </c>
      <c r="AD48" s="103" t="str">
        <f t="shared" si="65"/>
        <v>CPL WONG JI FENG WILLARD</v>
      </c>
      <c r="AE48" s="103" t="str">
        <f t="shared" si="65"/>
        <v>CPL TAN JUN YANG KELVIN</v>
      </c>
      <c r="AF48" s="103" t="str">
        <f t="shared" si="65"/>
        <v>LCP RON NG </v>
      </c>
      <c r="AG48" s="103" t="str">
        <f t="shared" si="65"/>
        <v>LCP EKLAYVA PINGALI</v>
      </c>
      <c r="AH48" s="67"/>
      <c r="AI48" s="67"/>
      <c r="AJ48" s="67"/>
      <c r="AK48" s="67"/>
      <c r="AL48" s="67"/>
      <c r="AM48" s="67"/>
      <c r="AN48" s="67"/>
      <c r="AO48" s="67"/>
      <c r="AP48" s="67"/>
      <c r="AQ48" s="76"/>
      <c r="AR48" s="76"/>
      <c r="AS48" s="77"/>
      <c r="AT48" s="67"/>
      <c r="AU48" s="77"/>
      <c r="AV48" s="77">
        <f>SUMPRODUCT(--(WEEKDAY(C$3:AF$3,2)&gt;5),--ISNUMBER(MATCH(C48:AF48,{"DM","CS1","CS2","SB1","AE","CS/B"},0)))</f>
        <v>0</v>
      </c>
      <c r="AW48" s="67"/>
      <c r="AX48" s="77"/>
      <c r="AY48" s="77"/>
      <c r="AZ48" s="77"/>
      <c r="BA48" s="76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67"/>
    </row>
    <row r="49" ht="19.5" customHeight="1" spans="1:68">
      <c r="A49" s="67"/>
      <c r="B49" s="60" t="s">
        <v>56</v>
      </c>
      <c r="C49" s="103" t="str">
        <f t="shared" ref="C49:AG49" si="66">INDEX($B$4:$B$46,MATCH($B49,C$4:C$46,0))</f>
        <v>LCP CHYE JING AN MAXIMUS</v>
      </c>
      <c r="D49" s="103" t="str">
        <f t="shared" si="66"/>
        <v>LCP SHLOK PUROHIT</v>
      </c>
      <c r="E49" s="103" t="str">
        <f t="shared" si="66"/>
        <v>CPL HO SHENGHUI HAYDEN</v>
      </c>
      <c r="F49" s="103" t="str">
        <f t="shared" si="66"/>
        <v>LCP EKLAYVA PINGALI</v>
      </c>
      <c r="G49" s="103" t="str">
        <f t="shared" si="66"/>
        <v>CFC GERALD TAN </v>
      </c>
      <c r="H49" s="103" t="str">
        <f t="shared" si="66"/>
        <v>LCP CHOA ZONGHAN ETIENNE</v>
      </c>
      <c r="I49" s="103" t="str">
        <f t="shared" si="66"/>
        <v>LCP STEPHEN TAY </v>
      </c>
      <c r="J49" s="103" t="str">
        <f t="shared" si="66"/>
        <v>PTE MENDEZ RALPH JUSTINE MACALINO</v>
      </c>
      <c r="K49" s="103" t="str">
        <f t="shared" si="66"/>
        <v>CPL WONG JI FENG WILLARD</v>
      </c>
      <c r="L49" s="103" t="str">
        <f t="shared" si="66"/>
        <v>PTE DANIEL ISKANDAR BIN SANUSI</v>
      </c>
      <c r="M49" s="103" t="str">
        <f t="shared" si="66"/>
        <v>3SG SAMUEL TAN ENG WEE</v>
      </c>
      <c r="N49" s="103" t="str">
        <f t="shared" si="66"/>
        <v>CPL HO SHENGHUI HAYDEN</v>
      </c>
      <c r="O49" s="103" t="str">
        <f t="shared" si="66"/>
        <v>LCP EDWARD GAN BOON WEI </v>
      </c>
      <c r="P49" s="103" t="str">
        <f t="shared" si="66"/>
        <v>LCP CHYE JING AN MAXIMUS</v>
      </c>
      <c r="Q49" s="103" t="str">
        <f t="shared" si="66"/>
        <v>CPL FANG JIANGRUI</v>
      </c>
      <c r="R49" s="103" t="str">
        <f t="shared" si="66"/>
        <v>PTE MENDEZ RALPH JUSTINE MACALINO</v>
      </c>
      <c r="S49" s="103" t="str">
        <f t="shared" si="66"/>
        <v>LCP RAIYAN ZUFAYRI BIN MOHAMAD HELMY</v>
      </c>
      <c r="T49" s="103" t="str">
        <f t="shared" si="66"/>
        <v>CPL TAN JUN YANG KELVIN</v>
      </c>
      <c r="U49" s="103" t="str">
        <f t="shared" si="66"/>
        <v>LCP MUHAMAD ZULKHAIRI BIN MOHAMAD SAPARI</v>
      </c>
      <c r="V49" s="103" t="str">
        <f t="shared" si="66"/>
        <v>LCP CHOA ZONGHAN ETIENNE</v>
      </c>
      <c r="W49" s="103" t="str">
        <f t="shared" si="66"/>
        <v>LCP MUHAMMAD SHAUKI BIN MOHD SHAM</v>
      </c>
      <c r="X49" s="103" t="str">
        <f t="shared" si="66"/>
        <v>CFC GERALD TAN </v>
      </c>
      <c r="Y49" s="103" t="str">
        <f t="shared" si="66"/>
        <v>LCP TRAN MINH KHOA</v>
      </c>
      <c r="Z49" s="103" t="str">
        <f t="shared" si="66"/>
        <v>PTE MENDEZ RALPH JUSTINE MACALINO</v>
      </c>
      <c r="AA49" s="103" t="str">
        <f t="shared" si="66"/>
        <v>CPL HYDER ISKANDAR BIN ZULKILFILY</v>
      </c>
      <c r="AB49" s="103" t="str">
        <f t="shared" si="66"/>
        <v>LCP KOO YI XIAN RAPHAEL </v>
      </c>
      <c r="AC49" s="103" t="str">
        <f t="shared" si="66"/>
        <v>LCP MUHAMMAD SHAUKI BIN MOHD SHAM</v>
      </c>
      <c r="AD49" s="103" t="str">
        <f t="shared" si="66"/>
        <v>PTE DANIEL ISKANDAR BIN SANUSI</v>
      </c>
      <c r="AE49" s="103" t="str">
        <f t="shared" si="66"/>
        <v>3SG SAMUEL TAN ENG WEE</v>
      </c>
      <c r="AF49" s="103" t="str">
        <f t="shared" si="66"/>
        <v>CPL FANG JIANGRUI</v>
      </c>
      <c r="AG49" s="103" t="str">
        <f t="shared" si="66"/>
        <v>LCP TRAN MINH KHOA</v>
      </c>
      <c r="AH49" s="67"/>
      <c r="AI49" s="67"/>
      <c r="AJ49" s="67"/>
      <c r="AK49" s="67"/>
      <c r="AL49" s="67"/>
      <c r="AM49" s="67"/>
      <c r="AN49" s="67"/>
      <c r="AO49" s="67"/>
      <c r="AP49" s="67"/>
      <c r="AQ49" s="76"/>
      <c r="AR49" s="76"/>
      <c r="AS49" s="77"/>
      <c r="AT49" s="67"/>
      <c r="AU49" s="77"/>
      <c r="AV49" s="77">
        <f>SUMPRODUCT(--(WEEKDAY(C$3:AF$3,2)&gt;5),--ISNUMBER(MATCH(C49:AF49,{"DM","CS1","CS2","SB1","AE","CS/B"},0)))</f>
        <v>0</v>
      </c>
      <c r="AW49" s="67"/>
      <c r="AX49" s="77"/>
      <c r="AY49" s="77"/>
      <c r="AZ49" s="77"/>
      <c r="BA49" s="76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67"/>
    </row>
    <row r="50" ht="19.5" customHeight="1" spans="1:68">
      <c r="A50" s="67"/>
      <c r="B50" s="60" t="s">
        <v>59</v>
      </c>
      <c r="C50" s="103" t="str">
        <f>INDEX($B$4:$B$46,MATCH($B50,C$4:C$46,0))</f>
        <v>LCP RAIYAN ZUFAYRI BIN MOHAMAD HELMY</v>
      </c>
      <c r="D50" s="103" t="e">
        <f t="shared" ref="D50:AG50" si="67">INDEX($B$4:$B$44,MATCH($B50,D$4:D$46,0))</f>
        <v>#N/A</v>
      </c>
      <c r="E50" s="103" t="str">
        <f t="shared" si="67"/>
        <v>LCP EDWARD GAN BOON WEI </v>
      </c>
      <c r="F50" s="103" t="str">
        <f t="shared" si="67"/>
        <v>CPL WONG JI FENG WILLARD</v>
      </c>
      <c r="G50" s="103" t="e">
        <f t="shared" si="67"/>
        <v>#N/A</v>
      </c>
      <c r="H50" s="103" t="e">
        <f t="shared" si="67"/>
        <v>#N/A</v>
      </c>
      <c r="I50" s="103" t="str">
        <f t="shared" si="67"/>
        <v>CPL HYDER ISKANDAR BIN ZULKILFILY</v>
      </c>
      <c r="J50" s="103" t="str">
        <f t="shared" si="67"/>
        <v>LCP CHOA ZONGHAN ETIENNE</v>
      </c>
      <c r="K50" s="103" t="e">
        <f t="shared" si="67"/>
        <v>#N/A</v>
      </c>
      <c r="L50" s="103" t="str">
        <f t="shared" si="67"/>
        <v>LCP KOO YI XIAN RAPHAEL </v>
      </c>
      <c r="M50" s="103" t="str">
        <f t="shared" si="67"/>
        <v>LCP MUHAMMAD YASIR BIN MUHAMMAD HIJAZ</v>
      </c>
      <c r="N50" s="103" t="e">
        <f t="shared" si="67"/>
        <v>#N/A</v>
      </c>
      <c r="O50" s="103" t="e">
        <f t="shared" si="67"/>
        <v>#N/A</v>
      </c>
      <c r="P50" s="103" t="str">
        <f t="shared" si="67"/>
        <v>LCP HUANG JIHUI</v>
      </c>
      <c r="Q50" s="103" t="str">
        <f t="shared" si="67"/>
        <v>CPL QUEK ZI YI</v>
      </c>
      <c r="R50" s="103" t="e">
        <f t="shared" si="67"/>
        <v>#N/A</v>
      </c>
      <c r="S50" s="103" t="str">
        <f t="shared" si="67"/>
        <v>LCP MATTHEW HWANG YEW SENG</v>
      </c>
      <c r="T50" s="103" t="str">
        <f t="shared" si="67"/>
        <v>CPL FANG JIANGRUI</v>
      </c>
      <c r="U50" s="103" t="e">
        <f t="shared" si="67"/>
        <v>#N/A</v>
      </c>
      <c r="V50" s="103" t="e">
        <f t="shared" si="67"/>
        <v>#N/A</v>
      </c>
      <c r="W50" s="103" t="str">
        <f t="shared" si="67"/>
        <v>LCP EDWARD GAN BOON WEI </v>
      </c>
      <c r="X50" s="103" t="str">
        <f t="shared" si="67"/>
        <v>3SG SAMUEL TAN ENG WEE</v>
      </c>
      <c r="Y50" s="103" t="e">
        <f t="shared" si="67"/>
        <v>#N/A</v>
      </c>
      <c r="Z50" s="103" t="str">
        <f t="shared" si="67"/>
        <v>CPL TAN JUN YANG KELVIN</v>
      </c>
      <c r="AA50" s="103" t="str">
        <f t="shared" si="67"/>
        <v>LCP MUHAMMAD HAMZA ZUBERI</v>
      </c>
      <c r="AB50" s="103" t="e">
        <f t="shared" si="67"/>
        <v>#N/A</v>
      </c>
      <c r="AC50" s="103" t="e">
        <f t="shared" si="67"/>
        <v>#N/A</v>
      </c>
      <c r="AD50" s="103" t="str">
        <f t="shared" si="67"/>
        <v>LCP EKLAYVA PINGALI</v>
      </c>
      <c r="AE50" s="103" t="str">
        <f t="shared" si="67"/>
        <v>LCP MATTHEW HWANG YEW SENG</v>
      </c>
      <c r="AF50" s="103" t="e">
        <f t="shared" si="67"/>
        <v>#N/A</v>
      </c>
      <c r="AG50" s="103" t="str">
        <f t="shared" si="67"/>
        <v>LCP MUHAMMAD YASIR BIN MUHAMMAD HIJAZ</v>
      </c>
      <c r="AH50" s="67"/>
      <c r="AI50" s="67"/>
      <c r="AJ50" s="67"/>
      <c r="AK50" s="67"/>
      <c r="AL50" s="67"/>
      <c r="AM50" s="67"/>
      <c r="AN50" s="67"/>
      <c r="AO50" s="67"/>
      <c r="AP50" s="67"/>
      <c r="AQ50" s="76"/>
      <c r="AR50" s="76"/>
      <c r="AS50" s="77"/>
      <c r="AT50" s="67"/>
      <c r="AU50" s="77"/>
      <c r="AV50" s="77">
        <f>SUMPRODUCT(--(WEEKDAY(C$3:AF$3,2)&gt;5),--ISNUMBER(MATCH(C50:AF50,{"DM","CS1","CS2","SB1","AE","CS/B"},0)))</f>
        <v>0</v>
      </c>
      <c r="AW50" s="67"/>
      <c r="AX50" s="77"/>
      <c r="AY50" s="77"/>
      <c r="AZ50" s="77"/>
      <c r="BA50" s="76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67"/>
    </row>
    <row r="51" ht="19.5" customHeight="1" spans="1:68">
      <c r="A51" s="67"/>
      <c r="B51" s="60" t="s">
        <v>566</v>
      </c>
      <c r="C51" s="103" t="e">
        <f t="shared" ref="C51:AG51" si="68">INDEX($B$4:$B$46,MATCH($B51,C$4:C$46,0))</f>
        <v>#N/A</v>
      </c>
      <c r="D51" s="103" t="str">
        <f t="shared" si="68"/>
        <v>CPL QUEK ZI YI</v>
      </c>
      <c r="E51" s="103" t="e">
        <f t="shared" si="68"/>
        <v>#N/A</v>
      </c>
      <c r="F51" s="103" t="e">
        <f t="shared" si="68"/>
        <v>#N/A</v>
      </c>
      <c r="G51" s="103" t="str">
        <f t="shared" si="68"/>
        <v>LCP SHLOK PUROHIT</v>
      </c>
      <c r="H51" s="103" t="str">
        <f t="shared" si="68"/>
        <v>LCP RAIYAN ZUFAYRI BIN MOHAMAD HELMY</v>
      </c>
      <c r="I51" s="103" t="e">
        <f t="shared" si="68"/>
        <v>#N/A</v>
      </c>
      <c r="J51" s="103" t="e">
        <f t="shared" si="68"/>
        <v>#N/A</v>
      </c>
      <c r="K51" s="103" t="str">
        <f t="shared" si="68"/>
        <v>LCP MUHAMMAD YASIR BIN MUHAMMAD HIJAZ</v>
      </c>
      <c r="L51" s="103" t="e">
        <f t="shared" si="68"/>
        <v>#N/A</v>
      </c>
      <c r="M51" s="103" t="e">
        <f t="shared" si="68"/>
        <v>#N/A</v>
      </c>
      <c r="N51" s="103" t="str">
        <f t="shared" si="68"/>
        <v>LCP SHLOK PUROHIT</v>
      </c>
      <c r="O51" s="103" t="str">
        <f t="shared" si="68"/>
        <v>CPL HYDER ISKANDAR BIN ZULKILFILY</v>
      </c>
      <c r="P51" s="103" t="e">
        <f t="shared" si="68"/>
        <v>#N/A</v>
      </c>
      <c r="Q51" s="103" t="e">
        <f t="shared" si="68"/>
        <v>#N/A</v>
      </c>
      <c r="R51" s="103" t="str">
        <f t="shared" si="68"/>
        <v>3SG SAMUEL TAN ENG WEE</v>
      </c>
      <c r="S51" s="103" t="e">
        <f t="shared" si="68"/>
        <v>#N/A</v>
      </c>
      <c r="T51" s="103" t="e">
        <f t="shared" si="68"/>
        <v>#N/A</v>
      </c>
      <c r="U51" s="103" t="str">
        <f t="shared" si="68"/>
        <v>LCP RON NG </v>
      </c>
      <c r="V51" s="103" t="str">
        <f t="shared" si="68"/>
        <v>PTE MENDEZ RALPH JUSTINE MACALINO</v>
      </c>
      <c r="W51" s="103" t="e">
        <f t="shared" si="68"/>
        <v>#N/A</v>
      </c>
      <c r="X51" s="103" t="e">
        <f t="shared" si="68"/>
        <v>#N/A</v>
      </c>
      <c r="Y51" s="103" t="str">
        <f t="shared" si="68"/>
        <v>LCP CHOA ZONGHAN ETIENNE</v>
      </c>
      <c r="Z51" s="103" t="e">
        <f t="shared" si="68"/>
        <v>#N/A</v>
      </c>
      <c r="AA51" s="103" t="e">
        <f t="shared" si="68"/>
        <v>#N/A</v>
      </c>
      <c r="AB51" s="103" t="str">
        <f t="shared" si="68"/>
        <v>LCP IGNATIUS QUEK </v>
      </c>
      <c r="AC51" s="103" t="str">
        <f t="shared" si="68"/>
        <v>LCP HUANG JIHUI</v>
      </c>
      <c r="AD51" s="103" t="e">
        <f t="shared" si="68"/>
        <v>#N/A</v>
      </c>
      <c r="AE51" s="103" t="e">
        <f t="shared" si="68"/>
        <v>#N/A</v>
      </c>
      <c r="AF51" s="103" t="str">
        <f t="shared" si="68"/>
        <v>LCP IGNATIUS QUEK </v>
      </c>
      <c r="AG51" s="103" t="e">
        <f t="shared" si="68"/>
        <v>#N/A</v>
      </c>
      <c r="AH51" s="67"/>
      <c r="AI51" s="67"/>
      <c r="AJ51" s="67"/>
      <c r="AK51" s="67"/>
      <c r="AL51" s="67"/>
      <c r="AM51" s="67"/>
      <c r="AN51" s="67"/>
      <c r="AO51" s="67"/>
      <c r="AP51" s="67"/>
      <c r="AQ51" s="76"/>
      <c r="AR51" s="76"/>
      <c r="AS51" s="77"/>
      <c r="AT51" s="67"/>
      <c r="AU51" s="77"/>
      <c r="AV51" s="77">
        <f>SUMPRODUCT(--(WEEKDAY(C$3:AF$3,2)&gt;5),--ISNUMBER(MATCH(C51:AF51,{"DM","CS1","CS2","SB1","AE","CS/B"},0)))</f>
        <v>0</v>
      </c>
      <c r="AW51" s="67"/>
      <c r="AX51" s="77"/>
      <c r="AY51" s="77"/>
      <c r="AZ51" s="77"/>
      <c r="BA51" s="76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67"/>
    </row>
    <row r="52" ht="19.5" customHeight="1" spans="1:68">
      <c r="A52" s="67"/>
      <c r="B52" s="60" t="s">
        <v>58</v>
      </c>
      <c r="C52" s="103" t="str">
        <f t="shared" ref="C52:AG52" si="69">INDEX($B$4:$B$46,MATCH($B52,C$4:C$46,0))</f>
        <v>3SG SAMUEL TAN ENG WEE</v>
      </c>
      <c r="D52" s="103" t="e">
        <f t="shared" si="69"/>
        <v>#N/A</v>
      </c>
      <c r="E52" s="103" t="str">
        <f t="shared" si="69"/>
        <v>LCP STEPHEN TAY </v>
      </c>
      <c r="F52" s="103" t="str">
        <f t="shared" si="69"/>
        <v>LCP RAIYAN ZUFAYRI BIN MOHAMAD HELMY</v>
      </c>
      <c r="G52" s="103" t="e">
        <f t="shared" si="69"/>
        <v>#N/A</v>
      </c>
      <c r="H52" s="103" t="e">
        <f t="shared" si="69"/>
        <v>#N/A</v>
      </c>
      <c r="I52" s="103" t="str">
        <f t="shared" si="69"/>
        <v>CPL HO SHENGHUI HAYDEN</v>
      </c>
      <c r="J52" s="103" t="str">
        <f t="shared" si="69"/>
        <v>LCP SHLOK PUROHIT</v>
      </c>
      <c r="K52" s="103" t="e">
        <f t="shared" si="69"/>
        <v>#N/A</v>
      </c>
      <c r="L52" s="103" t="str">
        <f t="shared" si="69"/>
        <v>LCP JARED JUAY (BCF)</v>
      </c>
      <c r="M52" s="103" t="str">
        <f t="shared" si="69"/>
        <v>PTE MENDEZ RALPH JUSTINE MACALINO</v>
      </c>
      <c r="N52" s="103" t="e">
        <f t="shared" si="69"/>
        <v>#N/A</v>
      </c>
      <c r="O52" s="103" t="e">
        <f t="shared" si="69"/>
        <v>#N/A</v>
      </c>
      <c r="P52" s="103" t="str">
        <f t="shared" si="69"/>
        <v>LCP RAIYAN ZUFAYRI BIN MOHAMAD HELMY</v>
      </c>
      <c r="Q52" s="103" t="str">
        <f t="shared" si="69"/>
        <v>CPL HYDER ISKANDAR BIN ZULKILFILY</v>
      </c>
      <c r="R52" s="103" t="e">
        <f t="shared" si="69"/>
        <v>#N/A</v>
      </c>
      <c r="S52" s="103" t="str">
        <f t="shared" si="69"/>
        <v>LCP MUHAMMAD SHAUKI BIN MOHD SHAM</v>
      </c>
      <c r="T52" s="103" t="str">
        <f t="shared" si="69"/>
        <v>LCP EDWARD GAN BOON WEI </v>
      </c>
      <c r="U52" s="103" t="e">
        <f t="shared" si="69"/>
        <v>#N/A</v>
      </c>
      <c r="V52" s="103" t="e">
        <f t="shared" si="69"/>
        <v>#N/A</v>
      </c>
      <c r="W52" s="103" t="str">
        <f t="shared" si="69"/>
        <v>CPL FANG JIANGRUI</v>
      </c>
      <c r="X52" s="103" t="str">
        <f t="shared" si="69"/>
        <v>CPL HYDER ISKANDAR BIN ZULKILFILY</v>
      </c>
      <c r="Y52" s="103" t="e">
        <f t="shared" si="69"/>
        <v>#N/A</v>
      </c>
      <c r="Z52" s="103" t="str">
        <f t="shared" si="69"/>
        <v>PTE EUGENE ANG (BCF)</v>
      </c>
      <c r="AA52" s="103" t="str">
        <f t="shared" si="69"/>
        <v>LCP EKLAYVA PINGALI</v>
      </c>
      <c r="AB52" s="103" t="e">
        <f t="shared" si="69"/>
        <v>#N/A</v>
      </c>
      <c r="AC52" s="103" t="e">
        <f t="shared" si="69"/>
        <v>#N/A</v>
      </c>
      <c r="AD52" s="103" t="str">
        <f t="shared" si="69"/>
        <v>LCP CHOA ZONGHAN ETIENNE</v>
      </c>
      <c r="AE52" s="103" t="str">
        <f t="shared" si="69"/>
        <v>CPL ZHANG ZHONGHAO</v>
      </c>
      <c r="AF52" s="103" t="e">
        <f t="shared" si="69"/>
        <v>#N/A</v>
      </c>
      <c r="AG52" s="103" t="str">
        <f t="shared" si="69"/>
        <v>PTE JAR RUI (BCF)</v>
      </c>
      <c r="AH52" s="67"/>
      <c r="AI52" s="67"/>
      <c r="AJ52" s="67"/>
      <c r="AK52" s="67"/>
      <c r="AL52" s="67"/>
      <c r="AM52" s="67"/>
      <c r="AN52" s="67"/>
      <c r="AO52" s="67"/>
      <c r="AP52" s="67"/>
      <c r="AQ52" s="76"/>
      <c r="AR52" s="76"/>
      <c r="AS52" s="77"/>
      <c r="AT52" s="67"/>
      <c r="AU52" s="77"/>
      <c r="AV52" s="77">
        <f>SUMPRODUCT(--(WEEKDAY(C$3:AF$3,2)&gt;5),--ISNUMBER(MATCH(C52:AF52,{"DM","CS1","CS2","SB1","AE","CS/B"},0)))</f>
        <v>0</v>
      </c>
      <c r="AW52" s="67"/>
      <c r="AX52" s="77"/>
      <c r="AY52" s="77"/>
      <c r="AZ52" s="77"/>
      <c r="BA52" s="76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67"/>
    </row>
    <row r="53" ht="19.5" customHeight="1" spans="1:68">
      <c r="A53" s="67"/>
      <c r="B53" s="60" t="s">
        <v>93</v>
      </c>
      <c r="C53" s="103" t="str">
        <f t="shared" ref="C53:AG53" si="70">INDEX($B$4:$B$46,MATCH($B53,C$4:C$46,0))</f>
        <v>PTE KERK NATHAN</v>
      </c>
      <c r="D53" s="103" t="str">
        <f t="shared" si="70"/>
        <v>CFC DERRICK CHIN</v>
      </c>
      <c r="E53" s="103" t="str">
        <f t="shared" si="70"/>
        <v>PTE KERK NATHAN</v>
      </c>
      <c r="F53" s="103" t="e">
        <f t="shared" si="70"/>
        <v>#N/A</v>
      </c>
      <c r="G53" s="103" t="e">
        <f t="shared" si="70"/>
        <v>#N/A</v>
      </c>
      <c r="H53" s="103" t="str">
        <f t="shared" si="70"/>
        <v>LCP MUHAMMAD SHAUKI BIN MOHD SHAM</v>
      </c>
      <c r="I53" s="103" t="str">
        <f t="shared" si="70"/>
        <v>LCP EDWARD GAN BOON WEI </v>
      </c>
      <c r="J53" s="103" t="str">
        <f t="shared" si="70"/>
        <v>LCP RAIYAN ZUFAYRI BIN MOHAMAD HELMY</v>
      </c>
      <c r="K53" s="103" t="str">
        <f t="shared" si="70"/>
        <v>LCP STEPHEN TAY </v>
      </c>
      <c r="L53" s="103" t="str">
        <f t="shared" si="70"/>
        <v>LCP CHOA ZONGHAN ETIENNE</v>
      </c>
      <c r="M53" s="103" t="e">
        <f t="shared" si="70"/>
        <v>#N/A</v>
      </c>
      <c r="N53" s="103" t="e">
        <f t="shared" si="70"/>
        <v>#N/A</v>
      </c>
      <c r="O53" s="103" t="str">
        <f t="shared" si="70"/>
        <v>LCP JARED JUAY (BCF)</v>
      </c>
      <c r="P53" s="103" t="str">
        <f t="shared" si="70"/>
        <v>PTE EUGENE ANG (BCF)</v>
      </c>
      <c r="Q53" s="103" t="str">
        <f t="shared" si="70"/>
        <v>CPL TAN JUN YANG KELVIN</v>
      </c>
      <c r="R53" s="103" t="str">
        <f t="shared" si="70"/>
        <v>LCP RON NG </v>
      </c>
      <c r="S53" s="103" t="str">
        <f t="shared" si="70"/>
        <v>LCP STEPHEN TAY </v>
      </c>
      <c r="T53" s="103" t="e">
        <f t="shared" si="70"/>
        <v>#N/A</v>
      </c>
      <c r="U53" s="103" t="e">
        <f t="shared" si="70"/>
        <v>#N/A</v>
      </c>
      <c r="V53" s="103" t="str">
        <f t="shared" si="70"/>
        <v>CPL HYDER ISKANDAR BIN ZULKILFILY</v>
      </c>
      <c r="W53" s="103" t="str">
        <f t="shared" si="70"/>
        <v>LCP MUHAMAD ZULKHAIRI BIN MOHAMAD SAPARI</v>
      </c>
      <c r="X53" s="103" t="str">
        <f t="shared" si="70"/>
        <v>CPL HO SHENGHUI HAYDEN</v>
      </c>
      <c r="Y53" s="103" t="str">
        <f t="shared" si="70"/>
        <v>LCP LAU KAN SHEN (BCF)</v>
      </c>
      <c r="Z53" s="103" t="str">
        <f t="shared" si="70"/>
        <v>PTE JEROME TEO (BCF)</v>
      </c>
      <c r="AA53" s="103" t="e">
        <f t="shared" si="70"/>
        <v>#N/A</v>
      </c>
      <c r="AB53" s="103" t="e">
        <f t="shared" si="70"/>
        <v>#N/A</v>
      </c>
      <c r="AC53" s="103" t="str">
        <f t="shared" si="70"/>
        <v>CFC GERALD TAN </v>
      </c>
      <c r="AD53" s="103" t="str">
        <f t="shared" si="70"/>
        <v>CPL ZHANG ZHONGHAO</v>
      </c>
      <c r="AE53" s="103" t="str">
        <f t="shared" si="70"/>
        <v>CPL HYDER ISKANDAR BIN ZULKILFILY</v>
      </c>
      <c r="AF53" s="103" t="str">
        <f t="shared" si="70"/>
        <v>LCP CHOA ZONGHAN ETIENNE</v>
      </c>
      <c r="AG53" s="103" t="str">
        <f t="shared" si="70"/>
        <v>LCP EDWARD GAN BOON WEI </v>
      </c>
      <c r="AH53" s="67"/>
      <c r="AI53" s="67"/>
      <c r="AJ53" s="67"/>
      <c r="AK53" s="67"/>
      <c r="AL53" s="67"/>
      <c r="AM53" s="67"/>
      <c r="AN53" s="67"/>
      <c r="AO53" s="67"/>
      <c r="AP53" s="67"/>
      <c r="AQ53" s="76"/>
      <c r="AR53" s="76"/>
      <c r="AS53" s="77"/>
      <c r="AT53" s="67"/>
      <c r="AU53" s="77"/>
      <c r="AV53" s="77">
        <f>SUMPRODUCT(--(WEEKDAY(C$3:AF$3,2)&gt;5),--ISNUMBER(MATCH(C53:AF53,{"DM","CS1","CS2","SB1","AE","CS/B"},0)))</f>
        <v>0</v>
      </c>
      <c r="AW53" s="67"/>
      <c r="AX53" s="77"/>
      <c r="AY53" s="77"/>
      <c r="AZ53" s="77"/>
      <c r="BA53" s="76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67"/>
    </row>
    <row r="54" ht="19.5" customHeight="1" spans="1:68">
      <c r="A54" s="67"/>
      <c r="B54" s="60" t="s">
        <v>65</v>
      </c>
      <c r="C54" s="103" t="str">
        <f t="shared" ref="C54:AG54" si="71">INDEX($B$4:$B$46,MATCH($B54,C$4:C$46,0))</f>
        <v>LCP MUHAMMAD HAMZA ZUBERI</v>
      </c>
      <c r="D54" s="103" t="str">
        <f t="shared" si="71"/>
        <v>LCP RAGURAMAN ANIRUDH</v>
      </c>
      <c r="E54" s="103" t="str">
        <f t="shared" si="71"/>
        <v>PTE DANIEL ISKANDAR BIN SANUSI</v>
      </c>
      <c r="F54" s="103" t="str">
        <f t="shared" si="71"/>
        <v>LCP HUANG JIHUI</v>
      </c>
      <c r="G54" s="103" t="str">
        <f t="shared" si="71"/>
        <v>PTE OWEN LEE</v>
      </c>
      <c r="H54" s="103" t="str">
        <f t="shared" si="71"/>
        <v>PTE PATIL AMEYA MANOJ</v>
      </c>
      <c r="I54" s="103" t="str">
        <f t="shared" si="71"/>
        <v>LCP MUHAMMAD HAMZA ZUBERI</v>
      </c>
      <c r="J54" s="103" t="str">
        <f t="shared" si="71"/>
        <v>PTE PATIL AMEYA MANOJ</v>
      </c>
      <c r="K54" s="103" t="str">
        <f t="shared" si="71"/>
        <v>LCP RAGURAMAN ANIRUDH</v>
      </c>
      <c r="L54" s="103" t="str">
        <f t="shared" si="71"/>
        <v>PTE JEROME TEO (BCF)</v>
      </c>
      <c r="M54" s="103" t="str">
        <f t="shared" si="71"/>
        <v>PTE KERK NATHAN</v>
      </c>
      <c r="N54" s="103" t="str">
        <f t="shared" si="71"/>
        <v>LCP MUHAMMAD SHAUKI BIN MOHD SHAM</v>
      </c>
      <c r="O54" s="103" t="str">
        <f t="shared" si="71"/>
        <v>PTE DANIEL ISKANDAR BIN SANUSI</v>
      </c>
      <c r="P54" s="103" t="str">
        <f t="shared" si="71"/>
        <v>LCP AHMAD IMRAN (BCF)</v>
      </c>
      <c r="Q54" s="103" t="str">
        <f t="shared" si="71"/>
        <v>LCP MUHAMMAD SHAUKI BIN MOHD SHAM</v>
      </c>
      <c r="R54" s="103" t="str">
        <f t="shared" si="71"/>
        <v>LCP MUHAMMAD HAMZA ZUBERI</v>
      </c>
      <c r="S54" s="103" t="str">
        <f t="shared" si="71"/>
        <v>LCP SHLOK PUROHIT</v>
      </c>
      <c r="T54" s="103" t="str">
        <f t="shared" si="71"/>
        <v>LCP RAGURAMAN ANIRUDH</v>
      </c>
      <c r="U54" s="103" t="str">
        <f t="shared" si="71"/>
        <v>LCP MUHAMMAD SHAUKI BIN MOHD SHAM</v>
      </c>
      <c r="V54" s="103" t="str">
        <f t="shared" si="71"/>
        <v>LCP STEPHEN TAY </v>
      </c>
      <c r="W54" s="103" t="str">
        <f t="shared" si="71"/>
        <v>PTE JAR RUI (BCF)</v>
      </c>
      <c r="X54" s="103" t="str">
        <f t="shared" si="71"/>
        <v>LCP HUANG JIHUI</v>
      </c>
      <c r="Y54" s="103" t="str">
        <f t="shared" si="71"/>
        <v>LCP AHMAD IMRAN (BCF)</v>
      </c>
      <c r="Z54" s="103" t="str">
        <f t="shared" si="71"/>
        <v>LCP HUANG JIHUI</v>
      </c>
      <c r="AA54" s="103" t="str">
        <f t="shared" si="71"/>
        <v>PTE DANIEL ISKANDAR BIN SANUSI</v>
      </c>
      <c r="AB54" s="103" t="str">
        <f t="shared" si="71"/>
        <v>LCP STEPHEN TAY </v>
      </c>
      <c r="AC54" s="103" t="str">
        <f t="shared" si="71"/>
        <v>LCP LAU KAN SHEN (BCF)</v>
      </c>
      <c r="AD54" s="103" t="str">
        <f t="shared" si="71"/>
        <v>PTE JEROME TEO (BCF)</v>
      </c>
      <c r="AE54" s="103" t="str">
        <f t="shared" si="71"/>
        <v>LCP HUANG JIHUI</v>
      </c>
      <c r="AF54" s="103" t="str">
        <f t="shared" si="71"/>
        <v>PTE MENDEZ RALPH JUSTINE MACALINO</v>
      </c>
      <c r="AG54" s="103" t="str">
        <f t="shared" si="71"/>
        <v>LCP STEPHEN TAY </v>
      </c>
      <c r="AH54" s="67"/>
      <c r="AI54" s="67"/>
      <c r="AJ54" s="67"/>
      <c r="AK54" s="67"/>
      <c r="AL54" s="67"/>
      <c r="AM54" s="67"/>
      <c r="AN54" s="67"/>
      <c r="AO54" s="67"/>
      <c r="AP54" s="67"/>
      <c r="AQ54" s="76"/>
      <c r="AR54" s="76"/>
      <c r="AS54" s="77"/>
      <c r="AT54" s="67"/>
      <c r="AU54" s="77"/>
      <c r="AV54" s="77">
        <f>SUMPRODUCT(--(WEEKDAY(C$3:AF$3,2)&gt;5),--ISNUMBER(MATCH(C54:AF54,{"DM","CS1","CS2","SB1","AE","CS/B"},0)))</f>
        <v>0</v>
      </c>
      <c r="AW54" s="67"/>
      <c r="AX54" s="77"/>
      <c r="AY54" s="77"/>
      <c r="AZ54" s="77"/>
      <c r="BA54" s="76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67"/>
    </row>
    <row r="55" ht="19.5" customHeight="1" spans="1:68">
      <c r="A55" s="67"/>
      <c r="B55" s="104" t="s">
        <v>350</v>
      </c>
      <c r="C55" s="103" t="e">
        <f t="shared" ref="C55:AG55" si="72">INDEX($B$4:$B$46,MATCH($B55,C$4:C$46,0))</f>
        <v>#N/A</v>
      </c>
      <c r="D55" s="103" t="str">
        <f t="shared" si="72"/>
        <v>LCP MATTHEW HWANG YEW SENG</v>
      </c>
      <c r="E55" s="103" t="str">
        <f t="shared" si="72"/>
        <v>LCP MUHAMMAD HAMZA ZUBERI</v>
      </c>
      <c r="F55" s="103" t="str">
        <f t="shared" si="72"/>
        <v>CPL FANG JIANGRUI</v>
      </c>
      <c r="G55" s="103" t="str">
        <f t="shared" si="72"/>
        <v>LCP CHYE JING AN MAXIMUS</v>
      </c>
      <c r="H55" s="103" t="str">
        <f t="shared" si="72"/>
        <v>3SG SAMUEL TAN ENG WEE</v>
      </c>
      <c r="I55" s="103" t="str">
        <f t="shared" si="72"/>
        <v>CPL WONG JI FENG WILLARD</v>
      </c>
      <c r="J55" s="103" t="str">
        <f t="shared" si="72"/>
        <v>PTE DANIEL ISKANDAR BIN SANUSI</v>
      </c>
      <c r="K55" s="103" t="str">
        <f t="shared" si="72"/>
        <v>LCP MATTHEW HWANG YEW SENG</v>
      </c>
      <c r="L55" s="103" t="str">
        <f t="shared" si="72"/>
        <v>LCP EDWARD GAN BOON WEI </v>
      </c>
      <c r="M55" s="103" t="str">
        <f t="shared" si="72"/>
        <v>LCP EKLAYVA PINGALI</v>
      </c>
      <c r="N55" s="103" t="str">
        <f t="shared" si="72"/>
        <v>LCP MATTHEW HWANG YEW SENG</v>
      </c>
      <c r="O55" s="103" t="str">
        <f t="shared" si="72"/>
        <v>CPL WONG JI FENG WILLARD</v>
      </c>
      <c r="P55" s="103" t="str">
        <f t="shared" si="72"/>
        <v>CFC DERRICK CHIN</v>
      </c>
      <c r="Q55" s="103" t="str">
        <f t="shared" si="72"/>
        <v>LCP STEPHEN TAY </v>
      </c>
      <c r="R55" s="103" t="str">
        <f t="shared" si="72"/>
        <v>CPL HO SHENGHUI HAYDEN</v>
      </c>
      <c r="S55" s="103" t="str">
        <f t="shared" si="72"/>
        <v>PTE DANIEL ISKANDAR BIN SANUSI</v>
      </c>
      <c r="T55" s="103" t="str">
        <f t="shared" si="72"/>
        <v>CPL HYDER ISKANDAR BIN ZULKILFILY</v>
      </c>
      <c r="U55" s="103" t="str">
        <f t="shared" si="72"/>
        <v>LCP KOO YI XIAN RAPHAEL </v>
      </c>
      <c r="V55" s="103" t="str">
        <f t="shared" si="72"/>
        <v>LCP MATTHEW HWANG YEW SENG</v>
      </c>
      <c r="W55" s="103" t="str">
        <f t="shared" si="72"/>
        <v>LCP MUHAMMAD HAMZA ZUBERI</v>
      </c>
      <c r="X55" s="103" t="str">
        <f t="shared" si="72"/>
        <v>LCP SHLOK PUROHIT</v>
      </c>
      <c r="Y55" s="103" t="str">
        <f t="shared" si="72"/>
        <v>LCP STEPHEN TAY </v>
      </c>
      <c r="Z55" s="103" t="str">
        <f t="shared" si="72"/>
        <v>3SG SAMUEL TAN ENG WEE</v>
      </c>
      <c r="AA55" s="103" t="str">
        <f t="shared" si="72"/>
        <v>CPL ZHANG ZHONGHAO</v>
      </c>
      <c r="AB55" s="103" t="str">
        <f t="shared" si="72"/>
        <v>LCP MATTHEW HWANG YEW SENG</v>
      </c>
      <c r="AC55" s="103" t="str">
        <f t="shared" si="72"/>
        <v>3SG SAMUEL TAN ENG WEE</v>
      </c>
      <c r="AD55" s="103" t="str">
        <f t="shared" si="72"/>
        <v>PTE MENDEZ RALPH JUSTINE MACALINO</v>
      </c>
      <c r="AE55" s="103" t="str">
        <f t="shared" si="72"/>
        <v>LCP KOO YI XIAN RAPHAEL </v>
      </c>
      <c r="AF55" s="103" t="str">
        <f t="shared" si="72"/>
        <v>CPL HYDER ISKANDAR BIN ZULKILFILY</v>
      </c>
      <c r="AG55" s="103" t="str">
        <f t="shared" si="72"/>
        <v>LCP CHOA ZONGHAN ETIENNE</v>
      </c>
      <c r="AH55" s="67"/>
      <c r="AI55" s="67"/>
      <c r="AJ55" s="67"/>
      <c r="AK55" s="67"/>
      <c r="AL55" s="67"/>
      <c r="AM55" s="67"/>
      <c r="AN55" s="67"/>
      <c r="AO55" s="67"/>
      <c r="AP55" s="67"/>
      <c r="AQ55" s="76"/>
      <c r="AR55" s="76"/>
      <c r="AS55" s="77"/>
      <c r="AT55" s="67"/>
      <c r="AU55" s="77"/>
      <c r="AV55" s="77">
        <f>SUMPRODUCT(--(WEEKDAY(C$3:AF$3,2)&gt;5),--ISNUMBER(MATCH(C55:AF55,{"DM","CS1","CS2","SB1","AE","CS/B"},0)))</f>
        <v>0</v>
      </c>
      <c r="AW55" s="67"/>
      <c r="AX55" s="77"/>
      <c r="AY55" s="77"/>
      <c r="AZ55" s="77"/>
      <c r="BA55" s="76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67"/>
    </row>
    <row r="56" ht="19.5" customHeight="1" spans="1:68">
      <c r="A56" s="67"/>
      <c r="B56" s="105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5">
        <f t="shared" ref="AH56:AP56" si="73">COUNTIF($C56:$AF56,AH$4)</f>
        <v>0</v>
      </c>
      <c r="AI56" s="105">
        <f t="shared" si="73"/>
        <v>0</v>
      </c>
      <c r="AJ56" s="105">
        <f t="shared" si="73"/>
        <v>0</v>
      </c>
      <c r="AK56" s="105">
        <f t="shared" si="73"/>
        <v>0</v>
      </c>
      <c r="AL56" s="105">
        <f t="shared" si="73"/>
        <v>0</v>
      </c>
      <c r="AM56" s="105">
        <f t="shared" si="73"/>
        <v>0</v>
      </c>
      <c r="AN56" s="105">
        <f t="shared" si="73"/>
        <v>0</v>
      </c>
      <c r="AO56" s="105">
        <f t="shared" si="73"/>
        <v>0</v>
      </c>
      <c r="AP56" s="105">
        <f t="shared" si="73"/>
        <v>0</v>
      </c>
      <c r="AQ56" s="105">
        <v>1</v>
      </c>
      <c r="AR56" s="105"/>
      <c r="AS56" s="105">
        <f t="array" ref="AS56">SUMPRODUCT(--(WEEKDAY(C$3:AF$3,2)&lt;5),--ISNUMBER(MATCH(C56:AF56,{"DM","CS1","CS2","SB1","AE","CS/B"},0)))</f>
        <v>0</v>
      </c>
      <c r="AT56" s="105"/>
      <c r="AU56" s="105">
        <f t="array" ref="AU56">SUMPRODUCT(--(WEEKDAY(C$3:AF$3,2)=5),--ISNUMBER(MATCH(C56:AF56,{"DM","CS1","CS2","SB1","AE","CS/B"},0)))</f>
        <v>0</v>
      </c>
      <c r="AV56" s="77">
        <f>SUMPRODUCT(--(WEEKDAY(C$3:AF$3,2)&gt;5),--ISNUMBER(MATCH(C56:AF56,{"DM","CS1","CS2","SB1","AE","CS/B"},0)))</f>
        <v>0</v>
      </c>
      <c r="AW56" s="105"/>
      <c r="AX56" s="105">
        <f>(AS56-AT56)+AU56*1.5+(AV56-AW56)*2+AM56*0.5+AO56*0.5+AQ56-AR56</f>
        <v>1</v>
      </c>
      <c r="AY56" s="105">
        <f t="shared" ref="AY56:AY76" si="74">AS56+AU56+AV56</f>
        <v>0</v>
      </c>
      <c r="AZ56" s="105">
        <f t="shared" ref="AZ56:AZ76" si="75">BC56+BE56+BG56+BI56+BK56</f>
        <v>0</v>
      </c>
      <c r="BA56" s="105">
        <f t="shared" ref="BA56:BA76" si="76">AX56+BB56</f>
        <v>1</v>
      </c>
      <c r="BB56" s="105">
        <f t="shared" ref="BB56:BB76" si="77">BD56+BF56+BH56+BJ56+BL56</f>
        <v>0</v>
      </c>
      <c r="BC56" s="105">
        <f t="shared" ref="BC56:BC76" si="78">COUNTIF(A56:AH56,"*$BTP*")</f>
        <v>0</v>
      </c>
      <c r="BD56" s="105">
        <f t="shared" ref="BD56:BD76" si="79">BC56*1.5</f>
        <v>0</v>
      </c>
      <c r="BE56" s="105">
        <f t="shared" ref="BE56:BE76" si="80">COUNTIF(A56:AH56,"*$M*")</f>
        <v>0</v>
      </c>
      <c r="BF56" s="105">
        <f t="shared" ref="BF56:BF76" si="81">BE56*1</f>
        <v>0</v>
      </c>
      <c r="BG56" s="105">
        <f t="shared" ref="BG56:BG76" si="82">COUNTIF(A56:AH56,"*$PM*")</f>
        <v>0</v>
      </c>
      <c r="BH56" s="105">
        <f t="shared" ref="BH56:BH76" si="83">BG56*0.5</f>
        <v>0</v>
      </c>
      <c r="BI56" s="105">
        <f t="shared" ref="BI56:BI76" si="84">COUNTIF(A56:AH56,"*$AM*")</f>
        <v>0</v>
      </c>
      <c r="BJ56" s="105">
        <f t="shared" ref="BJ56:BJ76" si="85">BI56*0.5</f>
        <v>0</v>
      </c>
      <c r="BK56" s="105">
        <f t="shared" ref="BK56:BK76" si="86">COUNTIF(A56:AH56,"*$FC*")</f>
        <v>0</v>
      </c>
      <c r="BL56" s="105">
        <f t="shared" ref="BL56:BL76" si="87">BK56*1</f>
        <v>0</v>
      </c>
      <c r="BM56" s="105">
        <f>COUNTIF($D56:$Y56,BM$4)</f>
        <v>0</v>
      </c>
      <c r="BN56" s="105">
        <f>COUNTIF($D56:$Y56,BN$4)</f>
        <v>0</v>
      </c>
      <c r="BO56" s="105"/>
      <c r="BP56" s="105"/>
    </row>
    <row r="57" ht="19.5" customHeight="1" spans="1:68">
      <c r="A57" s="67"/>
      <c r="B57" s="76" t="s">
        <v>814</v>
      </c>
      <c r="C57" s="53"/>
      <c r="D57" s="106"/>
      <c r="E57" s="106"/>
      <c r="F57" s="60"/>
      <c r="G57" s="60"/>
      <c r="H57" s="60"/>
      <c r="I57" s="60"/>
      <c r="J57" s="60"/>
      <c r="K57" s="53"/>
      <c r="L57" s="60"/>
      <c r="M57" s="53"/>
      <c r="N57" s="60"/>
      <c r="O57" s="60"/>
      <c r="P57" s="60"/>
      <c r="Q57" s="53"/>
      <c r="R57" s="53"/>
      <c r="S57" s="60"/>
      <c r="T57" s="53"/>
      <c r="U57" s="60"/>
      <c r="V57" s="60"/>
      <c r="W57" s="60"/>
      <c r="X57" s="60"/>
      <c r="Y57" s="60"/>
      <c r="Z57" s="60"/>
      <c r="AA57" s="53"/>
      <c r="AB57" s="60"/>
      <c r="AC57" s="60"/>
      <c r="AD57" s="107"/>
      <c r="AE57" s="60"/>
      <c r="AF57" s="60"/>
      <c r="AG57" s="60"/>
      <c r="AH57" s="67">
        <f t="shared" ref="AH57:AP57" si="88">COUNTIF($C57:$AF57,AH$4)</f>
        <v>0</v>
      </c>
      <c r="AI57" s="67">
        <f t="shared" si="88"/>
        <v>0</v>
      </c>
      <c r="AJ57" s="67">
        <f t="shared" si="88"/>
        <v>0</v>
      </c>
      <c r="AK57" s="67">
        <f t="shared" si="88"/>
        <v>0</v>
      </c>
      <c r="AL57" s="67">
        <f t="shared" si="88"/>
        <v>0</v>
      </c>
      <c r="AM57" s="67">
        <f t="shared" si="88"/>
        <v>0</v>
      </c>
      <c r="AN57" s="67">
        <f t="shared" si="88"/>
        <v>0</v>
      </c>
      <c r="AO57" s="67">
        <f t="shared" si="88"/>
        <v>0</v>
      </c>
      <c r="AP57" s="67">
        <f t="shared" si="88"/>
        <v>0</v>
      </c>
      <c r="AQ57" s="76"/>
      <c r="AR57" s="76"/>
      <c r="AS57" s="77">
        <f>SUMPRODUCT(--(WEEKDAY(C$3:AG$3,2)&lt;5),--ISNUMBER(MATCH(C57:AG57,{"SB1","SB2"},0)))</f>
        <v>0</v>
      </c>
      <c r="AT57" s="67"/>
      <c r="AU57" s="77">
        <f>SUMPRODUCT(--(WEEKDAY(C$3:AG$3,2)=5),--ISNUMBER(MATCH(C57:AG57,{"SB1","SB2"},0)))</f>
        <v>0</v>
      </c>
      <c r="AV57" s="77">
        <f>SUMPRODUCT(--(WEEKDAY(C$3:AG$3,2)&gt;5),--ISNUMBER(MATCH(C57:AG57,{"SB1","SB2"},0)))</f>
        <v>0</v>
      </c>
      <c r="AW57" s="67"/>
      <c r="AX57" s="77">
        <f t="shared" ref="AX57:AX76" si="89">(AS57-AT57)+AU57*1.5+(AV57-AW57)*2+(AO57+AH57+AI57+AJ57+AK57+AN57)*0.5+AQ57-AR57</f>
        <v>0</v>
      </c>
      <c r="AY57" s="77">
        <f t="shared" si="74"/>
        <v>0</v>
      </c>
      <c r="AZ57" s="77">
        <f t="shared" si="75"/>
        <v>0</v>
      </c>
      <c r="BA57" s="76">
        <f t="shared" si="76"/>
        <v>0</v>
      </c>
      <c r="BB57" s="77">
        <f t="shared" si="77"/>
        <v>0</v>
      </c>
      <c r="BC57" s="77">
        <f t="shared" si="78"/>
        <v>0</v>
      </c>
      <c r="BD57" s="77">
        <f t="shared" si="79"/>
        <v>0</v>
      </c>
      <c r="BE57" s="77">
        <f t="shared" si="80"/>
        <v>0</v>
      </c>
      <c r="BF57" s="77">
        <f t="shared" si="81"/>
        <v>0</v>
      </c>
      <c r="BG57" s="77">
        <f t="shared" si="82"/>
        <v>0</v>
      </c>
      <c r="BH57" s="77">
        <f t="shared" si="83"/>
        <v>0</v>
      </c>
      <c r="BI57" s="77">
        <f t="shared" si="84"/>
        <v>0</v>
      </c>
      <c r="BJ57" s="77">
        <f t="shared" si="85"/>
        <v>0</v>
      </c>
      <c r="BK57" s="77">
        <f t="shared" si="86"/>
        <v>0</v>
      </c>
      <c r="BL57" s="77">
        <f t="shared" si="87"/>
        <v>0</v>
      </c>
      <c r="BM57" s="77">
        <f>COUNTIF($E57:$AG57,BM$4)</f>
        <v>0</v>
      </c>
      <c r="BN57" s="77">
        <f>COUNTIF($E57:$AG57,BN$4)</f>
        <v>0</v>
      </c>
      <c r="BO57" s="77">
        <f>COUNTIF($E57:$Y57,BO$4)</f>
        <v>0</v>
      </c>
      <c r="BP57" s="67"/>
    </row>
    <row r="58" ht="19.5" customHeight="1" spans="1:68">
      <c r="A58" s="67" t="s">
        <v>487</v>
      </c>
      <c r="B58" s="76" t="s">
        <v>895</v>
      </c>
      <c r="C58" s="60"/>
      <c r="D58" s="53"/>
      <c r="E58" s="60"/>
      <c r="F58" s="107"/>
      <c r="G58" s="107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108"/>
      <c r="T58" s="60"/>
      <c r="V58" s="60"/>
      <c r="W58" s="53"/>
      <c r="X58" s="60"/>
      <c r="Y58" s="60"/>
      <c r="Z58" s="60"/>
      <c r="AA58" s="53"/>
      <c r="AB58" s="60"/>
      <c r="AC58" s="60"/>
      <c r="AD58" s="106"/>
      <c r="AE58" s="4"/>
      <c r="AF58" s="60"/>
      <c r="AG58" s="60"/>
      <c r="AH58" s="67">
        <f t="shared" ref="AH58:AP58" si="90">COUNTIF($C58:$AF58,AH$4)</f>
        <v>0</v>
      </c>
      <c r="AI58" s="67">
        <f t="shared" si="90"/>
        <v>0</v>
      </c>
      <c r="AJ58" s="67">
        <f t="shared" si="90"/>
        <v>0</v>
      </c>
      <c r="AK58" s="67">
        <f t="shared" si="90"/>
        <v>0</v>
      </c>
      <c r="AL58" s="67">
        <f t="shared" si="90"/>
        <v>0</v>
      </c>
      <c r="AM58" s="67">
        <f t="shared" si="90"/>
        <v>0</v>
      </c>
      <c r="AN58" s="67">
        <f t="shared" si="90"/>
        <v>0</v>
      </c>
      <c r="AO58" s="67">
        <f t="shared" si="90"/>
        <v>0</v>
      </c>
      <c r="AP58" s="67">
        <f t="shared" si="90"/>
        <v>0</v>
      </c>
      <c r="AQ58" s="76"/>
      <c r="AR58" s="76"/>
      <c r="AS58" s="77">
        <f>SUMPRODUCT(--(WEEKDAY(C$3:AG$3,2)&lt;5),--ISNUMBER(MATCH(C58:AG58,{"SB1","SB2"},0)))</f>
        <v>0</v>
      </c>
      <c r="AT58" s="67"/>
      <c r="AU58" s="77">
        <f>SUMPRODUCT(--(WEEKDAY(C$3:AG$3,2)=5),--ISNUMBER(MATCH(C58:AG58,{"SB1","SB2"},0)))</f>
        <v>0</v>
      </c>
      <c r="AV58" s="77">
        <f>SUMPRODUCT(--(WEEKDAY(C$3:AG$3,2)&gt;5),--ISNUMBER(MATCH(C58:AG58,{"SB1","SB2"},0)))</f>
        <v>0</v>
      </c>
      <c r="AW58" s="67"/>
      <c r="AX58" s="77">
        <f t="shared" si="89"/>
        <v>0</v>
      </c>
      <c r="AY58" s="77">
        <f t="shared" si="74"/>
        <v>0</v>
      </c>
      <c r="AZ58" s="77">
        <f t="shared" si="75"/>
        <v>0</v>
      </c>
      <c r="BA58" s="76">
        <f t="shared" si="76"/>
        <v>0</v>
      </c>
      <c r="BB58" s="77">
        <f t="shared" si="77"/>
        <v>0</v>
      </c>
      <c r="BC58" s="77">
        <f t="shared" si="78"/>
        <v>0</v>
      </c>
      <c r="BD58" s="77">
        <f t="shared" si="79"/>
        <v>0</v>
      </c>
      <c r="BE58" s="77">
        <f t="shared" si="80"/>
        <v>0</v>
      </c>
      <c r="BF58" s="77">
        <f t="shared" si="81"/>
        <v>0</v>
      </c>
      <c r="BG58" s="77">
        <f t="shared" si="82"/>
        <v>0</v>
      </c>
      <c r="BH58" s="77">
        <f t="shared" si="83"/>
        <v>0</v>
      </c>
      <c r="BI58" s="77">
        <f t="shared" si="84"/>
        <v>0</v>
      </c>
      <c r="BJ58" s="77">
        <f t="shared" si="85"/>
        <v>0</v>
      </c>
      <c r="BK58" s="77">
        <f t="shared" si="86"/>
        <v>0</v>
      </c>
      <c r="BL58" s="77">
        <f t="shared" si="87"/>
        <v>0</v>
      </c>
      <c r="BM58" s="77">
        <f>COUNTIF($E58:$AG58,BM$4)</f>
        <v>0</v>
      </c>
      <c r="BN58" s="77">
        <f>COUNTIF($E58:$AG58,BN$4)</f>
        <v>0</v>
      </c>
      <c r="BO58" s="77">
        <f>COUNTIF($D58:$Y58,BO$4)</f>
        <v>0</v>
      </c>
      <c r="BP58" s="67"/>
    </row>
    <row r="59" ht="19.5" customHeight="1" spans="1:68">
      <c r="A59" s="67"/>
      <c r="B59" s="76" t="s">
        <v>820</v>
      </c>
      <c r="C59" s="60"/>
      <c r="D59" s="60"/>
      <c r="E59" s="60"/>
      <c r="F59" s="60"/>
      <c r="G59" s="53"/>
      <c r="H59" s="60"/>
      <c r="I59" s="60"/>
      <c r="J59" s="107"/>
      <c r="L59" s="60"/>
      <c r="M59" s="60"/>
      <c r="N59" s="60"/>
      <c r="O59" s="60"/>
      <c r="P59" s="60"/>
      <c r="Q59" s="60"/>
      <c r="S59" s="107"/>
      <c r="T59" s="54"/>
      <c r="U59" s="60"/>
      <c r="W59" s="60"/>
      <c r="X59" s="60"/>
      <c r="Y59" s="108"/>
      <c r="Z59" s="60"/>
      <c r="AA59" s="60"/>
      <c r="AB59" s="60"/>
      <c r="AC59" s="107"/>
      <c r="AD59" s="60"/>
      <c r="AE59" s="106"/>
      <c r="AF59" s="60"/>
      <c r="AG59" s="60"/>
      <c r="AH59" s="67">
        <f t="shared" ref="AH59:AP59" si="91">COUNTIF($C59:$AF59,AH$4)</f>
        <v>0</v>
      </c>
      <c r="AI59" s="67">
        <f t="shared" si="91"/>
        <v>0</v>
      </c>
      <c r="AJ59" s="67">
        <f t="shared" si="91"/>
        <v>0</v>
      </c>
      <c r="AK59" s="67">
        <f t="shared" si="91"/>
        <v>0</v>
      </c>
      <c r="AL59" s="67">
        <f t="shared" si="91"/>
        <v>0</v>
      </c>
      <c r="AM59" s="67">
        <f t="shared" si="91"/>
        <v>0</v>
      </c>
      <c r="AN59" s="67">
        <f t="shared" si="91"/>
        <v>0</v>
      </c>
      <c r="AO59" s="67">
        <f t="shared" si="91"/>
        <v>0</v>
      </c>
      <c r="AP59" s="67">
        <f t="shared" si="91"/>
        <v>0</v>
      </c>
      <c r="AQ59" s="76"/>
      <c r="AR59" s="76"/>
      <c r="AS59" s="77">
        <f>SUMPRODUCT(--(WEEKDAY(C$3:AG$3,2)&lt;5),--ISNUMBER(MATCH(C59:AG59,{"SB1","SB2"},0)))</f>
        <v>0</v>
      </c>
      <c r="AT59" s="67"/>
      <c r="AU59" s="77">
        <f>SUMPRODUCT(--(WEEKDAY(C$3:AG$3,2)=5),--ISNUMBER(MATCH(C59:AG59,{"SB1","SB2"},0)))</f>
        <v>0</v>
      </c>
      <c r="AV59" s="77">
        <f>SUMPRODUCT(--(WEEKDAY(C$3:AG$3,2)&gt;5),--ISNUMBER(MATCH(C59:AG59,{"SB1","SB2"},0)))</f>
        <v>0</v>
      </c>
      <c r="AW59" s="67"/>
      <c r="AX59" s="77">
        <f t="shared" si="89"/>
        <v>0</v>
      </c>
      <c r="AY59" s="77">
        <f t="shared" si="74"/>
        <v>0</v>
      </c>
      <c r="AZ59" s="77">
        <f t="shared" si="75"/>
        <v>0</v>
      </c>
      <c r="BA59" s="76">
        <f t="shared" si="76"/>
        <v>0</v>
      </c>
      <c r="BB59" s="77">
        <f t="shared" si="77"/>
        <v>0</v>
      </c>
      <c r="BC59" s="77">
        <f t="shared" si="78"/>
        <v>0</v>
      </c>
      <c r="BD59" s="77">
        <f t="shared" si="79"/>
        <v>0</v>
      </c>
      <c r="BE59" s="77">
        <f t="shared" si="80"/>
        <v>0</v>
      </c>
      <c r="BF59" s="77">
        <f t="shared" si="81"/>
        <v>0</v>
      </c>
      <c r="BG59" s="77">
        <f t="shared" si="82"/>
        <v>0</v>
      </c>
      <c r="BH59" s="77">
        <f t="shared" si="83"/>
        <v>0</v>
      </c>
      <c r="BI59" s="77">
        <f t="shared" si="84"/>
        <v>0</v>
      </c>
      <c r="BJ59" s="77">
        <f t="shared" si="85"/>
        <v>0</v>
      </c>
      <c r="BK59" s="77">
        <f t="shared" si="86"/>
        <v>0</v>
      </c>
      <c r="BL59" s="77">
        <f t="shared" si="87"/>
        <v>0</v>
      </c>
      <c r="BM59" s="77">
        <f>COUNTIF($E59:$AG59,BM$4)</f>
        <v>0</v>
      </c>
      <c r="BN59" s="77">
        <f>COUNTIF($E59:$AG59,BN$4)</f>
        <v>0</v>
      </c>
      <c r="BO59" s="77">
        <f>COUNTIF($D59:$Y59,BO$4)</f>
        <v>0</v>
      </c>
      <c r="BP59" s="67"/>
    </row>
    <row r="60" ht="19.5" customHeight="1" spans="1:68">
      <c r="A60" s="67"/>
      <c r="B60" s="76" t="s">
        <v>821</v>
      </c>
      <c r="C60" s="60"/>
      <c r="D60" s="60"/>
      <c r="E60" s="54"/>
      <c r="F60" s="60"/>
      <c r="G60" s="60"/>
      <c r="H60" s="60"/>
      <c r="I60" s="60"/>
      <c r="J60" s="107"/>
      <c r="K60" s="60"/>
      <c r="L60" s="60"/>
      <c r="M60" s="60"/>
      <c r="N60" s="60"/>
      <c r="O60" s="60"/>
      <c r="P60" s="60"/>
      <c r="Q60" s="60"/>
      <c r="R60" s="53"/>
      <c r="S60" s="60"/>
      <c r="T60" s="60"/>
      <c r="U60" s="60"/>
      <c r="W60" s="107"/>
      <c r="X60" s="107"/>
      <c r="Y60" s="108"/>
      <c r="Z60" s="60"/>
      <c r="AA60" s="108"/>
      <c r="AB60" s="108"/>
      <c r="AC60" s="108"/>
      <c r="AD60" s="108"/>
      <c r="AE60" s="60"/>
      <c r="AF60" s="60"/>
      <c r="AG60" s="60"/>
      <c r="AH60" s="67">
        <f t="shared" ref="AH60:AP60" si="92">COUNTIF($C60:$AF60,AH$4)</f>
        <v>0</v>
      </c>
      <c r="AI60" s="67">
        <f t="shared" si="92"/>
        <v>0</v>
      </c>
      <c r="AJ60" s="67">
        <f t="shared" si="92"/>
        <v>0</v>
      </c>
      <c r="AK60" s="67">
        <f t="shared" si="92"/>
        <v>0</v>
      </c>
      <c r="AL60" s="67">
        <f t="shared" si="92"/>
        <v>0</v>
      </c>
      <c r="AM60" s="67">
        <f t="shared" si="92"/>
        <v>0</v>
      </c>
      <c r="AN60" s="67">
        <f t="shared" si="92"/>
        <v>0</v>
      </c>
      <c r="AO60" s="67">
        <f t="shared" si="92"/>
        <v>0</v>
      </c>
      <c r="AP60" s="67">
        <f t="shared" si="92"/>
        <v>0</v>
      </c>
      <c r="AQ60" s="76">
        <v>0.5</v>
      </c>
      <c r="AR60" s="76"/>
      <c r="AS60" s="77">
        <f>SUMPRODUCT(--(WEEKDAY(C$3:AG$3,2)&lt;5),--ISNUMBER(MATCH(C60:AG60,{"SB1","SB2"},0)))</f>
        <v>0</v>
      </c>
      <c r="AT60" s="67"/>
      <c r="AU60" s="77">
        <f>SUMPRODUCT(--(WEEKDAY(C$3:AG$3,2)=5),--ISNUMBER(MATCH(C60:AG60,{"SB1","SB2"},0)))</f>
        <v>0</v>
      </c>
      <c r="AV60" s="77">
        <f>SUMPRODUCT(--(WEEKDAY(C$3:AG$3,2)&gt;5),--ISNUMBER(MATCH(C60:AG60,{"SB1","SB2"},0)))</f>
        <v>0</v>
      </c>
      <c r="AW60" s="67"/>
      <c r="AX60" s="77">
        <f t="shared" si="89"/>
        <v>0.5</v>
      </c>
      <c r="AY60" s="77">
        <f t="shared" si="74"/>
        <v>0</v>
      </c>
      <c r="AZ60" s="77">
        <f t="shared" si="75"/>
        <v>0</v>
      </c>
      <c r="BA60" s="76">
        <f t="shared" si="76"/>
        <v>0.5</v>
      </c>
      <c r="BB60" s="77">
        <f t="shared" si="77"/>
        <v>0</v>
      </c>
      <c r="BC60" s="77">
        <f t="shared" si="78"/>
        <v>0</v>
      </c>
      <c r="BD60" s="77">
        <f t="shared" si="79"/>
        <v>0</v>
      </c>
      <c r="BE60" s="77">
        <f t="shared" si="80"/>
        <v>0</v>
      </c>
      <c r="BF60" s="77">
        <f t="shared" si="81"/>
        <v>0</v>
      </c>
      <c r="BG60" s="77">
        <f t="shared" si="82"/>
        <v>0</v>
      </c>
      <c r="BH60" s="77">
        <f t="shared" si="83"/>
        <v>0</v>
      </c>
      <c r="BI60" s="77">
        <f t="shared" si="84"/>
        <v>0</v>
      </c>
      <c r="BJ60" s="77">
        <f t="shared" si="85"/>
        <v>0</v>
      </c>
      <c r="BK60" s="77">
        <f t="shared" si="86"/>
        <v>0</v>
      </c>
      <c r="BL60" s="77">
        <f t="shared" si="87"/>
        <v>0</v>
      </c>
      <c r="BM60" s="77">
        <f>COUNTIF($E60:$AG60,BM$4)</f>
        <v>0</v>
      </c>
      <c r="BN60" s="77">
        <f>COUNTIF($E60:$AG60,BN$4)</f>
        <v>0</v>
      </c>
      <c r="BO60" s="77">
        <f>COUNTIF($D60:$Y60,BO$4)</f>
        <v>0</v>
      </c>
      <c r="BP60" s="67"/>
    </row>
    <row r="61" ht="24.75" customHeight="1" spans="1:68">
      <c r="A61" s="67"/>
      <c r="B61" s="76" t="s">
        <v>933</v>
      </c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54"/>
      <c r="AA61" s="60"/>
      <c r="AB61" s="60"/>
      <c r="AC61" s="60"/>
      <c r="AD61" s="60"/>
      <c r="AE61" s="60"/>
      <c r="AF61" s="60"/>
      <c r="AG61" s="54"/>
      <c r="AH61" s="67">
        <f t="shared" ref="AH61:AP61" si="93">COUNTIF($C61:$AF61,AH$4)</f>
        <v>0</v>
      </c>
      <c r="AI61" s="67">
        <f t="shared" si="93"/>
        <v>0</v>
      </c>
      <c r="AJ61" s="67">
        <f t="shared" si="93"/>
        <v>0</v>
      </c>
      <c r="AK61" s="67">
        <f t="shared" si="93"/>
        <v>0</v>
      </c>
      <c r="AL61" s="67">
        <f t="shared" si="93"/>
        <v>0</v>
      </c>
      <c r="AM61" s="67">
        <f t="shared" si="93"/>
        <v>0</v>
      </c>
      <c r="AN61" s="67">
        <f t="shared" si="93"/>
        <v>0</v>
      </c>
      <c r="AO61" s="67">
        <f t="shared" si="93"/>
        <v>0</v>
      </c>
      <c r="AP61" s="67">
        <f t="shared" si="93"/>
        <v>0</v>
      </c>
      <c r="AQ61" s="76"/>
      <c r="AR61" s="76"/>
      <c r="AS61" s="77">
        <f>SUMPRODUCT(--(WEEKDAY(C$3:AG$3,2)&lt;5),--ISNUMBER(MATCH(C61:AG61,{"SB1","SB2"},0)))</f>
        <v>0</v>
      </c>
      <c r="AT61" s="67"/>
      <c r="AU61" s="77">
        <f>SUMPRODUCT(--(WEEKDAY(C$3:AG$3,2)=5),--ISNUMBER(MATCH(C61:AG61,{"SB1","SB2"},0)))</f>
        <v>0</v>
      </c>
      <c r="AV61" s="77">
        <f>SUMPRODUCT(--(WEEKDAY(C$3:AG$3,2)&gt;5),--ISNUMBER(MATCH(C61:AG61,{"SB1","SB2"},0)))</f>
        <v>0</v>
      </c>
      <c r="AW61" s="67"/>
      <c r="AX61" s="77">
        <f t="shared" si="89"/>
        <v>0</v>
      </c>
      <c r="AY61" s="77">
        <f t="shared" si="74"/>
        <v>0</v>
      </c>
      <c r="AZ61" s="77">
        <f t="shared" si="75"/>
        <v>0</v>
      </c>
      <c r="BA61" s="76">
        <f t="shared" si="76"/>
        <v>0</v>
      </c>
      <c r="BB61" s="77">
        <f t="shared" si="77"/>
        <v>0</v>
      </c>
      <c r="BC61" s="77">
        <f t="shared" si="78"/>
        <v>0</v>
      </c>
      <c r="BD61" s="77">
        <f t="shared" si="79"/>
        <v>0</v>
      </c>
      <c r="BE61" s="77">
        <f t="shared" si="80"/>
        <v>0</v>
      </c>
      <c r="BF61" s="77">
        <f t="shared" si="81"/>
        <v>0</v>
      </c>
      <c r="BG61" s="77">
        <f t="shared" si="82"/>
        <v>0</v>
      </c>
      <c r="BH61" s="77">
        <f t="shared" si="83"/>
        <v>0</v>
      </c>
      <c r="BI61" s="77">
        <f t="shared" si="84"/>
        <v>0</v>
      </c>
      <c r="BJ61" s="77">
        <f t="shared" si="85"/>
        <v>0</v>
      </c>
      <c r="BK61" s="77">
        <f t="shared" si="86"/>
        <v>0</v>
      </c>
      <c r="BL61" s="77">
        <f t="shared" si="87"/>
        <v>0</v>
      </c>
      <c r="BM61" s="77">
        <f>COUNTIF($D61:$AA61,BM$4)</f>
        <v>0</v>
      </c>
      <c r="BN61" s="77">
        <f>COUNTIF($D61:$AA61,BN$4)</f>
        <v>0</v>
      </c>
      <c r="BO61" s="77">
        <f>COUNTIF($D61:$AA61,BO$4)</f>
        <v>0</v>
      </c>
      <c r="BP61" s="77"/>
    </row>
    <row r="62" ht="24.75" customHeight="1" spans="1:68">
      <c r="A62" s="67"/>
      <c r="B62" s="76" t="s">
        <v>935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53"/>
      <c r="T62" s="60"/>
      <c r="U62" s="60"/>
      <c r="V62" s="60"/>
      <c r="W62" s="60"/>
      <c r="X62" s="60"/>
      <c r="Y62" s="60"/>
      <c r="Z62" s="60"/>
      <c r="AA62" s="107"/>
      <c r="AB62" s="60"/>
      <c r="AC62" s="60"/>
      <c r="AD62" s="60"/>
      <c r="AE62" s="60"/>
      <c r="AF62" s="108"/>
      <c r="AG62" s="108"/>
      <c r="AH62" s="67">
        <f t="shared" ref="AH62:AP62" si="94">COUNTIF($C62:$AE62,AH$4)</f>
        <v>0</v>
      </c>
      <c r="AI62" s="67">
        <f t="shared" si="94"/>
        <v>0</v>
      </c>
      <c r="AJ62" s="67">
        <f t="shared" si="94"/>
        <v>0</v>
      </c>
      <c r="AK62" s="67">
        <f t="shared" si="94"/>
        <v>0</v>
      </c>
      <c r="AL62" s="67">
        <f t="shared" si="94"/>
        <v>0</v>
      </c>
      <c r="AM62" s="67">
        <f t="shared" si="94"/>
        <v>0</v>
      </c>
      <c r="AN62" s="67">
        <f t="shared" si="94"/>
        <v>0</v>
      </c>
      <c r="AO62" s="67">
        <f t="shared" si="94"/>
        <v>0</v>
      </c>
      <c r="AP62" s="67">
        <f t="shared" si="94"/>
        <v>0</v>
      </c>
      <c r="AQ62" s="76"/>
      <c r="AR62" s="76"/>
      <c r="AS62" s="77">
        <f>SUMPRODUCT(--(WEEKDAY(C$3:AG$3,2)&lt;5),--ISNUMBER(MATCH(C62:AG62,{"SB1","SB2"},0)))</f>
        <v>0</v>
      </c>
      <c r="AT62" s="67"/>
      <c r="AU62" s="77">
        <f>SUMPRODUCT(--(WEEKDAY(C$3:AG$3,2)=5),--ISNUMBER(MATCH(C62:AG62,{"SB1","SB2"},0)))</f>
        <v>0</v>
      </c>
      <c r="AV62" s="77">
        <f>SUMPRODUCT(--(WEEKDAY(C$3:AG$3,2)&gt;5),--ISNUMBER(MATCH(C62:AG62,{"SB1","SB2"},0)))</f>
        <v>0</v>
      </c>
      <c r="AW62" s="67"/>
      <c r="AX62" s="77">
        <f t="shared" si="89"/>
        <v>0</v>
      </c>
      <c r="AY62" s="77">
        <f t="shared" si="74"/>
        <v>0</v>
      </c>
      <c r="AZ62" s="77">
        <f t="shared" si="75"/>
        <v>0</v>
      </c>
      <c r="BA62" s="76">
        <f t="shared" si="76"/>
        <v>0</v>
      </c>
      <c r="BB62" s="77">
        <f t="shared" si="77"/>
        <v>0</v>
      </c>
      <c r="BC62" s="77">
        <f t="shared" si="78"/>
        <v>0</v>
      </c>
      <c r="BD62" s="77">
        <f t="shared" si="79"/>
        <v>0</v>
      </c>
      <c r="BE62" s="77">
        <f t="shared" si="80"/>
        <v>0</v>
      </c>
      <c r="BF62" s="77">
        <f t="shared" si="81"/>
        <v>0</v>
      </c>
      <c r="BG62" s="77">
        <f t="shared" si="82"/>
        <v>0</v>
      </c>
      <c r="BH62" s="77">
        <f t="shared" si="83"/>
        <v>0</v>
      </c>
      <c r="BI62" s="77">
        <f t="shared" si="84"/>
        <v>0</v>
      </c>
      <c r="BJ62" s="77">
        <f t="shared" si="85"/>
        <v>0</v>
      </c>
      <c r="BK62" s="77">
        <f t="shared" si="86"/>
        <v>0</v>
      </c>
      <c r="BL62" s="77">
        <f t="shared" si="87"/>
        <v>0</v>
      </c>
      <c r="BM62" s="77">
        <f>COUNTIF($D62:$AA62,BM$4)</f>
        <v>0</v>
      </c>
      <c r="BN62" s="77">
        <f>COUNTIF($D62:$AA62,BN$4)</f>
        <v>0</v>
      </c>
      <c r="BO62" s="77">
        <f>COUNTIF($D62:$AA62,BO$4)</f>
        <v>0</v>
      </c>
      <c r="BP62" s="77"/>
    </row>
    <row r="63" ht="19.5" customHeight="1" spans="1:68">
      <c r="A63" s="67"/>
      <c r="B63" s="67" t="s">
        <v>825</v>
      </c>
      <c r="C63" s="108"/>
      <c r="D63" s="109"/>
      <c r="E63" s="109"/>
      <c r="F63" s="109"/>
      <c r="G63" s="109"/>
      <c r="H63" s="109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9"/>
      <c r="T63" s="54"/>
      <c r="U63" s="11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7">
        <f t="shared" ref="AH63:AP63" si="95">COUNTIF($C63:$AF63,AH$4)</f>
        <v>0</v>
      </c>
      <c r="AI63" s="67">
        <f t="shared" si="95"/>
        <v>0</v>
      </c>
      <c r="AJ63" s="67">
        <f t="shared" si="95"/>
        <v>0</v>
      </c>
      <c r="AK63" s="67">
        <f t="shared" si="95"/>
        <v>0</v>
      </c>
      <c r="AL63" s="67">
        <f t="shared" si="95"/>
        <v>0</v>
      </c>
      <c r="AM63" s="67">
        <f t="shared" si="95"/>
        <v>0</v>
      </c>
      <c r="AN63" s="67">
        <f t="shared" si="95"/>
        <v>0</v>
      </c>
      <c r="AO63" s="67">
        <f t="shared" si="95"/>
        <v>0</v>
      </c>
      <c r="AP63" s="67">
        <f t="shared" si="95"/>
        <v>0</v>
      </c>
      <c r="AQ63" s="76"/>
      <c r="AR63" s="76"/>
      <c r="AS63" s="77">
        <f>SUMPRODUCT(--(WEEKDAY(C$3:AG$3,2)&lt;5),--ISNUMBER(MATCH(C63:AG63,{"SB1","SB2"},0)))</f>
        <v>0</v>
      </c>
      <c r="AT63" s="67"/>
      <c r="AU63" s="77">
        <f>SUMPRODUCT(--(WEEKDAY(C$3:AG$3,2)=5),--ISNUMBER(MATCH(C63:AG63,{"SB1","SB2"},0)))</f>
        <v>0</v>
      </c>
      <c r="AV63" s="77">
        <f>SUMPRODUCT(--(WEEKDAY(C$3:AG$3,2)&gt;5),--ISNUMBER(MATCH(C63:AG63,{"SB1","SB2"},0)))</f>
        <v>0</v>
      </c>
      <c r="AW63" s="67"/>
      <c r="AX63" s="77">
        <f t="shared" si="89"/>
        <v>0</v>
      </c>
      <c r="AY63" s="77">
        <f t="shared" si="74"/>
        <v>0</v>
      </c>
      <c r="AZ63" s="77">
        <f t="shared" si="75"/>
        <v>0</v>
      </c>
      <c r="BA63" s="76">
        <f t="shared" si="76"/>
        <v>0</v>
      </c>
      <c r="BB63" s="77">
        <f t="shared" si="77"/>
        <v>0</v>
      </c>
      <c r="BC63" s="77">
        <f t="shared" si="78"/>
        <v>0</v>
      </c>
      <c r="BD63" s="77">
        <f t="shared" si="79"/>
        <v>0</v>
      </c>
      <c r="BE63" s="77">
        <f t="shared" si="80"/>
        <v>0</v>
      </c>
      <c r="BF63" s="77">
        <f t="shared" si="81"/>
        <v>0</v>
      </c>
      <c r="BG63" s="77">
        <f t="shared" si="82"/>
        <v>0</v>
      </c>
      <c r="BH63" s="77">
        <f t="shared" si="83"/>
        <v>0</v>
      </c>
      <c r="BI63" s="77">
        <f t="shared" si="84"/>
        <v>0</v>
      </c>
      <c r="BJ63" s="77">
        <f t="shared" si="85"/>
        <v>0</v>
      </c>
      <c r="BK63" s="77">
        <f t="shared" si="86"/>
        <v>0</v>
      </c>
      <c r="BL63" s="77">
        <f t="shared" si="87"/>
        <v>0</v>
      </c>
      <c r="BM63" s="77">
        <f t="shared" ref="BM63:BM74" si="96">COUNTIF($E63:$AG63,BM$4)</f>
        <v>0</v>
      </c>
      <c r="BN63" s="77">
        <f t="shared" ref="BN63:BN74" si="97">COUNTIF($E63:$AG63,BN$4)</f>
        <v>0</v>
      </c>
      <c r="BO63" s="77">
        <f>COUNTIF($D63:$Y63,BO$4)</f>
        <v>0</v>
      </c>
      <c r="BP63" s="67"/>
    </row>
    <row r="64" ht="19.5" customHeight="1" spans="1:68">
      <c r="A64" s="107"/>
      <c r="B64" s="107" t="s">
        <v>832</v>
      </c>
      <c r="C64" s="54"/>
      <c r="D64" s="53"/>
      <c r="E64" s="54"/>
      <c r="F64" s="60"/>
      <c r="G64" s="107"/>
      <c r="H64" s="107"/>
      <c r="I64" s="108"/>
      <c r="J64" s="107"/>
      <c r="K64" s="53"/>
      <c r="L64" s="108"/>
      <c r="M64" s="107"/>
      <c r="N64" s="107"/>
      <c r="O64" s="108"/>
      <c r="P64" s="60"/>
      <c r="Q64" s="107"/>
      <c r="R64" s="54"/>
      <c r="S64" s="54"/>
      <c r="T64" s="54"/>
      <c r="U64" s="110"/>
      <c r="V64" s="107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67">
        <f t="shared" ref="AH64:AP64" si="98">COUNTIF($C64:$AF64,AH$4)</f>
        <v>0</v>
      </c>
      <c r="AI64" s="67">
        <f t="shared" si="98"/>
        <v>0</v>
      </c>
      <c r="AJ64" s="67">
        <f t="shared" si="98"/>
        <v>0</v>
      </c>
      <c r="AK64" s="67">
        <f t="shared" si="98"/>
        <v>0</v>
      </c>
      <c r="AL64" s="67">
        <f t="shared" si="98"/>
        <v>0</v>
      </c>
      <c r="AM64" s="67">
        <f t="shared" si="98"/>
        <v>0</v>
      </c>
      <c r="AN64" s="67">
        <f t="shared" si="98"/>
        <v>0</v>
      </c>
      <c r="AO64" s="67">
        <f t="shared" si="98"/>
        <v>0</v>
      </c>
      <c r="AP64" s="67">
        <f t="shared" si="98"/>
        <v>0</v>
      </c>
      <c r="AQ64" s="76"/>
      <c r="AR64" s="76"/>
      <c r="AS64" s="77">
        <f>SUMPRODUCT(--(WEEKDAY(C$3:AG$3,2)&lt;5),--ISNUMBER(MATCH(C64:AG64,{"SB1","SB2"},0)))</f>
        <v>0</v>
      </c>
      <c r="AT64" s="67"/>
      <c r="AU64" s="77">
        <f>SUMPRODUCT(--(WEEKDAY(C$3:AG$3,2)=5),--ISNUMBER(MATCH(C64:AG64,{"SB1","SB2"},0)))</f>
        <v>0</v>
      </c>
      <c r="AV64" s="77">
        <f>SUMPRODUCT(--(WEEKDAY(C$3:AG$3,2)&gt;5),--ISNUMBER(MATCH(C64:AG64,{"SB1","SB2"},0)))</f>
        <v>0</v>
      </c>
      <c r="AW64" s="67"/>
      <c r="AX64" s="77">
        <f t="shared" si="89"/>
        <v>0</v>
      </c>
      <c r="AY64" s="77">
        <f t="shared" si="74"/>
        <v>0</v>
      </c>
      <c r="AZ64" s="77">
        <f t="shared" si="75"/>
        <v>0</v>
      </c>
      <c r="BA64" s="76">
        <f t="shared" si="76"/>
        <v>0</v>
      </c>
      <c r="BB64" s="77">
        <f t="shared" si="77"/>
        <v>0</v>
      </c>
      <c r="BC64" s="77">
        <f t="shared" si="78"/>
        <v>0</v>
      </c>
      <c r="BD64" s="77">
        <f t="shared" si="79"/>
        <v>0</v>
      </c>
      <c r="BE64" s="77">
        <f t="shared" si="80"/>
        <v>0</v>
      </c>
      <c r="BF64" s="77">
        <f t="shared" si="81"/>
        <v>0</v>
      </c>
      <c r="BG64" s="77">
        <f t="shared" si="82"/>
        <v>0</v>
      </c>
      <c r="BH64" s="77">
        <f t="shared" si="83"/>
        <v>0</v>
      </c>
      <c r="BI64" s="77">
        <f t="shared" si="84"/>
        <v>0</v>
      </c>
      <c r="BJ64" s="77">
        <f t="shared" si="85"/>
        <v>0</v>
      </c>
      <c r="BK64" s="77">
        <f t="shared" si="86"/>
        <v>0</v>
      </c>
      <c r="BL64" s="77">
        <f t="shared" si="87"/>
        <v>0</v>
      </c>
      <c r="BM64" s="77">
        <f t="shared" si="96"/>
        <v>0</v>
      </c>
      <c r="BN64" s="77">
        <f t="shared" si="97"/>
        <v>0</v>
      </c>
      <c r="BO64" s="77">
        <f>COUNTIF($E64:$Y64,BO$4)</f>
        <v>0</v>
      </c>
      <c r="BP64" s="107"/>
    </row>
    <row r="65" ht="19.5" customHeight="1" spans="1:68">
      <c r="A65" s="107"/>
      <c r="B65" s="107" t="s">
        <v>835</v>
      </c>
      <c r="C65" s="54"/>
      <c r="D65" s="54"/>
      <c r="E65" s="54"/>
      <c r="F65" s="60"/>
      <c r="H65" s="54"/>
      <c r="I65" s="108"/>
      <c r="J65" s="60"/>
      <c r="K65" s="54"/>
      <c r="L65" s="108"/>
      <c r="M65" s="107"/>
      <c r="N65" s="107"/>
      <c r="O65" s="60"/>
      <c r="P65" s="107"/>
      <c r="Q65" s="107"/>
      <c r="R65" s="54"/>
      <c r="S65" s="54"/>
      <c r="T65" s="54"/>
      <c r="U65" s="54"/>
      <c r="V65" s="54"/>
      <c r="W65" s="111"/>
      <c r="X65" s="111"/>
      <c r="Y65" s="111"/>
      <c r="Z65" s="53"/>
      <c r="AA65" s="111"/>
      <c r="AB65" s="111"/>
      <c r="AC65" s="111"/>
      <c r="AD65" s="111"/>
      <c r="AE65" s="111"/>
      <c r="AF65" s="111"/>
      <c r="AG65" s="111"/>
      <c r="AH65" s="67">
        <f t="shared" ref="AH65:AP65" si="99">COUNTIF($C65:$AF65,AH$4)</f>
        <v>0</v>
      </c>
      <c r="AI65" s="67">
        <f t="shared" si="99"/>
        <v>0</v>
      </c>
      <c r="AJ65" s="67">
        <f t="shared" si="99"/>
        <v>0</v>
      </c>
      <c r="AK65" s="67">
        <f t="shared" si="99"/>
        <v>0</v>
      </c>
      <c r="AL65" s="67">
        <f t="shared" si="99"/>
        <v>0</v>
      </c>
      <c r="AM65" s="67">
        <f t="shared" si="99"/>
        <v>0</v>
      </c>
      <c r="AN65" s="67">
        <f t="shared" si="99"/>
        <v>0</v>
      </c>
      <c r="AO65" s="67">
        <f t="shared" si="99"/>
        <v>0</v>
      </c>
      <c r="AP65" s="67">
        <f t="shared" si="99"/>
        <v>0</v>
      </c>
      <c r="AQ65" s="76"/>
      <c r="AR65" s="76"/>
      <c r="AS65" s="77">
        <f>SUMPRODUCT(--(WEEKDAY(C$3:AG$3,2)&lt;5),--ISNUMBER(MATCH(C65:AG65,{"SB1","SB2"},0)))</f>
        <v>0</v>
      </c>
      <c r="AT65" s="67"/>
      <c r="AU65" s="77">
        <f>SUMPRODUCT(--(WEEKDAY(C$3:AG$3,2)=5),--ISNUMBER(MATCH(C65:AG65,{"SB1","SB2"},0)))</f>
        <v>0</v>
      </c>
      <c r="AV65" s="77">
        <f>SUMPRODUCT(--(WEEKDAY(C$3:AG$3,2)&gt;5),--ISNUMBER(MATCH(C65:AG65,{"SB1","SB2"},0)))</f>
        <v>0</v>
      </c>
      <c r="AW65" s="67"/>
      <c r="AX65" s="77">
        <f t="shared" si="89"/>
        <v>0</v>
      </c>
      <c r="AY65" s="77">
        <f t="shared" si="74"/>
        <v>0</v>
      </c>
      <c r="AZ65" s="77">
        <f t="shared" si="75"/>
        <v>0</v>
      </c>
      <c r="BA65" s="76">
        <f t="shared" si="76"/>
        <v>0</v>
      </c>
      <c r="BB65" s="77">
        <f t="shared" si="77"/>
        <v>0</v>
      </c>
      <c r="BC65" s="77">
        <f t="shared" si="78"/>
        <v>0</v>
      </c>
      <c r="BD65" s="77">
        <f t="shared" si="79"/>
        <v>0</v>
      </c>
      <c r="BE65" s="77">
        <f t="shared" si="80"/>
        <v>0</v>
      </c>
      <c r="BF65" s="77">
        <f t="shared" si="81"/>
        <v>0</v>
      </c>
      <c r="BG65" s="77">
        <f t="shared" si="82"/>
        <v>0</v>
      </c>
      <c r="BH65" s="77">
        <f t="shared" si="83"/>
        <v>0</v>
      </c>
      <c r="BI65" s="77">
        <f t="shared" si="84"/>
        <v>0</v>
      </c>
      <c r="BJ65" s="77">
        <f t="shared" si="85"/>
        <v>0</v>
      </c>
      <c r="BK65" s="77">
        <f t="shared" si="86"/>
        <v>0</v>
      </c>
      <c r="BL65" s="77">
        <f t="shared" si="87"/>
        <v>0</v>
      </c>
      <c r="BM65" s="77">
        <f t="shared" si="96"/>
        <v>0</v>
      </c>
      <c r="BN65" s="77">
        <f t="shared" si="97"/>
        <v>0</v>
      </c>
      <c r="BO65" s="77">
        <f>COUNTIF($D65:$Y65,BO$4)</f>
        <v>0</v>
      </c>
      <c r="BP65" s="107"/>
    </row>
    <row r="66" ht="19.5" customHeight="1" spans="1:68">
      <c r="A66" s="107"/>
      <c r="B66" s="107" t="s">
        <v>836</v>
      </c>
      <c r="C66" s="60"/>
      <c r="D66" s="53"/>
      <c r="E66" s="53"/>
      <c r="F66" s="53"/>
      <c r="G66" s="53"/>
      <c r="H66" s="53"/>
      <c r="I66" s="53"/>
      <c r="J66" s="107"/>
      <c r="K66" s="54"/>
      <c r="L66" s="54"/>
      <c r="M66" s="107"/>
      <c r="N66" s="107"/>
      <c r="O66" s="107"/>
      <c r="P66" s="107"/>
      <c r="Q66" s="60"/>
      <c r="R66" s="107"/>
      <c r="T66" s="54"/>
      <c r="U66" s="110"/>
      <c r="V66" s="110"/>
      <c r="W66" s="110"/>
      <c r="X66" s="110"/>
      <c r="Y66" s="110"/>
      <c r="Z66" s="110"/>
      <c r="AA66" s="110"/>
      <c r="AB66" s="110"/>
      <c r="AC66" s="107"/>
      <c r="AD66" s="107"/>
      <c r="AE66" s="107"/>
      <c r="AF66" s="107"/>
      <c r="AG66" s="60"/>
      <c r="AH66" s="67">
        <f t="shared" ref="AH66:AP66" si="100">COUNTIF($C66:$AF66,AH$4)</f>
        <v>0</v>
      </c>
      <c r="AI66" s="67">
        <f t="shared" si="100"/>
        <v>0</v>
      </c>
      <c r="AJ66" s="67">
        <f t="shared" si="100"/>
        <v>0</v>
      </c>
      <c r="AK66" s="67">
        <f t="shared" si="100"/>
        <v>0</v>
      </c>
      <c r="AL66" s="67">
        <f t="shared" si="100"/>
        <v>0</v>
      </c>
      <c r="AM66" s="67">
        <f t="shared" si="100"/>
        <v>0</v>
      </c>
      <c r="AN66" s="67">
        <f t="shared" si="100"/>
        <v>0</v>
      </c>
      <c r="AO66" s="67">
        <f t="shared" si="100"/>
        <v>0</v>
      </c>
      <c r="AP66" s="67">
        <f t="shared" si="100"/>
        <v>0</v>
      </c>
      <c r="AQ66" s="76"/>
      <c r="AR66" s="76"/>
      <c r="AS66" s="77">
        <f>SUMPRODUCT(--(WEEKDAY(C$3:AG$3,2)&lt;5),--ISNUMBER(MATCH(C66:AG66,{"SB1","SB2"},0)))</f>
        <v>0</v>
      </c>
      <c r="AT66" s="67"/>
      <c r="AU66" s="77">
        <f>SUMPRODUCT(--(WEEKDAY(C$3:AG$3,2)=5),--ISNUMBER(MATCH(C66:AG66,{"SB1","SB2"},0)))</f>
        <v>0</v>
      </c>
      <c r="AV66" s="77">
        <f>SUMPRODUCT(--(WEEKDAY(C$3:AG$3,2)&gt;5),--ISNUMBER(MATCH(C66:AG66,{"SB1","SB2"},0)))</f>
        <v>0</v>
      </c>
      <c r="AW66" s="67"/>
      <c r="AX66" s="77">
        <f t="shared" si="89"/>
        <v>0</v>
      </c>
      <c r="AY66" s="77">
        <f t="shared" si="74"/>
        <v>0</v>
      </c>
      <c r="AZ66" s="77">
        <f t="shared" si="75"/>
        <v>0</v>
      </c>
      <c r="BA66" s="76">
        <f t="shared" si="76"/>
        <v>0</v>
      </c>
      <c r="BB66" s="77">
        <f t="shared" si="77"/>
        <v>0</v>
      </c>
      <c r="BC66" s="77">
        <f t="shared" si="78"/>
        <v>0</v>
      </c>
      <c r="BD66" s="77">
        <f t="shared" si="79"/>
        <v>0</v>
      </c>
      <c r="BE66" s="77">
        <f t="shared" si="80"/>
        <v>0</v>
      </c>
      <c r="BF66" s="77">
        <f t="shared" si="81"/>
        <v>0</v>
      </c>
      <c r="BG66" s="77">
        <f t="shared" si="82"/>
        <v>0</v>
      </c>
      <c r="BH66" s="77">
        <f t="shared" si="83"/>
        <v>0</v>
      </c>
      <c r="BI66" s="77">
        <f t="shared" si="84"/>
        <v>0</v>
      </c>
      <c r="BJ66" s="77">
        <f t="shared" si="85"/>
        <v>0</v>
      </c>
      <c r="BK66" s="77">
        <f t="shared" si="86"/>
        <v>0</v>
      </c>
      <c r="BL66" s="77">
        <f t="shared" si="87"/>
        <v>0</v>
      </c>
      <c r="BM66" s="77">
        <f t="shared" si="96"/>
        <v>0</v>
      </c>
      <c r="BN66" s="77">
        <f t="shared" si="97"/>
        <v>0</v>
      </c>
      <c r="BO66" s="77">
        <f>COUNTIF($E66:$Y66,BO$4)</f>
        <v>0</v>
      </c>
      <c r="BP66" s="107"/>
    </row>
    <row r="67" ht="19.5" customHeight="1" spans="1:68">
      <c r="A67" s="107"/>
      <c r="B67" s="107" t="s">
        <v>838</v>
      </c>
      <c r="C67" s="53"/>
      <c r="D67" s="54"/>
      <c r="E67" s="54"/>
      <c r="F67" s="53"/>
      <c r="G67" s="107"/>
      <c r="H67" s="54"/>
      <c r="I67" s="60"/>
      <c r="J67" s="107"/>
      <c r="K67" s="60"/>
      <c r="L67" s="53"/>
      <c r="M67" s="107"/>
      <c r="N67" s="107"/>
      <c r="O67" s="107"/>
      <c r="P67" s="106"/>
      <c r="Q67" s="106"/>
      <c r="R67" s="54"/>
      <c r="S67" s="54"/>
      <c r="T67" s="53"/>
      <c r="U67" s="53"/>
      <c r="V67" s="107"/>
      <c r="W67" s="108"/>
      <c r="Y67" s="53"/>
      <c r="Z67" s="53"/>
      <c r="AA67" s="53"/>
      <c r="AB67" s="53"/>
      <c r="AC67" s="53"/>
      <c r="AD67" s="107"/>
      <c r="AE67" s="108"/>
      <c r="AF67" s="108"/>
      <c r="AG67" s="108"/>
      <c r="AH67" s="67">
        <f t="shared" ref="AH67:AP67" si="101">COUNTIF($C67:$AF67,AH$4)</f>
        <v>0</v>
      </c>
      <c r="AI67" s="67">
        <f t="shared" si="101"/>
        <v>0</v>
      </c>
      <c r="AJ67" s="67">
        <f t="shared" si="101"/>
        <v>0</v>
      </c>
      <c r="AK67" s="67">
        <f t="shared" si="101"/>
        <v>0</v>
      </c>
      <c r="AL67" s="67">
        <f t="shared" si="101"/>
        <v>0</v>
      </c>
      <c r="AM67" s="67">
        <f t="shared" si="101"/>
        <v>0</v>
      </c>
      <c r="AN67" s="67">
        <f t="shared" si="101"/>
        <v>0</v>
      </c>
      <c r="AO67" s="67">
        <f t="shared" si="101"/>
        <v>0</v>
      </c>
      <c r="AP67" s="67">
        <f t="shared" si="101"/>
        <v>0</v>
      </c>
      <c r="AQ67" s="76"/>
      <c r="AR67" s="76"/>
      <c r="AS67" s="77">
        <f>SUMPRODUCT(--(WEEKDAY(C$3:AG$3,2)&lt;5),--ISNUMBER(MATCH(C67:AG67,{"SB1","SB2"},0)))</f>
        <v>0</v>
      </c>
      <c r="AT67" s="67"/>
      <c r="AU67" s="77">
        <f>SUMPRODUCT(--(WEEKDAY(C$3:AG$3,2)=5),--ISNUMBER(MATCH(C67:AG67,{"SB1","SB2"},0)))</f>
        <v>0</v>
      </c>
      <c r="AV67" s="77">
        <f>SUMPRODUCT(--(WEEKDAY(C$3:AG$3,2)&gt;5),--ISNUMBER(MATCH(C67:AG67,{"SB1","SB2"},0)))</f>
        <v>0</v>
      </c>
      <c r="AW67" s="67"/>
      <c r="AX67" s="77">
        <f t="shared" si="89"/>
        <v>0</v>
      </c>
      <c r="AY67" s="77">
        <f t="shared" si="74"/>
        <v>0</v>
      </c>
      <c r="AZ67" s="77">
        <f t="shared" si="75"/>
        <v>0</v>
      </c>
      <c r="BA67" s="76">
        <f t="shared" si="76"/>
        <v>0</v>
      </c>
      <c r="BB67" s="77">
        <f t="shared" si="77"/>
        <v>0</v>
      </c>
      <c r="BC67" s="77">
        <f t="shared" si="78"/>
        <v>0</v>
      </c>
      <c r="BD67" s="77">
        <f t="shared" si="79"/>
        <v>0</v>
      </c>
      <c r="BE67" s="77">
        <f t="shared" si="80"/>
        <v>0</v>
      </c>
      <c r="BF67" s="77">
        <f t="shared" si="81"/>
        <v>0</v>
      </c>
      <c r="BG67" s="77">
        <f t="shared" si="82"/>
        <v>0</v>
      </c>
      <c r="BH67" s="77">
        <f t="shared" si="83"/>
        <v>0</v>
      </c>
      <c r="BI67" s="77">
        <f t="shared" si="84"/>
        <v>0</v>
      </c>
      <c r="BJ67" s="77">
        <f t="shared" si="85"/>
        <v>0</v>
      </c>
      <c r="BK67" s="77">
        <f t="shared" si="86"/>
        <v>0</v>
      </c>
      <c r="BL67" s="77">
        <f t="shared" si="87"/>
        <v>0</v>
      </c>
      <c r="BM67" s="77">
        <f t="shared" si="96"/>
        <v>0</v>
      </c>
      <c r="BN67" s="77">
        <f t="shared" si="97"/>
        <v>0</v>
      </c>
      <c r="BO67" s="77">
        <f>COUNTIF($D67:$Y67,BO$4)</f>
        <v>0</v>
      </c>
      <c r="BP67" s="107"/>
    </row>
    <row r="68" ht="19.5" customHeight="1" spans="1:68">
      <c r="A68" s="107"/>
      <c r="B68" s="107" t="s">
        <v>840</v>
      </c>
      <c r="C68" s="54"/>
      <c r="D68" s="54"/>
      <c r="E68" s="54"/>
      <c r="F68" s="54"/>
      <c r="G68" s="54"/>
      <c r="H68" s="107"/>
      <c r="I68" s="107"/>
      <c r="J68" s="107"/>
      <c r="K68" s="54"/>
      <c r="L68" s="53"/>
      <c r="M68" s="107"/>
      <c r="N68" s="107"/>
      <c r="O68" s="108"/>
      <c r="P68" s="107"/>
      <c r="Q68" s="107"/>
      <c r="R68" s="60"/>
      <c r="S68" s="54"/>
      <c r="T68" s="60"/>
      <c r="U68" s="110"/>
      <c r="W68" s="110"/>
      <c r="X68" s="53"/>
      <c r="Y68" s="108"/>
      <c r="Z68" s="54"/>
      <c r="AA68" s="107"/>
      <c r="AB68" s="107"/>
      <c r="AC68" s="107"/>
      <c r="AE68" s="60"/>
      <c r="AG68" s="60"/>
      <c r="AH68" s="67">
        <f t="shared" ref="AH68:AP68" si="102">COUNTIF($C68:$AF68,AH$4)</f>
        <v>0</v>
      </c>
      <c r="AI68" s="67">
        <f t="shared" si="102"/>
        <v>0</v>
      </c>
      <c r="AJ68" s="67">
        <f t="shared" si="102"/>
        <v>0</v>
      </c>
      <c r="AK68" s="67">
        <f t="shared" si="102"/>
        <v>0</v>
      </c>
      <c r="AL68" s="67">
        <f t="shared" si="102"/>
        <v>0</v>
      </c>
      <c r="AM68" s="67">
        <f t="shared" si="102"/>
        <v>0</v>
      </c>
      <c r="AN68" s="67">
        <f t="shared" si="102"/>
        <v>0</v>
      </c>
      <c r="AO68" s="67">
        <f t="shared" si="102"/>
        <v>0</v>
      </c>
      <c r="AP68" s="67">
        <f t="shared" si="102"/>
        <v>0</v>
      </c>
      <c r="AQ68" s="76"/>
      <c r="AR68" s="76"/>
      <c r="AS68" s="77">
        <f>SUMPRODUCT(--(WEEKDAY(C$3:AG$3,2)&lt;5),--ISNUMBER(MATCH(C68:AG68,{"SB1","SB2"},0)))</f>
        <v>0</v>
      </c>
      <c r="AT68" s="67"/>
      <c r="AU68" s="77">
        <f>SUMPRODUCT(--(WEEKDAY(C$3:AG$3,2)=5),--ISNUMBER(MATCH(C68:AG68,{"SB1","SB2"},0)))</f>
        <v>0</v>
      </c>
      <c r="AV68" s="77">
        <f>SUMPRODUCT(--(WEEKDAY(C$3:AG$3,2)&gt;5),--ISNUMBER(MATCH(C68:AG68,{"SB1","SB2"},0)))</f>
        <v>0</v>
      </c>
      <c r="AW68" s="67"/>
      <c r="AX68" s="77">
        <f t="shared" si="89"/>
        <v>0</v>
      </c>
      <c r="AY68" s="77">
        <f t="shared" si="74"/>
        <v>0</v>
      </c>
      <c r="AZ68" s="77">
        <f t="shared" si="75"/>
        <v>0</v>
      </c>
      <c r="BA68" s="76">
        <f t="shared" si="76"/>
        <v>0</v>
      </c>
      <c r="BB68" s="77">
        <f t="shared" si="77"/>
        <v>0</v>
      </c>
      <c r="BC68" s="77">
        <f t="shared" si="78"/>
        <v>0</v>
      </c>
      <c r="BD68" s="77">
        <f t="shared" si="79"/>
        <v>0</v>
      </c>
      <c r="BE68" s="77">
        <f t="shared" si="80"/>
        <v>0</v>
      </c>
      <c r="BF68" s="77">
        <f t="shared" si="81"/>
        <v>0</v>
      </c>
      <c r="BG68" s="77">
        <f t="shared" si="82"/>
        <v>0</v>
      </c>
      <c r="BH68" s="77">
        <f t="shared" si="83"/>
        <v>0</v>
      </c>
      <c r="BI68" s="77">
        <f t="shared" si="84"/>
        <v>0</v>
      </c>
      <c r="BJ68" s="77">
        <f t="shared" si="85"/>
        <v>0</v>
      </c>
      <c r="BK68" s="77">
        <f t="shared" si="86"/>
        <v>0</v>
      </c>
      <c r="BL68" s="77">
        <f t="shared" si="87"/>
        <v>0</v>
      </c>
      <c r="BM68" s="77">
        <f t="shared" si="96"/>
        <v>0</v>
      </c>
      <c r="BN68" s="77">
        <f t="shared" si="97"/>
        <v>0</v>
      </c>
      <c r="BO68" s="77">
        <f>COUNTIF($D68:$X68,BO$4)</f>
        <v>0</v>
      </c>
      <c r="BP68" s="107"/>
    </row>
    <row r="69" ht="84.75" customHeight="1" spans="1:68">
      <c r="A69" s="107"/>
      <c r="B69" s="107" t="s">
        <v>844</v>
      </c>
      <c r="C69" s="107"/>
      <c r="D69" s="54"/>
      <c r="E69" s="54"/>
      <c r="F69" s="107"/>
      <c r="G69" s="107"/>
      <c r="H69" s="54"/>
      <c r="I69" s="107"/>
      <c r="J69" s="107"/>
      <c r="K69" s="54"/>
      <c r="L69" s="108"/>
      <c r="M69" s="53"/>
      <c r="N69" s="107"/>
      <c r="O69" s="108"/>
      <c r="P69" s="107"/>
      <c r="Q69" s="107"/>
      <c r="R69" s="54"/>
      <c r="S69" s="53"/>
      <c r="T69" s="54"/>
      <c r="U69" s="53"/>
      <c r="V69" s="60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67">
        <f t="shared" ref="AH69:AP69" si="103">COUNTIF($C69:$AF69,AH$4)</f>
        <v>0</v>
      </c>
      <c r="AI69" s="67">
        <f t="shared" si="103"/>
        <v>0</v>
      </c>
      <c r="AJ69" s="67">
        <f t="shared" si="103"/>
        <v>0</v>
      </c>
      <c r="AK69" s="67">
        <f t="shared" si="103"/>
        <v>0</v>
      </c>
      <c r="AL69" s="67">
        <f t="shared" si="103"/>
        <v>0</v>
      </c>
      <c r="AM69" s="67">
        <f t="shared" si="103"/>
        <v>0</v>
      </c>
      <c r="AN69" s="67">
        <f t="shared" si="103"/>
        <v>0</v>
      </c>
      <c r="AO69" s="67">
        <f t="shared" si="103"/>
        <v>0</v>
      </c>
      <c r="AP69" s="67">
        <f t="shared" si="103"/>
        <v>0</v>
      </c>
      <c r="AQ69" s="76"/>
      <c r="AR69" s="76"/>
      <c r="AS69" s="77">
        <f>SUMPRODUCT(--(WEEKDAY(C$3:AG$3,2)&lt;5),--ISNUMBER(MATCH(C69:AG69,{"SB1","SB2"},0)))</f>
        <v>0</v>
      </c>
      <c r="AT69" s="67"/>
      <c r="AU69" s="77">
        <f>SUMPRODUCT(--(WEEKDAY(C$3:AG$3,2)=5),--ISNUMBER(MATCH(C69:AG69,{"SB1","SB2"},0)))</f>
        <v>0</v>
      </c>
      <c r="AV69" s="77">
        <f>SUMPRODUCT(--(WEEKDAY(C$3:AG$3,2)&gt;5),--ISNUMBER(MATCH(C69:AG69,{"SB1","SB2"},0)))</f>
        <v>0</v>
      </c>
      <c r="AW69" s="67"/>
      <c r="AX69" s="77">
        <f t="shared" si="89"/>
        <v>0</v>
      </c>
      <c r="AY69" s="77">
        <f t="shared" si="74"/>
        <v>0</v>
      </c>
      <c r="AZ69" s="77">
        <f t="shared" si="75"/>
        <v>0</v>
      </c>
      <c r="BA69" s="76">
        <f t="shared" si="76"/>
        <v>0</v>
      </c>
      <c r="BB69" s="77">
        <f t="shared" si="77"/>
        <v>0</v>
      </c>
      <c r="BC69" s="77">
        <f t="shared" si="78"/>
        <v>0</v>
      </c>
      <c r="BD69" s="77">
        <f t="shared" si="79"/>
        <v>0</v>
      </c>
      <c r="BE69" s="77">
        <f t="shared" si="80"/>
        <v>0</v>
      </c>
      <c r="BF69" s="77">
        <f t="shared" si="81"/>
        <v>0</v>
      </c>
      <c r="BG69" s="77">
        <f t="shared" si="82"/>
        <v>0</v>
      </c>
      <c r="BH69" s="77">
        <f t="shared" si="83"/>
        <v>0</v>
      </c>
      <c r="BI69" s="77">
        <f t="shared" si="84"/>
        <v>0</v>
      </c>
      <c r="BJ69" s="77">
        <f t="shared" si="85"/>
        <v>0</v>
      </c>
      <c r="BK69" s="77">
        <f t="shared" si="86"/>
        <v>0</v>
      </c>
      <c r="BL69" s="77">
        <f t="shared" si="87"/>
        <v>0</v>
      </c>
      <c r="BM69" s="77">
        <f t="shared" si="96"/>
        <v>0</v>
      </c>
      <c r="BN69" s="77">
        <f t="shared" si="97"/>
        <v>0</v>
      </c>
      <c r="BO69" s="77">
        <f>COUNTIF($D69:$Y69,BO$4)</f>
        <v>0</v>
      </c>
      <c r="BP69" s="107"/>
    </row>
    <row r="70" ht="19.5" customHeight="1" spans="1:68">
      <c r="A70" s="107"/>
      <c r="B70" s="107" t="s">
        <v>848</v>
      </c>
      <c r="C70" s="54"/>
      <c r="D70" s="53"/>
      <c r="E70" s="54"/>
      <c r="F70" s="107"/>
      <c r="G70" s="107"/>
      <c r="H70" s="54"/>
      <c r="I70" s="107"/>
      <c r="J70" s="107"/>
      <c r="K70" s="54"/>
      <c r="L70" s="54"/>
      <c r="M70" s="107"/>
      <c r="N70" s="107"/>
      <c r="O70" s="107"/>
      <c r="P70" s="107"/>
      <c r="Q70" s="107"/>
      <c r="R70" s="54"/>
      <c r="S70" s="60"/>
      <c r="T70" s="54"/>
      <c r="U70" s="53"/>
      <c r="V70" s="107"/>
      <c r="W70" s="107"/>
      <c r="X70" s="107"/>
      <c r="Y70" s="60"/>
      <c r="Z70" s="54"/>
      <c r="AA70" s="110"/>
      <c r="AB70" s="107"/>
      <c r="AC70" s="60"/>
      <c r="AD70" s="60"/>
      <c r="AE70" s="60"/>
      <c r="AF70" s="54"/>
      <c r="AG70" s="54"/>
      <c r="AH70" s="67">
        <f t="shared" ref="AH70:AP70" si="104">COUNTIF($C70:$AF70,AH$4)</f>
        <v>0</v>
      </c>
      <c r="AI70" s="67">
        <f t="shared" si="104"/>
        <v>0</v>
      </c>
      <c r="AJ70" s="67">
        <f t="shared" si="104"/>
        <v>0</v>
      </c>
      <c r="AK70" s="67">
        <f t="shared" si="104"/>
        <v>0</v>
      </c>
      <c r="AL70" s="67">
        <f t="shared" si="104"/>
        <v>0</v>
      </c>
      <c r="AM70" s="67">
        <f t="shared" si="104"/>
        <v>0</v>
      </c>
      <c r="AN70" s="67">
        <f t="shared" si="104"/>
        <v>0</v>
      </c>
      <c r="AO70" s="67">
        <f t="shared" si="104"/>
        <v>0</v>
      </c>
      <c r="AP70" s="67">
        <f t="shared" si="104"/>
        <v>0</v>
      </c>
      <c r="AQ70" s="76"/>
      <c r="AR70" s="76"/>
      <c r="AS70" s="77">
        <f>SUMPRODUCT(--(WEEKDAY(C$3:AG$3,2)&lt;5),--ISNUMBER(MATCH(C70:AG70,{"SB1","SB2"},0)))</f>
        <v>0</v>
      </c>
      <c r="AT70" s="67"/>
      <c r="AU70" s="77">
        <f>SUMPRODUCT(--(WEEKDAY(C$3:AG$3,2)=5),--ISNUMBER(MATCH(C70:AG70,{"SB1","SB2"},0)))</f>
        <v>0</v>
      </c>
      <c r="AV70" s="77">
        <f>SUMPRODUCT(--(WEEKDAY(C$3:AG$3,2)&gt;5),--ISNUMBER(MATCH(C70:AG70,{"SB1","SB2"},0)))</f>
        <v>0</v>
      </c>
      <c r="AW70" s="67"/>
      <c r="AX70" s="77">
        <f t="shared" si="89"/>
        <v>0</v>
      </c>
      <c r="AY70" s="77">
        <f t="shared" si="74"/>
        <v>0</v>
      </c>
      <c r="AZ70" s="77">
        <f t="shared" si="75"/>
        <v>0</v>
      </c>
      <c r="BA70" s="76">
        <f t="shared" si="76"/>
        <v>0</v>
      </c>
      <c r="BB70" s="77">
        <f t="shared" si="77"/>
        <v>0</v>
      </c>
      <c r="BC70" s="77">
        <f t="shared" si="78"/>
        <v>0</v>
      </c>
      <c r="BD70" s="77">
        <f t="shared" si="79"/>
        <v>0</v>
      </c>
      <c r="BE70" s="77">
        <f t="shared" si="80"/>
        <v>0</v>
      </c>
      <c r="BF70" s="77">
        <f t="shared" si="81"/>
        <v>0</v>
      </c>
      <c r="BG70" s="77">
        <f t="shared" si="82"/>
        <v>0</v>
      </c>
      <c r="BH70" s="77">
        <f t="shared" si="83"/>
        <v>0</v>
      </c>
      <c r="BI70" s="77">
        <f t="shared" si="84"/>
        <v>0</v>
      </c>
      <c r="BJ70" s="77">
        <f t="shared" si="85"/>
        <v>0</v>
      </c>
      <c r="BK70" s="77">
        <f t="shared" si="86"/>
        <v>0</v>
      </c>
      <c r="BL70" s="77">
        <f t="shared" si="87"/>
        <v>0</v>
      </c>
      <c r="BM70" s="77">
        <f t="shared" si="96"/>
        <v>0</v>
      </c>
      <c r="BN70" s="77">
        <f t="shared" si="97"/>
        <v>0</v>
      </c>
      <c r="BO70" s="77">
        <f>COUNTIF($D70:$Y70,BO$4)</f>
        <v>0</v>
      </c>
      <c r="BP70" s="107"/>
    </row>
    <row r="71" ht="19.5" customHeight="1" spans="1:68">
      <c r="A71" s="107"/>
      <c r="B71" s="107" t="s">
        <v>914</v>
      </c>
      <c r="C71" s="54"/>
      <c r="D71" s="53"/>
      <c r="E71" s="54"/>
      <c r="F71" s="53"/>
      <c r="G71" s="107"/>
      <c r="H71" s="54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67">
        <f t="shared" ref="AH71:AP71" si="105">COUNTIF($C71:$AF71,AH$4)</f>
        <v>0</v>
      </c>
      <c r="AI71" s="67">
        <f t="shared" si="105"/>
        <v>0</v>
      </c>
      <c r="AJ71" s="67">
        <f t="shared" si="105"/>
        <v>0</v>
      </c>
      <c r="AK71" s="67">
        <f t="shared" si="105"/>
        <v>0</v>
      </c>
      <c r="AL71" s="67">
        <f t="shared" si="105"/>
        <v>0</v>
      </c>
      <c r="AM71" s="67">
        <f t="shared" si="105"/>
        <v>0</v>
      </c>
      <c r="AN71" s="67">
        <f t="shared" si="105"/>
        <v>0</v>
      </c>
      <c r="AO71" s="67">
        <f t="shared" si="105"/>
        <v>0</v>
      </c>
      <c r="AP71" s="67">
        <f t="shared" si="105"/>
        <v>0</v>
      </c>
      <c r="AQ71" s="76"/>
      <c r="AR71" s="76"/>
      <c r="AS71" s="77">
        <f>SUMPRODUCT(--(WEEKDAY(C$3:AG$3,2)&lt;5),--ISNUMBER(MATCH(C71:AG71,{"SB1","SB2"},0)))</f>
        <v>0</v>
      </c>
      <c r="AT71" s="67"/>
      <c r="AU71" s="77">
        <f>SUMPRODUCT(--(WEEKDAY(C$3:AG$3,2)=5),--ISNUMBER(MATCH(C71:AG71,{"SB1","SB2"},0)))</f>
        <v>0</v>
      </c>
      <c r="AV71" s="77">
        <f>SUMPRODUCT(--(WEEKDAY(C$3:AG$3,2)&gt;5),--ISNUMBER(MATCH(C71:AG71,{"SB1","SB2"},0)))</f>
        <v>0</v>
      </c>
      <c r="AW71" s="67"/>
      <c r="AX71" s="77">
        <f t="shared" si="89"/>
        <v>0</v>
      </c>
      <c r="AY71" s="77">
        <f t="shared" si="74"/>
        <v>0</v>
      </c>
      <c r="AZ71" s="77">
        <f t="shared" si="75"/>
        <v>0</v>
      </c>
      <c r="BA71" s="76">
        <f t="shared" si="76"/>
        <v>0</v>
      </c>
      <c r="BB71" s="77">
        <f t="shared" si="77"/>
        <v>0</v>
      </c>
      <c r="BC71" s="77">
        <f t="shared" si="78"/>
        <v>0</v>
      </c>
      <c r="BD71" s="77">
        <f t="shared" si="79"/>
        <v>0</v>
      </c>
      <c r="BE71" s="77">
        <f t="shared" si="80"/>
        <v>0</v>
      </c>
      <c r="BF71" s="77">
        <f t="shared" si="81"/>
        <v>0</v>
      </c>
      <c r="BG71" s="77">
        <f t="shared" si="82"/>
        <v>0</v>
      </c>
      <c r="BH71" s="77">
        <f t="shared" si="83"/>
        <v>0</v>
      </c>
      <c r="BI71" s="77">
        <f t="shared" si="84"/>
        <v>0</v>
      </c>
      <c r="BJ71" s="77">
        <f t="shared" si="85"/>
        <v>0</v>
      </c>
      <c r="BK71" s="77">
        <f t="shared" si="86"/>
        <v>0</v>
      </c>
      <c r="BL71" s="77">
        <f t="shared" si="87"/>
        <v>0</v>
      </c>
      <c r="BM71" s="77">
        <f t="shared" si="96"/>
        <v>0</v>
      </c>
      <c r="BN71" s="77">
        <f t="shared" si="97"/>
        <v>0</v>
      </c>
      <c r="BO71" s="77">
        <f>COUNTIF($D71:$Y71,BO$4)</f>
        <v>0</v>
      </c>
      <c r="BP71" s="107"/>
    </row>
    <row r="72" ht="19.5" customHeight="1" spans="1:68">
      <c r="A72" s="107"/>
      <c r="B72" s="107" t="s">
        <v>917</v>
      </c>
      <c r="C72" s="60"/>
      <c r="D72" s="53"/>
      <c r="E72" s="54"/>
      <c r="F72" s="53"/>
      <c r="G72" s="107"/>
      <c r="H72" s="54"/>
      <c r="I72" s="107"/>
      <c r="J72" s="107"/>
      <c r="K72" s="54"/>
      <c r="L72" s="60"/>
      <c r="M72" s="53"/>
      <c r="N72" s="107"/>
      <c r="O72" s="60"/>
      <c r="P72" s="107"/>
      <c r="Q72" s="60"/>
      <c r="R72" s="112"/>
      <c r="S72" s="108"/>
      <c r="T72" s="108"/>
      <c r="U72" s="110"/>
      <c r="V72" s="53"/>
      <c r="W72" s="110"/>
      <c r="X72" s="54"/>
      <c r="Y72" s="60"/>
      <c r="Z72" s="54"/>
      <c r="AA72" s="107"/>
      <c r="AB72" s="107"/>
      <c r="AD72" s="107"/>
      <c r="AE72" s="60"/>
      <c r="AF72" s="54"/>
      <c r="AG72" s="54"/>
      <c r="AH72" s="67">
        <f t="shared" ref="AH72:AP72" si="106">COUNTIF($C72:$AF72,AH$4)</f>
        <v>0</v>
      </c>
      <c r="AI72" s="67">
        <f t="shared" si="106"/>
        <v>0</v>
      </c>
      <c r="AJ72" s="67">
        <f t="shared" si="106"/>
        <v>0</v>
      </c>
      <c r="AK72" s="67">
        <f t="shared" si="106"/>
        <v>0</v>
      </c>
      <c r="AL72" s="67">
        <f t="shared" si="106"/>
        <v>0</v>
      </c>
      <c r="AM72" s="67">
        <f t="shared" si="106"/>
        <v>0</v>
      </c>
      <c r="AN72" s="67">
        <f t="shared" si="106"/>
        <v>0</v>
      </c>
      <c r="AO72" s="67">
        <f t="shared" si="106"/>
        <v>0</v>
      </c>
      <c r="AP72" s="67">
        <f t="shared" si="106"/>
        <v>0</v>
      </c>
      <c r="AQ72" s="76"/>
      <c r="AR72" s="76"/>
      <c r="AS72" s="77">
        <f>SUMPRODUCT(--(WEEKDAY(C$3:AG$3,2)&lt;5),--ISNUMBER(MATCH(C72:AG72,{"SB1","SB2"},0)))</f>
        <v>0</v>
      </c>
      <c r="AT72" s="67"/>
      <c r="AU72" s="77">
        <f>SUMPRODUCT(--(WEEKDAY(C$3:AG$3,2)=5),--ISNUMBER(MATCH(C72:AG72,{"SB1","SB2"},0)))</f>
        <v>0</v>
      </c>
      <c r="AV72" s="77">
        <f>SUMPRODUCT(--(WEEKDAY(C$3:AG$3,2)&gt;5),--ISNUMBER(MATCH(C72:AG72,{"SB1","SB2"},0)))</f>
        <v>0</v>
      </c>
      <c r="AW72" s="67"/>
      <c r="AX72" s="77">
        <f t="shared" si="89"/>
        <v>0</v>
      </c>
      <c r="AY72" s="77">
        <f t="shared" si="74"/>
        <v>0</v>
      </c>
      <c r="AZ72" s="77">
        <f t="shared" si="75"/>
        <v>0</v>
      </c>
      <c r="BA72" s="76">
        <f t="shared" si="76"/>
        <v>0</v>
      </c>
      <c r="BB72" s="77">
        <f t="shared" si="77"/>
        <v>0</v>
      </c>
      <c r="BC72" s="77">
        <f t="shared" si="78"/>
        <v>0</v>
      </c>
      <c r="BD72" s="77">
        <f t="shared" si="79"/>
        <v>0</v>
      </c>
      <c r="BE72" s="77">
        <f t="shared" si="80"/>
        <v>0</v>
      </c>
      <c r="BF72" s="77">
        <f t="shared" si="81"/>
        <v>0</v>
      </c>
      <c r="BG72" s="77">
        <f t="shared" si="82"/>
        <v>0</v>
      </c>
      <c r="BH72" s="77">
        <f t="shared" si="83"/>
        <v>0</v>
      </c>
      <c r="BI72" s="77">
        <f t="shared" si="84"/>
        <v>0</v>
      </c>
      <c r="BJ72" s="77">
        <f t="shared" si="85"/>
        <v>0</v>
      </c>
      <c r="BK72" s="77">
        <f t="shared" si="86"/>
        <v>0</v>
      </c>
      <c r="BL72" s="77">
        <f t="shared" si="87"/>
        <v>0</v>
      </c>
      <c r="BM72" s="77">
        <f t="shared" si="96"/>
        <v>0</v>
      </c>
      <c r="BN72" s="77">
        <f t="shared" si="97"/>
        <v>0</v>
      </c>
      <c r="BO72" s="77">
        <f>COUNTIF($D72:$Y72,BO$4)</f>
        <v>0</v>
      </c>
      <c r="BP72" s="107"/>
    </row>
    <row r="73" ht="19.5" customHeight="1" spans="1:68">
      <c r="A73" s="107"/>
      <c r="B73" s="107" t="s">
        <v>921</v>
      </c>
      <c r="C73" s="54" t="s">
        <v>1024</v>
      </c>
      <c r="D73" s="53" t="s">
        <v>1024</v>
      </c>
      <c r="E73" s="54"/>
      <c r="F73" s="60"/>
      <c r="G73" s="107"/>
      <c r="H73" s="107"/>
      <c r="I73" s="107"/>
      <c r="J73" s="107"/>
      <c r="K73" s="107"/>
      <c r="L73" s="107"/>
      <c r="M73" s="113"/>
      <c r="N73" s="107"/>
      <c r="O73" s="107"/>
      <c r="Q73" s="60"/>
      <c r="S73" s="54"/>
      <c r="T73" s="54"/>
      <c r="U73" s="114"/>
      <c r="V73" s="54"/>
      <c r="W73" s="110"/>
      <c r="X73" s="54"/>
      <c r="Y73" s="53"/>
      <c r="Z73" s="60"/>
      <c r="AA73" s="60"/>
      <c r="AB73" s="107"/>
      <c r="AC73" s="107"/>
      <c r="AD73" s="107"/>
      <c r="AE73" s="60"/>
      <c r="AF73" s="54"/>
      <c r="AG73" s="54"/>
      <c r="AH73" s="67">
        <f t="shared" ref="AH73:AP73" si="107">COUNTIF($C73:$AF73,AH$4)</f>
        <v>0</v>
      </c>
      <c r="AI73" s="67">
        <f t="shared" si="107"/>
        <v>0</v>
      </c>
      <c r="AJ73" s="67">
        <f t="shared" si="107"/>
        <v>0</v>
      </c>
      <c r="AK73" s="67">
        <f t="shared" si="107"/>
        <v>0</v>
      </c>
      <c r="AL73" s="67">
        <f t="shared" si="107"/>
        <v>0</v>
      </c>
      <c r="AM73" s="67">
        <f t="shared" si="107"/>
        <v>0</v>
      </c>
      <c r="AN73" s="67">
        <f t="shared" si="107"/>
        <v>0</v>
      </c>
      <c r="AO73" s="67">
        <f t="shared" si="107"/>
        <v>0</v>
      </c>
      <c r="AP73" s="67">
        <f t="shared" si="107"/>
        <v>0</v>
      </c>
      <c r="AQ73" s="76"/>
      <c r="AR73" s="76"/>
      <c r="AS73" s="77">
        <f>SUMPRODUCT(--(WEEKDAY(C$3:AG$3,2)&lt;5),--ISNUMBER(MATCH(C73:AG73,{"SB1","SB2"},0)))</f>
        <v>0</v>
      </c>
      <c r="AT73" s="67"/>
      <c r="AU73" s="77">
        <f>SUMPRODUCT(--(WEEKDAY(C$3:AG$3,2)=5),--ISNUMBER(MATCH(C73:AG73,{"SB1","SB2"},0)))</f>
        <v>0</v>
      </c>
      <c r="AV73" s="77">
        <f>SUMPRODUCT(--(WEEKDAY(C$3:AG$3,2)&gt;5),--ISNUMBER(MATCH(C73:AG73,{"SB1","SB2"},0)))</f>
        <v>0</v>
      </c>
      <c r="AW73" s="67"/>
      <c r="AX73" s="77">
        <f t="shared" si="89"/>
        <v>0</v>
      </c>
      <c r="AY73" s="77">
        <f t="shared" si="74"/>
        <v>0</v>
      </c>
      <c r="AZ73" s="77">
        <f t="shared" si="75"/>
        <v>2</v>
      </c>
      <c r="BA73" s="76">
        <f t="shared" si="76"/>
        <v>2</v>
      </c>
      <c r="BB73" s="77">
        <f t="shared" si="77"/>
        <v>2</v>
      </c>
      <c r="BC73" s="77">
        <f t="shared" si="78"/>
        <v>0</v>
      </c>
      <c r="BD73" s="77">
        <f t="shared" si="79"/>
        <v>0</v>
      </c>
      <c r="BE73" s="77">
        <f t="shared" si="80"/>
        <v>0</v>
      </c>
      <c r="BF73" s="77">
        <f t="shared" si="81"/>
        <v>0</v>
      </c>
      <c r="BG73" s="77">
        <f t="shared" si="82"/>
        <v>0</v>
      </c>
      <c r="BH73" s="77">
        <f t="shared" si="83"/>
        <v>0</v>
      </c>
      <c r="BI73" s="77">
        <f t="shared" si="84"/>
        <v>0</v>
      </c>
      <c r="BJ73" s="77">
        <f t="shared" si="85"/>
        <v>0</v>
      </c>
      <c r="BK73" s="77">
        <f t="shared" si="86"/>
        <v>2</v>
      </c>
      <c r="BL73" s="77">
        <f t="shared" si="87"/>
        <v>2</v>
      </c>
      <c r="BM73" s="77">
        <f t="shared" si="96"/>
        <v>0</v>
      </c>
      <c r="BN73" s="77">
        <f t="shared" si="97"/>
        <v>0</v>
      </c>
      <c r="BO73" s="77">
        <f>COUNTIF($E73:$Y73,BO$4)</f>
        <v>0</v>
      </c>
      <c r="BP73" s="107"/>
    </row>
    <row r="74" ht="19.5" customHeight="1" spans="1:68">
      <c r="A74" s="107"/>
      <c r="B74" s="107" t="s">
        <v>857</v>
      </c>
      <c r="C74" s="54"/>
      <c r="D74" s="54"/>
      <c r="E74" s="54"/>
      <c r="F74" s="54"/>
      <c r="G74" s="54"/>
      <c r="H74" s="107"/>
      <c r="I74" s="108"/>
      <c r="J74" s="107"/>
      <c r="K74" s="54"/>
      <c r="L74" s="108"/>
      <c r="M74" s="107"/>
      <c r="N74" s="107"/>
      <c r="O74" s="60"/>
      <c r="P74" s="107"/>
      <c r="Q74" s="107"/>
      <c r="R74" s="54"/>
      <c r="S74" s="108"/>
      <c r="T74" s="60"/>
      <c r="U74" s="110"/>
      <c r="V74" s="107"/>
      <c r="W74" s="110"/>
      <c r="X74" s="107"/>
      <c r="Y74" s="54"/>
      <c r="Z74" s="54"/>
      <c r="AA74" s="53"/>
      <c r="AB74" s="60"/>
      <c r="AC74" s="108"/>
      <c r="AD74" s="108"/>
      <c r="AE74" s="108"/>
      <c r="AF74" s="54"/>
      <c r="AG74" s="54"/>
      <c r="AH74" s="67">
        <f t="shared" ref="AH74:AP74" si="108">COUNTIF($C74:$AF74,AH$4)</f>
        <v>0</v>
      </c>
      <c r="AI74" s="67">
        <f t="shared" si="108"/>
        <v>0</v>
      </c>
      <c r="AJ74" s="67">
        <f t="shared" si="108"/>
        <v>0</v>
      </c>
      <c r="AK74" s="67">
        <f t="shared" si="108"/>
        <v>0</v>
      </c>
      <c r="AL74" s="67">
        <f t="shared" si="108"/>
        <v>0</v>
      </c>
      <c r="AM74" s="67">
        <f t="shared" si="108"/>
        <v>0</v>
      </c>
      <c r="AN74" s="67">
        <f t="shared" si="108"/>
        <v>0</v>
      </c>
      <c r="AO74" s="67">
        <f t="shared" si="108"/>
        <v>0</v>
      </c>
      <c r="AP74" s="67">
        <f t="shared" si="108"/>
        <v>0</v>
      </c>
      <c r="AQ74" s="76"/>
      <c r="AR74" s="76"/>
      <c r="AS74" s="77">
        <f>SUMPRODUCT(--(WEEKDAY(C$3:AG$3,2)&lt;5),--ISNUMBER(MATCH(C74:AG74,{"SB1","SB2"},0)))</f>
        <v>0</v>
      </c>
      <c r="AT74" s="67"/>
      <c r="AU74" s="77">
        <f>SUMPRODUCT(--(WEEKDAY(C$3:AG$3,2)=5),--ISNUMBER(MATCH(C74:AG74,{"SB1","SB2"},0)))</f>
        <v>0</v>
      </c>
      <c r="AV74" s="77">
        <f>SUMPRODUCT(--(WEEKDAY(C$3:AG$3,2)&gt;5),--ISNUMBER(MATCH(C74:AG74,{"SB1","SB2"},0)))</f>
        <v>0</v>
      </c>
      <c r="AW74" s="67"/>
      <c r="AX74" s="77">
        <f t="shared" si="89"/>
        <v>0</v>
      </c>
      <c r="AY74" s="77">
        <f t="shared" si="74"/>
        <v>0</v>
      </c>
      <c r="AZ74" s="77">
        <f t="shared" si="75"/>
        <v>0</v>
      </c>
      <c r="BA74" s="76">
        <f t="shared" si="76"/>
        <v>0</v>
      </c>
      <c r="BB74" s="77">
        <f t="shared" si="77"/>
        <v>0</v>
      </c>
      <c r="BC74" s="77">
        <f t="shared" si="78"/>
        <v>0</v>
      </c>
      <c r="BD74" s="77">
        <f t="shared" si="79"/>
        <v>0</v>
      </c>
      <c r="BE74" s="77">
        <f t="shared" si="80"/>
        <v>0</v>
      </c>
      <c r="BF74" s="77">
        <f t="shared" si="81"/>
        <v>0</v>
      </c>
      <c r="BG74" s="77">
        <f t="shared" si="82"/>
        <v>0</v>
      </c>
      <c r="BH74" s="77">
        <f t="shared" si="83"/>
        <v>0</v>
      </c>
      <c r="BI74" s="77">
        <f t="shared" si="84"/>
        <v>0</v>
      </c>
      <c r="BJ74" s="77">
        <f t="shared" si="85"/>
        <v>0</v>
      </c>
      <c r="BK74" s="77">
        <f t="shared" si="86"/>
        <v>0</v>
      </c>
      <c r="BL74" s="77">
        <f t="shared" si="87"/>
        <v>0</v>
      </c>
      <c r="BM74" s="77">
        <f t="shared" si="96"/>
        <v>0</v>
      </c>
      <c r="BN74" s="77">
        <f t="shared" si="97"/>
        <v>0</v>
      </c>
      <c r="BO74" s="77">
        <f>COUNTIF($D74:$Y74,BO$4)</f>
        <v>0</v>
      </c>
      <c r="BP74" s="107"/>
    </row>
    <row r="75" ht="31.5" customHeight="1" spans="1:68">
      <c r="A75" s="67"/>
      <c r="B75" s="74" t="s">
        <v>987</v>
      </c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107"/>
      <c r="R75" s="60"/>
      <c r="S75" s="60"/>
      <c r="T75" s="60"/>
      <c r="U75" s="114"/>
      <c r="V75" s="60"/>
      <c r="W75" s="60"/>
      <c r="X75" s="60"/>
      <c r="Y75" s="53"/>
      <c r="Z75" s="60"/>
      <c r="AA75" s="60"/>
      <c r="AB75" s="60"/>
      <c r="AC75" s="60"/>
      <c r="AD75" s="60"/>
      <c r="AE75" s="60"/>
      <c r="AF75" s="54"/>
      <c r="AG75" s="60"/>
      <c r="AH75" s="67">
        <f t="shared" ref="AH75:AP75" si="109">COUNTIF($C75:$AF75,AH$4)</f>
        <v>0</v>
      </c>
      <c r="AI75" s="67">
        <f t="shared" si="109"/>
        <v>0</v>
      </c>
      <c r="AJ75" s="67">
        <f t="shared" si="109"/>
        <v>0</v>
      </c>
      <c r="AK75" s="67">
        <f t="shared" si="109"/>
        <v>0</v>
      </c>
      <c r="AL75" s="67">
        <f t="shared" si="109"/>
        <v>0</v>
      </c>
      <c r="AM75" s="67">
        <f t="shared" si="109"/>
        <v>0</v>
      </c>
      <c r="AN75" s="67">
        <f t="shared" si="109"/>
        <v>0</v>
      </c>
      <c r="AO75" s="67">
        <f t="shared" si="109"/>
        <v>0</v>
      </c>
      <c r="AP75" s="67">
        <f t="shared" si="109"/>
        <v>0</v>
      </c>
      <c r="AQ75" s="76"/>
      <c r="AR75" s="76"/>
      <c r="AS75" s="77">
        <f>SUMPRODUCT(--(WEEKDAY(C$3:AG$3,2)&lt;5),--ISNUMBER(MATCH(C75:AG75,{"SB1","SB2"},0)))</f>
        <v>0</v>
      </c>
      <c r="AT75" s="67"/>
      <c r="AU75" s="77">
        <f>SUMPRODUCT(--(WEEKDAY(C$3:AG$3,2)=5),--ISNUMBER(MATCH(C75:AG75,{"SB1","SB2"},0)))</f>
        <v>0</v>
      </c>
      <c r="AV75" s="77">
        <f>SUMPRODUCT(--(WEEKDAY(C$3:AG$3,2)&gt;5),--ISNUMBER(MATCH(C75:AG75,{"SB1","SB2"},0)))</f>
        <v>0</v>
      </c>
      <c r="AW75" s="67"/>
      <c r="AX75" s="77">
        <f t="shared" si="89"/>
        <v>0</v>
      </c>
      <c r="AY75" s="77">
        <f t="shared" si="74"/>
        <v>0</v>
      </c>
      <c r="AZ75" s="77">
        <f t="shared" si="75"/>
        <v>0</v>
      </c>
      <c r="BA75" s="76">
        <f t="shared" si="76"/>
        <v>0</v>
      </c>
      <c r="BB75" s="77">
        <f t="shared" si="77"/>
        <v>0</v>
      </c>
      <c r="BC75" s="77">
        <f t="shared" si="78"/>
        <v>0</v>
      </c>
      <c r="BD75" s="77">
        <f t="shared" si="79"/>
        <v>0</v>
      </c>
      <c r="BE75" s="77">
        <f t="shared" si="80"/>
        <v>0</v>
      </c>
      <c r="BF75" s="77">
        <f t="shared" si="81"/>
        <v>0</v>
      </c>
      <c r="BG75" s="77">
        <f t="shared" si="82"/>
        <v>0</v>
      </c>
      <c r="BH75" s="77">
        <f t="shared" si="83"/>
        <v>0</v>
      </c>
      <c r="BI75" s="77">
        <f t="shared" si="84"/>
        <v>0</v>
      </c>
      <c r="BJ75" s="77">
        <f t="shared" si="85"/>
        <v>0</v>
      </c>
      <c r="BK75" s="77">
        <f t="shared" si="86"/>
        <v>0</v>
      </c>
      <c r="BL75" s="77">
        <f t="shared" si="87"/>
        <v>0</v>
      </c>
      <c r="BM75" s="77">
        <f>COUNTIF($D75:$Y75,BM$4)</f>
        <v>0</v>
      </c>
      <c r="BN75" s="77">
        <f>COUNTIF($D75:$Y75,BN$4)</f>
        <v>0</v>
      </c>
      <c r="BO75" s="77">
        <f>COUNTIF($D75:$Y75,BO$4)</f>
        <v>0</v>
      </c>
      <c r="BP75" s="67"/>
    </row>
    <row r="76" ht="31.5" customHeight="1" spans="1:68">
      <c r="A76" s="67"/>
      <c r="B76" s="74" t="s">
        <v>988</v>
      </c>
      <c r="C76" s="60" t="s">
        <v>409</v>
      </c>
      <c r="D76" s="60" t="s">
        <v>409</v>
      </c>
      <c r="E76" s="60" t="s">
        <v>409</v>
      </c>
      <c r="F76" s="60" t="s">
        <v>409</v>
      </c>
      <c r="G76" s="60" t="s">
        <v>409</v>
      </c>
      <c r="H76" s="60" t="s">
        <v>409</v>
      </c>
      <c r="I76" s="60" t="s">
        <v>409</v>
      </c>
      <c r="J76" s="60" t="s">
        <v>409</v>
      </c>
      <c r="K76" s="60" t="s">
        <v>409</v>
      </c>
      <c r="L76" s="60" t="s">
        <v>409</v>
      </c>
      <c r="M76" s="60" t="s">
        <v>409</v>
      </c>
      <c r="N76" s="60" t="s">
        <v>409</v>
      </c>
      <c r="O76" s="60" t="s">
        <v>409</v>
      </c>
      <c r="P76" s="60" t="s">
        <v>409</v>
      </c>
      <c r="Q76" s="60" t="s">
        <v>409</v>
      </c>
      <c r="R76" s="60" t="s">
        <v>409</v>
      </c>
      <c r="S76" s="60" t="s">
        <v>409</v>
      </c>
      <c r="T76" s="60" t="s">
        <v>409</v>
      </c>
      <c r="U76" s="60" t="s">
        <v>409</v>
      </c>
      <c r="V76" s="60" t="s">
        <v>409</v>
      </c>
      <c r="W76" s="60" t="s">
        <v>409</v>
      </c>
      <c r="X76" s="60" t="s">
        <v>409</v>
      </c>
      <c r="Y76" s="60" t="s">
        <v>409</v>
      </c>
      <c r="Z76" s="60" t="s">
        <v>409</v>
      </c>
      <c r="AA76" s="60" t="s">
        <v>409</v>
      </c>
      <c r="AB76" s="60" t="s">
        <v>409</v>
      </c>
      <c r="AC76" s="60" t="s">
        <v>409</v>
      </c>
      <c r="AD76" s="60" t="s">
        <v>409</v>
      </c>
      <c r="AE76" s="60" t="s">
        <v>409</v>
      </c>
      <c r="AF76" s="60" t="s">
        <v>409</v>
      </c>
      <c r="AG76" s="60" t="s">
        <v>409</v>
      </c>
      <c r="AH76" s="67">
        <f t="shared" ref="AH76:AP76" si="110">COUNTIF($C76:$AF76,AH$4)</f>
        <v>0</v>
      </c>
      <c r="AI76" s="67">
        <f t="shared" si="110"/>
        <v>0</v>
      </c>
      <c r="AJ76" s="67">
        <f t="shared" si="110"/>
        <v>0</v>
      </c>
      <c r="AK76" s="67">
        <f t="shared" si="110"/>
        <v>0</v>
      </c>
      <c r="AL76" s="67">
        <f t="shared" si="110"/>
        <v>0</v>
      </c>
      <c r="AM76" s="67">
        <f t="shared" si="110"/>
        <v>0</v>
      </c>
      <c r="AN76" s="67">
        <f t="shared" si="110"/>
        <v>0</v>
      </c>
      <c r="AO76" s="67">
        <f t="shared" si="110"/>
        <v>0</v>
      </c>
      <c r="AP76" s="67">
        <f t="shared" si="110"/>
        <v>0</v>
      </c>
      <c r="AQ76" s="76"/>
      <c r="AR76" s="76"/>
      <c r="AS76" s="77">
        <f>SUMPRODUCT(--(WEEKDAY(C$3:AG$3,2)&lt;5),--ISNUMBER(MATCH(C76:AG76,{"SB1","SB2"},0)))</f>
        <v>0</v>
      </c>
      <c r="AT76" s="67"/>
      <c r="AU76" s="77">
        <f>SUMPRODUCT(--(WEEKDAY(C$3:AG$3,2)=5),--ISNUMBER(MATCH(C76:AG76,{"SB1","SB2"},0)))</f>
        <v>0</v>
      </c>
      <c r="AV76" s="77">
        <f>SUMPRODUCT(--(WEEKDAY(C$3:AG$3,2)&gt;5),--ISNUMBER(MATCH(C76:AG76,{"SB1","SB2"},0)))</f>
        <v>0</v>
      </c>
      <c r="AW76" s="67"/>
      <c r="AX76" s="77">
        <f t="shared" si="89"/>
        <v>0</v>
      </c>
      <c r="AY76" s="77">
        <f t="shared" si="74"/>
        <v>0</v>
      </c>
      <c r="AZ76" s="77">
        <f t="shared" si="75"/>
        <v>0</v>
      </c>
      <c r="BA76" s="76">
        <f t="shared" si="76"/>
        <v>0</v>
      </c>
      <c r="BB76" s="77">
        <f t="shared" si="77"/>
        <v>0</v>
      </c>
      <c r="BC76" s="77">
        <f t="shared" si="78"/>
        <v>0</v>
      </c>
      <c r="BD76" s="77">
        <f t="shared" si="79"/>
        <v>0</v>
      </c>
      <c r="BE76" s="77">
        <f t="shared" si="80"/>
        <v>0</v>
      </c>
      <c r="BF76" s="77">
        <f t="shared" si="81"/>
        <v>0</v>
      </c>
      <c r="BG76" s="77">
        <f t="shared" si="82"/>
        <v>0</v>
      </c>
      <c r="BH76" s="77">
        <f t="shared" si="83"/>
        <v>0</v>
      </c>
      <c r="BI76" s="77">
        <f t="shared" si="84"/>
        <v>0</v>
      </c>
      <c r="BJ76" s="77">
        <f t="shared" si="85"/>
        <v>0</v>
      </c>
      <c r="BK76" s="77">
        <f t="shared" si="86"/>
        <v>0</v>
      </c>
      <c r="BL76" s="77">
        <f t="shared" si="87"/>
        <v>0</v>
      </c>
      <c r="BM76" s="77">
        <f>COUNTIF($D76:$Y76,BM$4)</f>
        <v>0</v>
      </c>
      <c r="BN76" s="77">
        <f>COUNTIF($D76:$Y76,BN$4)</f>
        <v>0</v>
      </c>
      <c r="BO76" s="77">
        <f>COUNTIF($D76:$Y76,BO$4)</f>
        <v>0</v>
      </c>
      <c r="BP76" s="67"/>
    </row>
    <row r="77" ht="19.5" customHeight="1" spans="1:68">
      <c r="A77" s="67"/>
      <c r="B77" s="115" t="s">
        <v>1022</v>
      </c>
      <c r="C77" s="116"/>
      <c r="D77" s="53"/>
      <c r="E77" s="85"/>
      <c r="F77" s="85"/>
      <c r="G77" s="85"/>
      <c r="H77" s="85"/>
      <c r="I77" s="53"/>
      <c r="J77" s="85"/>
      <c r="K77" s="53"/>
      <c r="L77" s="53"/>
      <c r="M77" s="60"/>
      <c r="N77" s="85"/>
      <c r="O77" s="53"/>
      <c r="P77" s="53"/>
      <c r="Q77" s="53"/>
      <c r="R77" s="53"/>
      <c r="S77" s="53"/>
      <c r="T77" s="53"/>
      <c r="U77" s="117"/>
      <c r="V77" s="118"/>
      <c r="W77" s="53"/>
      <c r="X77" s="85" t="s">
        <v>1023</v>
      </c>
      <c r="Y77" s="53"/>
      <c r="Z77" s="53"/>
      <c r="AA77" s="53"/>
      <c r="AB77" s="53"/>
      <c r="AC77" s="53"/>
      <c r="AD77" s="53"/>
      <c r="AE77" s="53"/>
      <c r="AF77" s="53"/>
      <c r="AG77" s="53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77"/>
      <c r="AT77" s="67"/>
      <c r="AU77" s="67"/>
      <c r="AV77" s="77"/>
      <c r="AW77" s="67"/>
      <c r="AX77" s="6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67"/>
      <c r="BN77" s="67"/>
      <c r="BO77" s="67"/>
      <c r="BP77" s="67"/>
    </row>
    <row r="78" ht="19.5" customHeight="1" spans="1:68">
      <c r="A78" s="67"/>
      <c r="B78" s="115" t="s">
        <v>667</v>
      </c>
      <c r="C78" s="119"/>
      <c r="D78" s="120"/>
      <c r="E78" s="120"/>
      <c r="F78" s="120"/>
      <c r="G78" s="120"/>
      <c r="H78" s="120"/>
      <c r="I78" s="120"/>
      <c r="J78" s="120"/>
      <c r="K78" s="120"/>
      <c r="L78" s="120"/>
      <c r="M78" s="60"/>
      <c r="N78" s="120"/>
      <c r="O78" s="120"/>
      <c r="P78" s="120"/>
      <c r="Q78" s="60"/>
      <c r="R78" s="60"/>
      <c r="S78" s="120"/>
      <c r="T78" s="60"/>
      <c r="U78" s="121" t="s">
        <v>700</v>
      </c>
      <c r="V78" s="122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77"/>
      <c r="AT78" s="67"/>
      <c r="AU78" s="67"/>
      <c r="AV78" s="77"/>
      <c r="AW78" s="67"/>
      <c r="AX78" s="6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67"/>
      <c r="BN78" s="67"/>
      <c r="BO78" s="67"/>
      <c r="BP78" s="67"/>
    </row>
    <row r="79" ht="19.5" customHeight="1" spans="1:68">
      <c r="A79" s="67"/>
      <c r="B79" s="115" t="s">
        <v>668</v>
      </c>
      <c r="C79" s="119"/>
      <c r="D79" s="120"/>
      <c r="E79" s="120"/>
      <c r="F79" s="120"/>
      <c r="G79" s="120"/>
      <c r="H79" s="120"/>
      <c r="I79" s="120"/>
      <c r="J79" s="120"/>
      <c r="K79" s="120"/>
      <c r="L79" s="120"/>
      <c r="M79" s="60"/>
      <c r="N79" s="120"/>
      <c r="O79" s="120"/>
      <c r="P79" s="120"/>
      <c r="Q79" s="60"/>
      <c r="R79" s="60"/>
      <c r="S79" s="120"/>
      <c r="T79" s="60"/>
      <c r="U79" s="121"/>
      <c r="V79" s="122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77"/>
      <c r="AT79" s="67"/>
      <c r="AU79" s="67"/>
      <c r="AV79" s="77"/>
      <c r="AW79" s="67"/>
      <c r="AX79" s="6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67"/>
      <c r="BN79" s="67"/>
      <c r="BO79" s="67"/>
      <c r="BP79" s="67"/>
    </row>
    <row r="80" ht="19.5" customHeight="1" spans="1:68">
      <c r="A80" s="67"/>
      <c r="B80" s="105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3"/>
      <c r="AF80" s="123"/>
      <c r="AG80" s="123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>
        <f>SUMPRODUCT(--WEEKDAY(C$3:AF$3,2)&gt;5,--((C80:AF80="DM"))+(C80:AF80="CS1")+((C80:AF80="CS2"))+(C80:AF80="SB1")+(C80:AF80="AE")+(C80:AF80="EM"))</f>
        <v>0</v>
      </c>
      <c r="AW80" s="105"/>
      <c r="AX80" s="105">
        <f>(AS80-AT80)/2+(AV80-AW80)</f>
        <v>0</v>
      </c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/>
      <c r="BN80" s="105"/>
      <c r="BO80" s="105"/>
      <c r="BP80" s="105"/>
    </row>
    <row r="81" ht="19.5" customHeight="1" spans="1:68">
      <c r="A81" s="67"/>
      <c r="B81" s="124" t="s">
        <v>57</v>
      </c>
      <c r="C81" s="125" t="e">
        <f t="shared" ref="C81:AG81" si="111">INDEX($B$57:$B$74,MATCH($B81,C$57:C$76,0))</f>
        <v>#N/A</v>
      </c>
      <c r="D81" s="125" t="e">
        <f t="shared" si="111"/>
        <v>#N/A</v>
      </c>
      <c r="E81" s="125" t="e">
        <f t="shared" si="111"/>
        <v>#N/A</v>
      </c>
      <c r="F81" s="125" t="e">
        <f t="shared" si="111"/>
        <v>#N/A</v>
      </c>
      <c r="G81" s="125" t="e">
        <f t="shared" si="111"/>
        <v>#N/A</v>
      </c>
      <c r="H81" s="125" t="e">
        <f t="shared" si="111"/>
        <v>#N/A</v>
      </c>
      <c r="I81" s="125" t="e">
        <f t="shared" si="111"/>
        <v>#N/A</v>
      </c>
      <c r="J81" s="125" t="e">
        <f t="shared" si="111"/>
        <v>#N/A</v>
      </c>
      <c r="K81" s="125" t="e">
        <f t="shared" si="111"/>
        <v>#N/A</v>
      </c>
      <c r="L81" s="125" t="e">
        <f t="shared" si="111"/>
        <v>#N/A</v>
      </c>
      <c r="M81" s="125" t="e">
        <f t="shared" si="111"/>
        <v>#N/A</v>
      </c>
      <c r="N81" s="125" t="e">
        <f t="shared" si="111"/>
        <v>#N/A</v>
      </c>
      <c r="O81" s="125" t="e">
        <f t="shared" si="111"/>
        <v>#N/A</v>
      </c>
      <c r="P81" s="125" t="e">
        <f t="shared" si="111"/>
        <v>#N/A</v>
      </c>
      <c r="Q81" s="125" t="e">
        <f t="shared" si="111"/>
        <v>#N/A</v>
      </c>
      <c r="R81" s="125" t="e">
        <f t="shared" si="111"/>
        <v>#N/A</v>
      </c>
      <c r="S81" s="125" t="e">
        <f t="shared" si="111"/>
        <v>#N/A</v>
      </c>
      <c r="T81" s="125" t="e">
        <f t="shared" si="111"/>
        <v>#N/A</v>
      </c>
      <c r="U81" s="125" t="e">
        <f t="shared" si="111"/>
        <v>#N/A</v>
      </c>
      <c r="V81" s="125" t="e">
        <f t="shared" si="111"/>
        <v>#N/A</v>
      </c>
      <c r="W81" s="125" t="e">
        <f t="shared" si="111"/>
        <v>#N/A</v>
      </c>
      <c r="X81" s="125" t="e">
        <f t="shared" si="111"/>
        <v>#N/A</v>
      </c>
      <c r="Y81" s="125" t="e">
        <f t="shared" si="111"/>
        <v>#N/A</v>
      </c>
      <c r="Z81" s="125" t="e">
        <f t="shared" si="111"/>
        <v>#N/A</v>
      </c>
      <c r="AA81" s="125" t="e">
        <f t="shared" si="111"/>
        <v>#N/A</v>
      </c>
      <c r="AB81" s="125" t="e">
        <f t="shared" si="111"/>
        <v>#N/A</v>
      </c>
      <c r="AC81" s="125" t="e">
        <f t="shared" si="111"/>
        <v>#N/A</v>
      </c>
      <c r="AD81" s="125" t="e">
        <f t="shared" si="111"/>
        <v>#N/A</v>
      </c>
      <c r="AE81" s="125" t="e">
        <f t="shared" si="111"/>
        <v>#N/A</v>
      </c>
      <c r="AF81" s="125" t="e">
        <f t="shared" si="111"/>
        <v>#N/A</v>
      </c>
      <c r="AG81" s="125" t="e">
        <f t="shared" si="111"/>
        <v>#N/A</v>
      </c>
      <c r="AH81" s="67"/>
      <c r="AI81" s="67"/>
      <c r="AJ81" s="67"/>
      <c r="AK81" s="6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</row>
    <row r="82" ht="19.5" customHeight="1" spans="1:68">
      <c r="A82" s="67"/>
      <c r="B82" s="126" t="s">
        <v>56</v>
      </c>
      <c r="C82" s="125" t="e">
        <f t="shared" ref="C82:AG82" si="112">INDEX($B$57:$B$74,MATCH($B82,C$57:C$76,0))</f>
        <v>#N/A</v>
      </c>
      <c r="D82" s="125" t="e">
        <f t="shared" si="112"/>
        <v>#N/A</v>
      </c>
      <c r="E82" s="125" t="e">
        <f t="shared" si="112"/>
        <v>#N/A</v>
      </c>
      <c r="F82" s="125" t="e">
        <f t="shared" si="112"/>
        <v>#N/A</v>
      </c>
      <c r="G82" s="125" t="e">
        <f t="shared" si="112"/>
        <v>#N/A</v>
      </c>
      <c r="H82" s="125" t="e">
        <f t="shared" si="112"/>
        <v>#N/A</v>
      </c>
      <c r="I82" s="125" t="e">
        <f t="shared" si="112"/>
        <v>#N/A</v>
      </c>
      <c r="J82" s="125" t="e">
        <f t="shared" si="112"/>
        <v>#N/A</v>
      </c>
      <c r="K82" s="125" t="e">
        <f t="shared" si="112"/>
        <v>#N/A</v>
      </c>
      <c r="L82" s="125" t="e">
        <f t="shared" si="112"/>
        <v>#N/A</v>
      </c>
      <c r="M82" s="125" t="e">
        <f t="shared" si="112"/>
        <v>#N/A</v>
      </c>
      <c r="N82" s="125" t="e">
        <f t="shared" si="112"/>
        <v>#N/A</v>
      </c>
      <c r="O82" s="125" t="e">
        <f t="shared" si="112"/>
        <v>#N/A</v>
      </c>
      <c r="P82" s="125" t="e">
        <f t="shared" si="112"/>
        <v>#N/A</v>
      </c>
      <c r="Q82" s="125" t="e">
        <f t="shared" si="112"/>
        <v>#N/A</v>
      </c>
      <c r="R82" s="125" t="e">
        <f t="shared" si="112"/>
        <v>#N/A</v>
      </c>
      <c r="S82" s="125" t="e">
        <f t="shared" si="112"/>
        <v>#N/A</v>
      </c>
      <c r="T82" s="125" t="e">
        <f t="shared" si="112"/>
        <v>#N/A</v>
      </c>
      <c r="U82" s="125" t="e">
        <f t="shared" si="112"/>
        <v>#N/A</v>
      </c>
      <c r="V82" s="125" t="e">
        <f t="shared" si="112"/>
        <v>#N/A</v>
      </c>
      <c r="W82" s="125" t="e">
        <f t="shared" si="112"/>
        <v>#N/A</v>
      </c>
      <c r="X82" s="125" t="e">
        <f t="shared" si="112"/>
        <v>#N/A</v>
      </c>
      <c r="Y82" s="125" t="e">
        <f t="shared" si="112"/>
        <v>#N/A</v>
      </c>
      <c r="Z82" s="125" t="e">
        <f t="shared" si="112"/>
        <v>#N/A</v>
      </c>
      <c r="AA82" s="125" t="e">
        <f t="shared" si="112"/>
        <v>#N/A</v>
      </c>
      <c r="AB82" s="125" t="e">
        <f t="shared" si="112"/>
        <v>#N/A</v>
      </c>
      <c r="AC82" s="125" t="e">
        <f t="shared" si="112"/>
        <v>#N/A</v>
      </c>
      <c r="AD82" s="125" t="e">
        <f t="shared" si="112"/>
        <v>#N/A</v>
      </c>
      <c r="AE82" s="125" t="e">
        <f t="shared" si="112"/>
        <v>#N/A</v>
      </c>
      <c r="AF82" s="125" t="e">
        <f t="shared" si="112"/>
        <v>#N/A</v>
      </c>
      <c r="AG82" s="125" t="e">
        <f t="shared" si="112"/>
        <v>#N/A</v>
      </c>
      <c r="AH82" s="67"/>
      <c r="AI82" s="67"/>
      <c r="AJ82" s="67"/>
      <c r="AK82" s="67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</row>
    <row r="83" ht="19.5" customHeight="1" spans="1:68">
      <c r="A83" s="67"/>
      <c r="B83" s="127" t="s">
        <v>58</v>
      </c>
      <c r="C83" s="125" t="e">
        <f t="shared" ref="C83:AG83" si="113">INDEX($B$57:$B$74,MATCH($B83,C$57:C$76,0))</f>
        <v>#N/A</v>
      </c>
      <c r="D83" s="125" t="e">
        <f t="shared" si="113"/>
        <v>#N/A</v>
      </c>
      <c r="E83" s="125" t="e">
        <f t="shared" si="113"/>
        <v>#N/A</v>
      </c>
      <c r="F83" s="125" t="e">
        <f t="shared" si="113"/>
        <v>#N/A</v>
      </c>
      <c r="G83" s="125" t="e">
        <f t="shared" si="113"/>
        <v>#N/A</v>
      </c>
      <c r="H83" s="125" t="e">
        <f t="shared" si="113"/>
        <v>#N/A</v>
      </c>
      <c r="I83" s="125" t="e">
        <f t="shared" si="113"/>
        <v>#N/A</v>
      </c>
      <c r="J83" s="125" t="e">
        <f t="shared" si="113"/>
        <v>#N/A</v>
      </c>
      <c r="K83" s="125" t="e">
        <f t="shared" si="113"/>
        <v>#N/A</v>
      </c>
      <c r="L83" s="125" t="e">
        <f t="shared" si="113"/>
        <v>#N/A</v>
      </c>
      <c r="M83" s="125" t="e">
        <f t="shared" si="113"/>
        <v>#N/A</v>
      </c>
      <c r="N83" s="125" t="e">
        <f t="shared" si="113"/>
        <v>#N/A</v>
      </c>
      <c r="O83" s="125" t="e">
        <f t="shared" si="113"/>
        <v>#N/A</v>
      </c>
      <c r="P83" s="125" t="e">
        <f t="shared" si="113"/>
        <v>#N/A</v>
      </c>
      <c r="Q83" s="125" t="e">
        <f t="shared" si="113"/>
        <v>#N/A</v>
      </c>
      <c r="R83" s="125" t="e">
        <f t="shared" si="113"/>
        <v>#N/A</v>
      </c>
      <c r="S83" s="125" t="e">
        <f t="shared" si="113"/>
        <v>#N/A</v>
      </c>
      <c r="T83" s="125" t="e">
        <f t="shared" si="113"/>
        <v>#N/A</v>
      </c>
      <c r="U83" s="125" t="e">
        <f t="shared" si="113"/>
        <v>#N/A</v>
      </c>
      <c r="V83" s="125" t="e">
        <f t="shared" si="113"/>
        <v>#N/A</v>
      </c>
      <c r="W83" s="125" t="e">
        <f t="shared" si="113"/>
        <v>#N/A</v>
      </c>
      <c r="X83" s="125" t="e">
        <f t="shared" si="113"/>
        <v>#N/A</v>
      </c>
      <c r="Y83" s="125" t="e">
        <f t="shared" si="113"/>
        <v>#N/A</v>
      </c>
      <c r="Z83" s="125" t="e">
        <f t="shared" si="113"/>
        <v>#N/A</v>
      </c>
      <c r="AA83" s="125" t="e">
        <f t="shared" si="113"/>
        <v>#N/A</v>
      </c>
      <c r="AB83" s="125" t="e">
        <f t="shared" si="113"/>
        <v>#N/A</v>
      </c>
      <c r="AC83" s="125" t="e">
        <f t="shared" si="113"/>
        <v>#N/A</v>
      </c>
      <c r="AD83" s="125" t="e">
        <f t="shared" si="113"/>
        <v>#N/A</v>
      </c>
      <c r="AE83" s="125" t="e">
        <f t="shared" si="113"/>
        <v>#N/A</v>
      </c>
      <c r="AF83" s="125" t="e">
        <f t="shared" si="113"/>
        <v>#N/A</v>
      </c>
      <c r="AG83" s="125" t="e">
        <f t="shared" si="113"/>
        <v>#N/A</v>
      </c>
      <c r="AH83" s="67"/>
      <c r="AI83" s="67"/>
      <c r="AJ83" s="67"/>
      <c r="AK83" s="6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</row>
    <row r="84" ht="12.75" spans="1:68">
      <c r="A84" s="67"/>
      <c r="B84" s="128" t="s">
        <v>93</v>
      </c>
      <c r="C84" s="125" t="e">
        <f t="shared" ref="C84:AG84" si="114">INDEX($B$57:$B$74,MATCH($B84,C$57:C$76,0))</f>
        <v>#N/A</v>
      </c>
      <c r="D84" s="125" t="e">
        <f t="shared" si="114"/>
        <v>#N/A</v>
      </c>
      <c r="E84" s="125" t="e">
        <f t="shared" si="114"/>
        <v>#N/A</v>
      </c>
      <c r="F84" s="125" t="e">
        <f t="shared" si="114"/>
        <v>#N/A</v>
      </c>
      <c r="G84" s="125" t="e">
        <f t="shared" si="114"/>
        <v>#N/A</v>
      </c>
      <c r="H84" s="125" t="e">
        <f t="shared" si="114"/>
        <v>#N/A</v>
      </c>
      <c r="I84" s="125" t="e">
        <f t="shared" si="114"/>
        <v>#N/A</v>
      </c>
      <c r="J84" s="125" t="e">
        <f t="shared" si="114"/>
        <v>#N/A</v>
      </c>
      <c r="K84" s="125" t="e">
        <f t="shared" si="114"/>
        <v>#N/A</v>
      </c>
      <c r="L84" s="125" t="e">
        <f t="shared" si="114"/>
        <v>#N/A</v>
      </c>
      <c r="M84" s="125" t="e">
        <f t="shared" si="114"/>
        <v>#N/A</v>
      </c>
      <c r="N84" s="125" t="e">
        <f t="shared" si="114"/>
        <v>#N/A</v>
      </c>
      <c r="O84" s="125" t="e">
        <f t="shared" si="114"/>
        <v>#N/A</v>
      </c>
      <c r="P84" s="125" t="e">
        <f t="shared" si="114"/>
        <v>#N/A</v>
      </c>
      <c r="Q84" s="125" t="e">
        <f t="shared" si="114"/>
        <v>#N/A</v>
      </c>
      <c r="R84" s="125" t="e">
        <f t="shared" si="114"/>
        <v>#N/A</v>
      </c>
      <c r="S84" s="125" t="e">
        <f t="shared" si="114"/>
        <v>#N/A</v>
      </c>
      <c r="T84" s="125" t="e">
        <f t="shared" si="114"/>
        <v>#N/A</v>
      </c>
      <c r="U84" s="125" t="e">
        <f t="shared" si="114"/>
        <v>#N/A</v>
      </c>
      <c r="V84" s="125" t="e">
        <f t="shared" si="114"/>
        <v>#N/A</v>
      </c>
      <c r="W84" s="125" t="e">
        <f t="shared" si="114"/>
        <v>#N/A</v>
      </c>
      <c r="X84" s="125" t="e">
        <f t="shared" si="114"/>
        <v>#N/A</v>
      </c>
      <c r="Y84" s="125" t="e">
        <f t="shared" si="114"/>
        <v>#N/A</v>
      </c>
      <c r="Z84" s="125" t="e">
        <f t="shared" si="114"/>
        <v>#N/A</v>
      </c>
      <c r="AA84" s="125" t="e">
        <f t="shared" si="114"/>
        <v>#N/A</v>
      </c>
      <c r="AB84" s="125" t="e">
        <f t="shared" si="114"/>
        <v>#N/A</v>
      </c>
      <c r="AC84" s="125" t="e">
        <f t="shared" si="114"/>
        <v>#N/A</v>
      </c>
      <c r="AD84" s="125" t="e">
        <f t="shared" si="114"/>
        <v>#N/A</v>
      </c>
      <c r="AE84" s="125" t="e">
        <f t="shared" si="114"/>
        <v>#N/A</v>
      </c>
      <c r="AF84" s="125" t="e">
        <f t="shared" si="114"/>
        <v>#N/A</v>
      </c>
      <c r="AG84" s="125" t="e">
        <f t="shared" si="114"/>
        <v>#N/A</v>
      </c>
      <c r="AH84" s="67"/>
      <c r="AI84" s="67"/>
      <c r="AJ84" s="67"/>
      <c r="AK84" s="67"/>
      <c r="AL84" s="77"/>
      <c r="AM84" s="77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7"/>
      <c r="BN84" s="77"/>
      <c r="BO84" s="77"/>
      <c r="BP84" s="77"/>
    </row>
    <row r="85" ht="19.5" customHeight="1" spans="1:68">
      <c r="A85" s="67"/>
      <c r="B85" s="129" t="s">
        <v>65</v>
      </c>
      <c r="C85" s="125" t="e">
        <f t="shared" ref="C85:AG85" si="115">INDEX($B$57:$B$74,MATCH($B85,C$57:C$76,0))</f>
        <v>#N/A</v>
      </c>
      <c r="D85" s="125" t="e">
        <f t="shared" si="115"/>
        <v>#N/A</v>
      </c>
      <c r="E85" s="125" t="e">
        <f t="shared" si="115"/>
        <v>#N/A</v>
      </c>
      <c r="F85" s="125" t="e">
        <f t="shared" si="115"/>
        <v>#N/A</v>
      </c>
      <c r="G85" s="125" t="e">
        <f t="shared" si="115"/>
        <v>#N/A</v>
      </c>
      <c r="H85" s="125" t="e">
        <f t="shared" si="115"/>
        <v>#N/A</v>
      </c>
      <c r="I85" s="125" t="e">
        <f t="shared" si="115"/>
        <v>#N/A</v>
      </c>
      <c r="J85" s="125" t="e">
        <f t="shared" si="115"/>
        <v>#N/A</v>
      </c>
      <c r="K85" s="125" t="e">
        <f t="shared" si="115"/>
        <v>#N/A</v>
      </c>
      <c r="L85" s="125" t="e">
        <f t="shared" si="115"/>
        <v>#N/A</v>
      </c>
      <c r="M85" s="125" t="e">
        <f t="shared" si="115"/>
        <v>#N/A</v>
      </c>
      <c r="N85" s="125" t="e">
        <f t="shared" si="115"/>
        <v>#N/A</v>
      </c>
      <c r="O85" s="125" t="e">
        <f t="shared" si="115"/>
        <v>#N/A</v>
      </c>
      <c r="P85" s="125" t="e">
        <f t="shared" si="115"/>
        <v>#N/A</v>
      </c>
      <c r="Q85" s="125" t="e">
        <f t="shared" si="115"/>
        <v>#N/A</v>
      </c>
      <c r="R85" s="125" t="e">
        <f t="shared" si="115"/>
        <v>#N/A</v>
      </c>
      <c r="S85" s="125" t="e">
        <f t="shared" si="115"/>
        <v>#N/A</v>
      </c>
      <c r="T85" s="125" t="e">
        <f t="shared" si="115"/>
        <v>#N/A</v>
      </c>
      <c r="U85" s="125" t="e">
        <f t="shared" si="115"/>
        <v>#N/A</v>
      </c>
      <c r="V85" s="125" t="e">
        <f t="shared" si="115"/>
        <v>#N/A</v>
      </c>
      <c r="W85" s="125" t="e">
        <f t="shared" si="115"/>
        <v>#N/A</v>
      </c>
      <c r="X85" s="125" t="e">
        <f t="shared" si="115"/>
        <v>#N/A</v>
      </c>
      <c r="Y85" s="125" t="e">
        <f t="shared" si="115"/>
        <v>#N/A</v>
      </c>
      <c r="Z85" s="125" t="e">
        <f t="shared" si="115"/>
        <v>#N/A</v>
      </c>
      <c r="AA85" s="125" t="e">
        <f t="shared" si="115"/>
        <v>#N/A</v>
      </c>
      <c r="AB85" s="125" t="e">
        <f t="shared" si="115"/>
        <v>#N/A</v>
      </c>
      <c r="AC85" s="125" t="e">
        <f t="shared" si="115"/>
        <v>#N/A</v>
      </c>
      <c r="AD85" s="125" t="e">
        <f t="shared" si="115"/>
        <v>#N/A</v>
      </c>
      <c r="AE85" s="125" t="e">
        <f t="shared" si="115"/>
        <v>#N/A</v>
      </c>
      <c r="AF85" s="125" t="e">
        <f t="shared" si="115"/>
        <v>#N/A</v>
      </c>
      <c r="AG85" s="125" t="e">
        <f t="shared" si="115"/>
        <v>#N/A</v>
      </c>
      <c r="AH85" s="67"/>
      <c r="AI85" s="67"/>
      <c r="AJ85" s="67"/>
      <c r="AK85" s="67"/>
      <c r="AL85" s="77"/>
      <c r="AM85" s="77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</row>
    <row r="86" ht="19.5" customHeight="1" spans="1:68">
      <c r="A86" s="67"/>
      <c r="B86" s="60" t="s">
        <v>350</v>
      </c>
      <c r="C86" s="60" t="e">
        <f t="shared" ref="C86:AG86" si="116">INDEX($B$57:$B$74,MATCH($B86,C$57:C$76,0))</f>
        <v>#N/A</v>
      </c>
      <c r="D86" s="60" t="e">
        <f t="shared" si="116"/>
        <v>#N/A</v>
      </c>
      <c r="E86" s="60" t="e">
        <f t="shared" si="116"/>
        <v>#N/A</v>
      </c>
      <c r="F86" s="60" t="e">
        <f t="shared" si="116"/>
        <v>#N/A</v>
      </c>
      <c r="G86" s="60" t="e">
        <f t="shared" si="116"/>
        <v>#N/A</v>
      </c>
      <c r="H86" s="60" t="e">
        <f t="shared" si="116"/>
        <v>#N/A</v>
      </c>
      <c r="I86" s="60" t="e">
        <f t="shared" si="116"/>
        <v>#N/A</v>
      </c>
      <c r="J86" s="60" t="e">
        <f t="shared" si="116"/>
        <v>#N/A</v>
      </c>
      <c r="K86" s="60" t="e">
        <f t="shared" si="116"/>
        <v>#N/A</v>
      </c>
      <c r="L86" s="60" t="e">
        <f t="shared" si="116"/>
        <v>#N/A</v>
      </c>
      <c r="M86" s="60" t="e">
        <f t="shared" si="116"/>
        <v>#N/A</v>
      </c>
      <c r="N86" s="60" t="e">
        <f t="shared" si="116"/>
        <v>#N/A</v>
      </c>
      <c r="O86" s="60" t="e">
        <f t="shared" si="116"/>
        <v>#N/A</v>
      </c>
      <c r="P86" s="60" t="e">
        <f t="shared" si="116"/>
        <v>#N/A</v>
      </c>
      <c r="Q86" s="60" t="e">
        <f t="shared" si="116"/>
        <v>#N/A</v>
      </c>
      <c r="R86" s="60" t="e">
        <f t="shared" si="116"/>
        <v>#N/A</v>
      </c>
      <c r="S86" s="60" t="e">
        <f t="shared" si="116"/>
        <v>#N/A</v>
      </c>
      <c r="T86" s="60" t="e">
        <f t="shared" si="116"/>
        <v>#N/A</v>
      </c>
      <c r="U86" s="60" t="e">
        <f t="shared" si="116"/>
        <v>#N/A</v>
      </c>
      <c r="V86" s="60" t="e">
        <f t="shared" si="116"/>
        <v>#N/A</v>
      </c>
      <c r="W86" s="60" t="e">
        <f t="shared" si="116"/>
        <v>#N/A</v>
      </c>
      <c r="X86" s="60" t="e">
        <f t="shared" si="116"/>
        <v>#N/A</v>
      </c>
      <c r="Y86" s="60" t="e">
        <f t="shared" si="116"/>
        <v>#N/A</v>
      </c>
      <c r="Z86" s="60" t="e">
        <f t="shared" si="116"/>
        <v>#N/A</v>
      </c>
      <c r="AA86" s="60" t="e">
        <f t="shared" si="116"/>
        <v>#N/A</v>
      </c>
      <c r="AB86" s="60" t="e">
        <f t="shared" si="116"/>
        <v>#N/A</v>
      </c>
      <c r="AC86" s="60" t="e">
        <f t="shared" si="116"/>
        <v>#N/A</v>
      </c>
      <c r="AD86" s="60" t="e">
        <f t="shared" si="116"/>
        <v>#N/A</v>
      </c>
      <c r="AE86" s="60" t="e">
        <f t="shared" si="116"/>
        <v>#N/A</v>
      </c>
      <c r="AF86" s="60" t="e">
        <f t="shared" si="116"/>
        <v>#N/A</v>
      </c>
      <c r="AG86" s="60" t="e">
        <f t="shared" si="116"/>
        <v>#N/A</v>
      </c>
      <c r="AH86" s="67"/>
      <c r="AI86" s="67"/>
      <c r="AJ86" s="67"/>
      <c r="AK86" s="67"/>
      <c r="AL86" s="77"/>
      <c r="AM86" s="77"/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</row>
    <row r="87" ht="19.5" customHeight="1" spans="1:68">
      <c r="A87" s="67"/>
      <c r="B87" s="60" t="s">
        <v>755</v>
      </c>
      <c r="C87" s="60">
        <f>COUNTIF(C57:C74,"DM")</f>
        <v>0</v>
      </c>
      <c r="D87" s="60">
        <f>COUNTIF(D2:D74,"DM")</f>
        <v>2</v>
      </c>
      <c r="E87" s="60">
        <f>COUNTIF(E2:E74,"DM")</f>
        <v>2</v>
      </c>
      <c r="F87" s="60">
        <f t="shared" ref="F87:AG87" si="117">COUNTIF(F57:F74,"DM")</f>
        <v>0</v>
      </c>
      <c r="G87" s="60">
        <f t="shared" si="117"/>
        <v>0</v>
      </c>
      <c r="H87" s="60">
        <f t="shared" si="117"/>
        <v>0</v>
      </c>
      <c r="I87" s="60">
        <f t="shared" si="117"/>
        <v>0</v>
      </c>
      <c r="J87" s="60">
        <f t="shared" si="117"/>
        <v>0</v>
      </c>
      <c r="K87" s="60">
        <f t="shared" si="117"/>
        <v>0</v>
      </c>
      <c r="L87" s="60">
        <f t="shared" si="117"/>
        <v>0</v>
      </c>
      <c r="M87" s="60">
        <f t="shared" si="117"/>
        <v>0</v>
      </c>
      <c r="N87" s="60">
        <f t="shared" si="117"/>
        <v>0</v>
      </c>
      <c r="O87" s="60">
        <f t="shared" si="117"/>
        <v>0</v>
      </c>
      <c r="P87" s="60">
        <f t="shared" si="117"/>
        <v>0</v>
      </c>
      <c r="Q87" s="60">
        <f t="shared" si="117"/>
        <v>0</v>
      </c>
      <c r="R87" s="60">
        <f t="shared" si="117"/>
        <v>0</v>
      </c>
      <c r="S87" s="60">
        <f t="shared" si="117"/>
        <v>0</v>
      </c>
      <c r="T87" s="60">
        <f t="shared" si="117"/>
        <v>0</v>
      </c>
      <c r="U87" s="60">
        <f t="shared" si="117"/>
        <v>0</v>
      </c>
      <c r="V87" s="60">
        <f t="shared" si="117"/>
        <v>0</v>
      </c>
      <c r="W87" s="60">
        <f t="shared" si="117"/>
        <v>0</v>
      </c>
      <c r="X87" s="60">
        <f t="shared" si="117"/>
        <v>0</v>
      </c>
      <c r="Y87" s="60">
        <f t="shared" si="117"/>
        <v>0</v>
      </c>
      <c r="Z87" s="60">
        <f t="shared" si="117"/>
        <v>0</v>
      </c>
      <c r="AA87" s="60">
        <f t="shared" si="117"/>
        <v>0</v>
      </c>
      <c r="AB87" s="60">
        <f t="shared" si="117"/>
        <v>0</v>
      </c>
      <c r="AC87" s="60">
        <f t="shared" si="117"/>
        <v>0</v>
      </c>
      <c r="AD87" s="60">
        <f t="shared" si="117"/>
        <v>0</v>
      </c>
      <c r="AE87" s="60">
        <f t="shared" si="117"/>
        <v>0</v>
      </c>
      <c r="AF87" s="60">
        <f t="shared" si="117"/>
        <v>0</v>
      </c>
      <c r="AG87" s="60">
        <f t="shared" si="117"/>
        <v>0</v>
      </c>
      <c r="AH87" s="67"/>
      <c r="AI87" s="67"/>
      <c r="AJ87" s="67"/>
      <c r="AK87" s="6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</row>
    <row r="88" ht="19.5" customHeight="1" spans="1:68">
      <c r="A88" s="67"/>
      <c r="B88" s="60" t="s">
        <v>861</v>
      </c>
      <c r="C88" s="60">
        <f>COUNTIF(C57:C74,"SB1")+COUNTIF(C57:C74,"SB2")</f>
        <v>0</v>
      </c>
      <c r="D88" s="60">
        <f>COUNTIF(D2:D74,"SB1")+COUNTIF(D2:D74,"SB2")</f>
        <v>1</v>
      </c>
      <c r="E88" s="60">
        <f>COUNTIF(E2:E74,"SB1")+COUNTIF(E2:E74,"SB2")</f>
        <v>2</v>
      </c>
      <c r="F88" s="60">
        <f t="shared" ref="F88:AG88" si="118">COUNTIF(F57:F74,"SB1")+COUNTIF(F57:F74,"SB2")</f>
        <v>0</v>
      </c>
      <c r="G88" s="60">
        <f t="shared" si="118"/>
        <v>0</v>
      </c>
      <c r="H88" s="60">
        <f t="shared" si="118"/>
        <v>0</v>
      </c>
      <c r="I88" s="60">
        <f t="shared" si="118"/>
        <v>0</v>
      </c>
      <c r="J88" s="60">
        <f t="shared" si="118"/>
        <v>0</v>
      </c>
      <c r="K88" s="60">
        <f t="shared" si="118"/>
        <v>0</v>
      </c>
      <c r="L88" s="60">
        <f t="shared" si="118"/>
        <v>0</v>
      </c>
      <c r="M88" s="60">
        <f t="shared" si="118"/>
        <v>0</v>
      </c>
      <c r="N88" s="60">
        <f t="shared" si="118"/>
        <v>0</v>
      </c>
      <c r="O88" s="60">
        <f t="shared" si="118"/>
        <v>0</v>
      </c>
      <c r="P88" s="60">
        <f t="shared" si="118"/>
        <v>0</v>
      </c>
      <c r="Q88" s="60">
        <f t="shared" si="118"/>
        <v>0</v>
      </c>
      <c r="R88" s="60">
        <f t="shared" si="118"/>
        <v>0</v>
      </c>
      <c r="S88" s="60">
        <f t="shared" si="118"/>
        <v>0</v>
      </c>
      <c r="T88" s="60">
        <f t="shared" si="118"/>
        <v>0</v>
      </c>
      <c r="U88" s="60">
        <f t="shared" si="118"/>
        <v>0</v>
      </c>
      <c r="V88" s="60">
        <f t="shared" si="118"/>
        <v>0</v>
      </c>
      <c r="W88" s="60">
        <f t="shared" si="118"/>
        <v>0</v>
      </c>
      <c r="X88" s="60">
        <f t="shared" si="118"/>
        <v>0</v>
      </c>
      <c r="Y88" s="60">
        <f t="shared" si="118"/>
        <v>0</v>
      </c>
      <c r="Z88" s="60">
        <f t="shared" si="118"/>
        <v>0</v>
      </c>
      <c r="AA88" s="60">
        <f t="shared" si="118"/>
        <v>0</v>
      </c>
      <c r="AB88" s="60">
        <f t="shared" si="118"/>
        <v>0</v>
      </c>
      <c r="AC88" s="60">
        <f t="shared" si="118"/>
        <v>0</v>
      </c>
      <c r="AD88" s="60">
        <f t="shared" si="118"/>
        <v>0</v>
      </c>
      <c r="AE88" s="60">
        <f t="shared" si="118"/>
        <v>0</v>
      </c>
      <c r="AF88" s="60">
        <f t="shared" si="118"/>
        <v>0</v>
      </c>
      <c r="AG88" s="60">
        <f t="shared" si="118"/>
        <v>0</v>
      </c>
      <c r="AH88" s="67"/>
      <c r="AI88" s="67"/>
      <c r="AJ88" s="67"/>
      <c r="AK88" s="6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</row>
    <row r="89" ht="19.5" customHeight="1" spans="1:68">
      <c r="A89" s="67"/>
      <c r="B89" s="60" t="s">
        <v>862</v>
      </c>
      <c r="C89" s="60">
        <f>COUNTIF(C57:C74,"CS1")</f>
        <v>0</v>
      </c>
      <c r="D89" s="60">
        <f>COUNTIF(D2:D74,"CS1")</f>
        <v>1</v>
      </c>
      <c r="E89" s="60">
        <f>COUNTIF(E2:E74,"CS1")</f>
        <v>1</v>
      </c>
      <c r="F89" s="60">
        <f t="shared" ref="F89:AG89" si="119">COUNTIF(F57:F74,"CS1")</f>
        <v>0</v>
      </c>
      <c r="G89" s="60">
        <f t="shared" si="119"/>
        <v>0</v>
      </c>
      <c r="H89" s="60">
        <f t="shared" si="119"/>
        <v>0</v>
      </c>
      <c r="I89" s="60">
        <f t="shared" si="119"/>
        <v>0</v>
      </c>
      <c r="J89" s="60">
        <f t="shared" si="119"/>
        <v>0</v>
      </c>
      <c r="K89" s="60">
        <f t="shared" si="119"/>
        <v>0</v>
      </c>
      <c r="L89" s="60">
        <f t="shared" si="119"/>
        <v>0</v>
      </c>
      <c r="M89" s="60">
        <f t="shared" si="119"/>
        <v>0</v>
      </c>
      <c r="N89" s="60">
        <f t="shared" si="119"/>
        <v>0</v>
      </c>
      <c r="O89" s="60">
        <f t="shared" si="119"/>
        <v>0</v>
      </c>
      <c r="P89" s="60">
        <f t="shared" si="119"/>
        <v>0</v>
      </c>
      <c r="Q89" s="60">
        <f t="shared" si="119"/>
        <v>0</v>
      </c>
      <c r="R89" s="60">
        <f t="shared" si="119"/>
        <v>0</v>
      </c>
      <c r="S89" s="60">
        <f t="shared" si="119"/>
        <v>0</v>
      </c>
      <c r="T89" s="60">
        <f t="shared" si="119"/>
        <v>0</v>
      </c>
      <c r="U89" s="60">
        <f t="shared" si="119"/>
        <v>0</v>
      </c>
      <c r="V89" s="60">
        <f t="shared" si="119"/>
        <v>0</v>
      </c>
      <c r="W89" s="60">
        <f t="shared" si="119"/>
        <v>0</v>
      </c>
      <c r="X89" s="60">
        <f t="shared" si="119"/>
        <v>0</v>
      </c>
      <c r="Y89" s="60">
        <f t="shared" si="119"/>
        <v>0</v>
      </c>
      <c r="Z89" s="60">
        <f t="shared" si="119"/>
        <v>0</v>
      </c>
      <c r="AA89" s="60">
        <f t="shared" si="119"/>
        <v>0</v>
      </c>
      <c r="AB89" s="60">
        <f t="shared" si="119"/>
        <v>0</v>
      </c>
      <c r="AC89" s="60">
        <f t="shared" si="119"/>
        <v>0</v>
      </c>
      <c r="AD89" s="60">
        <f t="shared" si="119"/>
        <v>0</v>
      </c>
      <c r="AE89" s="60">
        <f t="shared" si="119"/>
        <v>0</v>
      </c>
      <c r="AF89" s="60">
        <f t="shared" si="119"/>
        <v>0</v>
      </c>
      <c r="AG89" s="60">
        <f t="shared" si="119"/>
        <v>0</v>
      </c>
      <c r="AH89" s="67"/>
      <c r="AI89" s="67"/>
      <c r="AJ89" s="67"/>
      <c r="AK89" s="67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</row>
    <row r="90" ht="19.5" customHeight="1" spans="1:68">
      <c r="A90" s="67"/>
      <c r="B90" s="60" t="s">
        <v>863</v>
      </c>
      <c r="C90" s="60">
        <f>COUNTIF(C57:C74,"AE")</f>
        <v>0</v>
      </c>
      <c r="D90" s="60">
        <f>COUNTIF(D2:D74,"AE")</f>
        <v>1</v>
      </c>
      <c r="E90" s="60">
        <f>COUNTIF(E2:E74,"AE")</f>
        <v>1</v>
      </c>
      <c r="F90" s="60">
        <f t="shared" ref="F90:AG90" si="120">COUNTIF(F57:F74,"AE")</f>
        <v>0</v>
      </c>
      <c r="G90" s="60">
        <f t="shared" si="120"/>
        <v>0</v>
      </c>
      <c r="H90" s="60">
        <f t="shared" si="120"/>
        <v>0</v>
      </c>
      <c r="I90" s="60">
        <f t="shared" si="120"/>
        <v>0</v>
      </c>
      <c r="J90" s="60">
        <f t="shared" si="120"/>
        <v>0</v>
      </c>
      <c r="K90" s="60">
        <f t="shared" si="120"/>
        <v>0</v>
      </c>
      <c r="L90" s="60">
        <f t="shared" si="120"/>
        <v>0</v>
      </c>
      <c r="M90" s="60">
        <f t="shared" si="120"/>
        <v>0</v>
      </c>
      <c r="N90" s="60">
        <f t="shared" si="120"/>
        <v>0</v>
      </c>
      <c r="O90" s="60">
        <f t="shared" si="120"/>
        <v>0</v>
      </c>
      <c r="P90" s="60">
        <f t="shared" si="120"/>
        <v>0</v>
      </c>
      <c r="Q90" s="60">
        <f t="shared" si="120"/>
        <v>0</v>
      </c>
      <c r="R90" s="60">
        <f t="shared" si="120"/>
        <v>0</v>
      </c>
      <c r="S90" s="60">
        <f t="shared" si="120"/>
        <v>0</v>
      </c>
      <c r="T90" s="60">
        <f t="shared" si="120"/>
        <v>0</v>
      </c>
      <c r="U90" s="60">
        <f t="shared" si="120"/>
        <v>0</v>
      </c>
      <c r="V90" s="60">
        <f t="shared" si="120"/>
        <v>0</v>
      </c>
      <c r="W90" s="60">
        <f t="shared" si="120"/>
        <v>0</v>
      </c>
      <c r="X90" s="60">
        <f t="shared" si="120"/>
        <v>0</v>
      </c>
      <c r="Y90" s="60">
        <f t="shared" si="120"/>
        <v>0</v>
      </c>
      <c r="Z90" s="60">
        <f t="shared" si="120"/>
        <v>0</v>
      </c>
      <c r="AA90" s="60">
        <f t="shared" si="120"/>
        <v>0</v>
      </c>
      <c r="AB90" s="60">
        <f t="shared" si="120"/>
        <v>0</v>
      </c>
      <c r="AC90" s="60">
        <f t="shared" si="120"/>
        <v>0</v>
      </c>
      <c r="AD90" s="60">
        <f t="shared" si="120"/>
        <v>0</v>
      </c>
      <c r="AE90" s="60">
        <f t="shared" si="120"/>
        <v>0</v>
      </c>
      <c r="AF90" s="60">
        <f t="shared" si="120"/>
        <v>0</v>
      </c>
      <c r="AG90" s="60">
        <f t="shared" si="120"/>
        <v>0</v>
      </c>
      <c r="AH90" s="67"/>
      <c r="AI90" s="67"/>
      <c r="AJ90" s="67"/>
      <c r="AK90" s="6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</row>
    <row r="91" ht="19.5" customHeight="1" spans="1:68">
      <c r="A91" s="67"/>
      <c r="B91" s="60" t="s">
        <v>864</v>
      </c>
      <c r="C91" s="60">
        <f t="shared" ref="C91:AG91" si="121">SUM(C87:C90)</f>
        <v>0</v>
      </c>
      <c r="D91" s="60">
        <f t="shared" si="121"/>
        <v>5</v>
      </c>
      <c r="E91" s="60">
        <f t="shared" si="121"/>
        <v>6</v>
      </c>
      <c r="F91" s="60">
        <f t="shared" si="121"/>
        <v>0</v>
      </c>
      <c r="G91" s="60">
        <f t="shared" si="121"/>
        <v>0</v>
      </c>
      <c r="H91" s="60">
        <f t="shared" si="121"/>
        <v>0</v>
      </c>
      <c r="I91" s="60">
        <f t="shared" si="121"/>
        <v>0</v>
      </c>
      <c r="J91" s="60">
        <f t="shared" si="121"/>
        <v>0</v>
      </c>
      <c r="K91" s="60">
        <f t="shared" si="121"/>
        <v>0</v>
      </c>
      <c r="L91" s="60">
        <f t="shared" si="121"/>
        <v>0</v>
      </c>
      <c r="M91" s="60">
        <f t="shared" si="121"/>
        <v>0</v>
      </c>
      <c r="N91" s="60">
        <f t="shared" si="121"/>
        <v>0</v>
      </c>
      <c r="O91" s="60">
        <f t="shared" si="121"/>
        <v>0</v>
      </c>
      <c r="P91" s="60">
        <f t="shared" si="121"/>
        <v>0</v>
      </c>
      <c r="Q91" s="60">
        <f t="shared" si="121"/>
        <v>0</v>
      </c>
      <c r="R91" s="60">
        <f t="shared" si="121"/>
        <v>0</v>
      </c>
      <c r="S91" s="60">
        <f t="shared" si="121"/>
        <v>0</v>
      </c>
      <c r="T91" s="60">
        <f t="shared" si="121"/>
        <v>0</v>
      </c>
      <c r="U91" s="60">
        <f t="shared" si="121"/>
        <v>0</v>
      </c>
      <c r="V91" s="60">
        <f t="shared" si="121"/>
        <v>0</v>
      </c>
      <c r="W91" s="60">
        <f t="shared" si="121"/>
        <v>0</v>
      </c>
      <c r="X91" s="60">
        <f t="shared" si="121"/>
        <v>0</v>
      </c>
      <c r="Y91" s="60">
        <f t="shared" si="121"/>
        <v>0</v>
      </c>
      <c r="Z91" s="60">
        <f t="shared" si="121"/>
        <v>0</v>
      </c>
      <c r="AA91" s="60">
        <f t="shared" si="121"/>
        <v>0</v>
      </c>
      <c r="AB91" s="60">
        <f t="shared" si="121"/>
        <v>0</v>
      </c>
      <c r="AC91" s="60">
        <f t="shared" si="121"/>
        <v>0</v>
      </c>
      <c r="AD91" s="60">
        <f t="shared" si="121"/>
        <v>0</v>
      </c>
      <c r="AE91" s="60">
        <f t="shared" si="121"/>
        <v>0</v>
      </c>
      <c r="AF91" s="60">
        <f t="shared" si="121"/>
        <v>0</v>
      </c>
      <c r="AG91" s="60">
        <f t="shared" si="121"/>
        <v>0</v>
      </c>
      <c r="AH91" s="67"/>
      <c r="AI91" s="67"/>
      <c r="AJ91" s="67"/>
      <c r="AK91" s="6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</row>
    <row r="92" ht="19.5" customHeight="1" spans="1:68">
      <c r="A92" s="67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7"/>
      <c r="AI92" s="67"/>
      <c r="AJ92" s="67"/>
      <c r="AK92" s="67"/>
      <c r="AL92" s="77"/>
      <c r="AM92" s="77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</row>
    <row r="93" ht="19.5" customHeight="1" spans="1:68">
      <c r="A93" s="67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7"/>
      <c r="AI93" s="67"/>
      <c r="AJ93" s="67"/>
      <c r="AK93" s="6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</row>
    <row r="94" ht="19.5" customHeight="1" spans="1:68">
      <c r="A94" s="67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7"/>
      <c r="AI94" s="67"/>
      <c r="AJ94" s="67"/>
      <c r="AK94" s="6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</row>
    <row r="95" ht="19.5" customHeight="1" spans="1:68">
      <c r="A95" s="67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7"/>
      <c r="AI95" s="67"/>
      <c r="AJ95" s="67"/>
      <c r="AK95" s="67"/>
      <c r="AL95" s="77"/>
      <c r="AM95" s="77"/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</row>
  </sheetData>
  <mergeCells count="3">
    <mergeCell ref="C1:S1"/>
    <mergeCell ref="AQ3:AQ4"/>
    <mergeCell ref="AR3:AR4"/>
  </mergeCells>
  <conditionalFormatting sqref="Q23">
    <cfRule type="expression" dxfId="136" priority="5">
      <formula>WEEKDAY(T$3,2)&gt;5</formula>
    </cfRule>
    <cfRule type="expression" dxfId="136" priority="6">
      <formula>WEEKDAY(U$3,2)&gt;5</formula>
    </cfRule>
  </conditionalFormatting>
  <conditionalFormatting sqref="AC24">
    <cfRule type="expression" dxfId="136" priority="2">
      <formula>WEEKDAY(T$3,2)&gt;5</formula>
    </cfRule>
    <cfRule type="expression" dxfId="136" priority="3">
      <formula>WEEKDAY(U$3,2)&gt;5</formula>
    </cfRule>
  </conditionalFormatting>
  <conditionalFormatting sqref="G27">
    <cfRule type="expression" dxfId="136" priority="1">
      <formula>WEEKDAY(G$3,2)&gt;5</formula>
    </cfRule>
  </conditionalFormatting>
  <conditionalFormatting sqref="D28">
    <cfRule type="expression" dxfId="136" priority="7">
      <formula>WEEKDAY(G$3,2)&gt;5</formula>
    </cfRule>
    <cfRule type="expression" dxfId="136" priority="8">
      <formula>WEEKDAY(F$3,2)&gt;5</formula>
    </cfRule>
  </conditionalFormatting>
  <conditionalFormatting sqref="A1:BP95">
    <cfRule type="cellIs" dxfId="155" priority="77" operator="equal">
      <formula>"RESERVE"</formula>
    </cfRule>
  </conditionalFormatting>
  <conditionalFormatting sqref="D2:E2 C5:C95 D5:E56 F5:AG95 B48:B54 D58:E95">
    <cfRule type="containsText" dxfId="1388" priority="42" operator="between" text="CS/B">
      <formula>NOT(ISERROR(SEARCH("CS/B",B2)))</formula>
    </cfRule>
  </conditionalFormatting>
  <conditionalFormatting sqref="D2:E2 J4:J95 AA4:AA95 C5:C95 D5:E56 F5:I95 K5:Z95 AB5:AG95 B48:B54 D58:E95">
    <cfRule type="cellIs" dxfId="137" priority="55" operator="equal">
      <formula>"B"</formula>
    </cfRule>
    <cfRule type="cellIs" dxfId="137" priority="56" operator="equal">
      <formula>"AL"</formula>
    </cfRule>
    <cfRule type="cellIs" dxfId="138" priority="57" operator="equal">
      <formula>"DM"</formula>
    </cfRule>
    <cfRule type="cellIs" dxfId="139" priority="58" operator="equal">
      <formula>"CS1"</formula>
    </cfRule>
    <cfRule type="cellIs" dxfId="140" priority="59" operator="equal">
      <formula>"CS2"</formula>
    </cfRule>
    <cfRule type="cellIs" dxfId="141" priority="60" operator="equal">
      <formula>"SB1"</formula>
    </cfRule>
    <cfRule type="cellIs" dxfId="142" priority="61" operator="equal">
      <formula>"SB2"</formula>
    </cfRule>
    <cfRule type="cellIs" dxfId="143" priority="62" operator="equal">
      <formula>"AE"</formula>
    </cfRule>
  </conditionalFormatting>
  <conditionalFormatting sqref="D2:E2 J4:J79 AA4:AA79 C5:C79 D5:E56 F5:I79 K5:Z79 AB5:AG79 B48:B54 D58:E79">
    <cfRule type="cellIs" dxfId="137" priority="64" operator="equal">
      <formula>"DB"</formula>
    </cfRule>
    <cfRule type="containsText" dxfId="144" priority="65" operator="between" text="$AM">
      <formula>NOT(ISERROR(SEARCH("$AM",B2)))</formula>
    </cfRule>
    <cfRule type="containsText" dxfId="145" priority="66" operator="between" text="$PM">
      <formula>NOT(ISERROR(SEARCH("$PM",B2)))</formula>
    </cfRule>
    <cfRule type="containsText" dxfId="146" priority="67" operator="between" text="$L">
      <formula>NOT(ISERROR(SEARCH("$L",B2)))</formula>
    </cfRule>
    <cfRule type="containsText" dxfId="147" priority="68" operator="between" text="$BTP">
      <formula>NOT(ISERROR(SEARCH("$BTP",B2)))</formula>
    </cfRule>
    <cfRule type="containsText" dxfId="148" priority="69" operator="between" text="$M">
      <formula>NOT(ISERROR(SEARCH("$M",B2)))</formula>
    </cfRule>
    <cfRule type="containsText" dxfId="149" priority="71" operator="between" text="$N">
      <formula>NOT(ISERROR(SEARCH("$N",B2)))</formula>
    </cfRule>
    <cfRule type="containsText" dxfId="150" priority="72" operator="between" text="$FC">
      <formula>NOT(ISERROR(SEARCH("$FC",B2)))</formula>
    </cfRule>
    <cfRule type="containsText" dxfId="151" priority="73" operator="between" text="OAL">
      <formula>NOT(ISERROR(SEARCH("OAL",B2)))</formula>
    </cfRule>
    <cfRule type="containsText" dxfId="152" priority="74" operator="between" text="S+">
      <formula>NOT(ISERROR(SEARCH("S+",B2)))</formula>
    </cfRule>
    <cfRule type="containsText" dxfId="153" priority="75" operator="between" text="EX-D">
      <formula>NOT(ISERROR(SEARCH("EX-D",B2)))</formula>
    </cfRule>
  </conditionalFormatting>
  <conditionalFormatting sqref="D2:E56 T2:X79 C3:C79 F3:S79 Y3:AG79 B48:B54 D58:E79">
    <cfRule type="expression" dxfId="136" priority="70">
      <formula>WEEKDAY(D$3,2)&gt;5</formula>
    </cfRule>
  </conditionalFormatting>
  <conditionalFormatting sqref="J4:J5 D5 E5:E9 F5:F12 G5:G11 I5 K5 L5:L6 M5:M9 N5:N7 O5:P6 Q5 S5:S6 V5:V38 W5:W7 Y5:Z7 AA5:AA10 AB5:AB8 AC5 AD5:AD6 C6:C7 H6:H28 T6:T7 U6 X6:X8 J7:J8 K7 AC7:AC8 AF7:AF8 AG7:AG10 O8:P8 Q8:Q11 S8:S9 U8:U9 AD8:AE8 C9:C27 D9 N9 R9:R11 W9 Y9:Y56 Z9:Z22 I10:I27 J10:J21 T10:T12 AB10:AC59 AD10:AD33 AE10:AE22 AF10:AF12 D11:D12 E11:E26 K11:K22 L11:L12 M11 N11:N12 O11:O25 P11 S11 U11:U22 W11:W26 X11:X23 AA12:AA59 AG12:AG33 G13:G21 M13:M34 P13:P28 Q13:Q27 R13:R21 S13:S19 T14:T15 AF14:AF15 L19 S21:S32 D22:D30 F22:F27 L22:L30 N22:N25 AF22:AF34 J23 R23:R32 T23 G24:G30 K24:K29 U24:U28 Z24:Z30 AE24:AE34 J25 T25 X25:X27 J27:J32 N27:N29 O27:O32 T27:T31 C29 E29 F29:F31 I29 Q29:Q31 W29 X29:X37 U30 E31:E32 H31:I32 N31:N32 P31:P34 W31:W35 C32 D32:D34 G32 K32:L32 Z32:Z76 T33 U33:U34 C34 F34 G34:G35 K34:K35 L34 N34 O34:O35 Q34 R34:R37 S34 I35 J35:J58 T35 C36 E36:E56 F36 H36 L36 M36:M37 S36 AD36:AD37 N37:N40 O37:O38 AE37 AF37:AF39 F38:F39 G38:G40 K38:K42 P38 S38:S43 T38:T40 U38 H39:I39 L39:L57 M39:M42 W39:W57 AD39 AE39:AE46 AG39 C40:C62 O40:P40 V40:V58 X40:X62 H41:H43 I41:I42 R41 AD41:AD59 AG41:AG42 D42 F42:F43 G42 O42:O55 T42:T43 U42 AF42:AF43 Q43 R43:R57 K44:K57 M44:M56 P45:P46 Q45:Q56 S45:U46 AF45:AG46 D46 F46:G46 H46:H59 I46 N46 B48:B54 D48:D55 F48:G55 I48:I55 N48:N55 P48:P55 S48:U55 AE48:AG55 N57 S57 AE57 AG57 E58:E59 M58:M62 U58 Y58:Y62 AF58:AF59 L59:L63 Q59:Q62 W59:W62 AG59 J60:K62 R60:R62 AE60:AE63 D61:I62 N61:P62 S61 T61:T62 U61:U66 V61:V62 AA61:AA69 AB61:AD76 AF61:AG61 F65 H65:H67 L65 R66 K67 L68:L69 T68:U68 Y68 AE68:AE70 AG68:AG69 C69 H69:H72 AF69 S70 U70:U79 Y70 K71 AA71:AA76 Q72:R72 Y72:Y73 AE72:AE76 L74:L76 C75:K76 M75:T76 V75:Y76 AF75:AG76">
    <cfRule type="containsText" dxfId="154" priority="76" operator="between" text="VACC">
      <formula>NOT(ISERROR(SEARCH("VACC",B4)))</formula>
    </cfRule>
  </conditionalFormatting>
  <conditionalFormatting sqref="C5:C7 D5 E5:E9 F5:F12 G5:G11 I5:K5 L5:L6 M5:M9 N5:N7 O5:P6 Q5:R5 V5 W5:W7 Z5 AB5:AB6 AC5:AD5 H6:H28 T6:T7 J7:J8 R7:R11 V7:V12 X7:Z7 AF7:AF8 AG7:AG10 O8 S8:S9 U8:U9 AD8:AE8 C9:C27 D9 N9 Q9:Q11 W9 Z9 I10:I27 J10:J12 T10:T12 Y10:Y26 AA10 AB10:AB11 AC10:AD12 AE10 AF10:AF11 D11:D12 E11:E21 K11:K22 L11:L12 M11 N11:N12 O11:O25 P11 S11 U11:U22 W11:W26 X11:X23 Z11 AA12:AA22 AE12:AE22 AG12:AG21 G13:G21 M13:M21 P13:P21 Q13:Q27 R13:R32 S13:S19 Z13:Z22 T14:T15 V14:V15 AB14:AC15 AD14:AD22 AF14:AF15 L19 S21:S25 D22:D30 F22:F27 L22:L28 V22:V23 AB22:AB25 E23:E26 M23:M28 N23:N25 P23:P25 T23 AF23:AF24 AG23:AG26 G24:G30 K24:K25 U24:U27 AA24 AC24 AD24:AE25 J25 T25 V25:V26 X25 AA26 AC26:AC27 J27:J28 K27 N27 O27:O30 P27:P28 S27:T28 X27 Z27:Z29 AB27 AD27 AE28:AE30 C29:C32 E29 F29:F31 I29 K29 N29 V29:V32 W29 X29:X30 AC29:AC35 AD29 L30:M30 Q30 S30:S32 T30:U30 AF30:AF34 E31:E32 H31:J32 W31:W35 Y31 AB31 AD31 AG31 D32:D34 G32 K32:L32 M32:M34 N32:O32 P32:P34 AA32 AE32 Q33:Q34 AD33 C34 F34 G34:G35 K34:K35 L34 N34:O34 R34:R38 S34 U34 V34:V35 X34 AB34 AE34 I35 J35:J36 T35 C36 E36:E56 F36 H36 L36 M36:M37 S36 X36:X37 AD36 N37:N40 O37:O38 AE37 AF37:AF39 F38:F39 G38:G40 J38:J42 P38 S38:S39 T38:T40 U38:V38 H39:I39 K39:K42 L39:L57 M39:M42 W39:W57 AC39:AE39 AG39 C40:C76 O40:P40 R40:R57 X40:X62 AB40:AB42 H41:H43 I41:I42 S41:S43 Z41 AC41:AC59 AE41 D42 F42:F43 G42 O42:O55 T42:T43 U42 V42:V43 AA42 AD42:AD59 Q43 Y43 AE43:AE46 AF43 K44:K57 M44:M56 Z44:Z56 AB44:AB59 P45:P46 Q45:Q56 S45:V46 Y45:Y46 AA45:AA56 AF45:AG46 D46 F46:G46 H46:H59 I46:J46 N46 B48:B54 D48:D55 F48:G55 I48:J55 N48:N55 P48:P55 S48:V55 Y48:Y55 AE48:AG55 S57 AE57 E58:E59 M58:M62 Y58:Y62 Z58:Z76 AA58:AA59 AF58:AF59 L59:L63 Q59:Q62 W59:W62 AG59 K60:K62 R60:R62 AE60:AE63 D61:J62 N61:P62 S61 T61:V62 AA61:AA69 AB61:AD76 AF61:AG61 F65 H65:H67 L65 R66 K67 L68:L69 T68 Y68 AE68:AE70 H69:H72 AF69:AG69 S70 Y70 K71 AA71:AA72 Q72:R72 Y72 AE72:AE76 L74:L76 D75:K76 M75:Y76 AA75:AA76 AF75:AG76">
    <cfRule type="cellIs" dxfId="137" priority="11" operator="equal">
      <formula>"B"</formula>
    </cfRule>
    <cfRule type="cellIs" dxfId="137" priority="12" operator="equal">
      <formula>"AL"</formula>
    </cfRule>
    <cfRule type="cellIs" dxfId="138" priority="13" operator="equal">
      <formula>"DM"</formula>
    </cfRule>
    <cfRule type="cellIs" dxfId="139" priority="14" operator="equal">
      <formula>"CS1"</formula>
    </cfRule>
    <cfRule type="cellIs" dxfId="140" priority="15" operator="equal">
      <formula>"CS2"</formula>
    </cfRule>
    <cfRule type="cellIs" dxfId="141" priority="16" operator="equal">
      <formula>"SB1"</formula>
    </cfRule>
    <cfRule type="cellIs" dxfId="142" priority="17" operator="equal">
      <formula>"SB2"</formula>
    </cfRule>
    <cfRule type="cellIs" dxfId="143" priority="18" operator="equal">
      <formula>"AE"</formula>
    </cfRule>
    <cfRule type="cellIs" dxfId="137" priority="19" operator="equal">
      <formula>"DB"</formula>
    </cfRule>
    <cfRule type="containsText" dxfId="144" priority="20" operator="between" text="$AM">
      <formula>NOT(ISERROR(SEARCH("$AM",B5)))</formula>
    </cfRule>
    <cfRule type="containsText" dxfId="145" priority="21" operator="between" text="$PM">
      <formula>NOT(ISERROR(SEARCH("$PM",B5)))</formula>
    </cfRule>
    <cfRule type="containsText" dxfId="146" priority="22" operator="between" text="$L">
      <formula>NOT(ISERROR(SEARCH("$L",B5)))</formula>
    </cfRule>
    <cfRule type="containsText" dxfId="147" priority="23" operator="between" text="$BTP">
      <formula>NOT(ISERROR(SEARCH("$BTP",B5)))</formula>
    </cfRule>
    <cfRule type="containsText" dxfId="148" priority="24" operator="between" text="$M">
      <formula>NOT(ISERROR(SEARCH("$M",B5)))</formula>
    </cfRule>
    <cfRule type="containsText" dxfId="149" priority="25" operator="between" text="$N">
      <formula>NOT(ISERROR(SEARCH("$N",B5)))</formula>
    </cfRule>
    <cfRule type="containsText" dxfId="150" priority="26" operator="between" text="$FC">
      <formula>NOT(ISERROR(SEARCH("$FC",B5)))</formula>
    </cfRule>
    <cfRule type="containsText" dxfId="151" priority="27" operator="between" text="OAL">
      <formula>NOT(ISERROR(SEARCH("OAL",B5)))</formula>
    </cfRule>
    <cfRule type="containsText" dxfId="152" priority="28" operator="between" text="S+">
      <formula>NOT(ISERROR(SEARCH("S+",B5)))</formula>
    </cfRule>
    <cfRule type="containsText" dxfId="153" priority="29" operator="between" text="EX-D">
      <formula>NOT(ISERROR(SEARCH("EX-D",B5)))</formula>
    </cfRule>
  </conditionalFormatting>
  <conditionalFormatting sqref="D5 E5:E9 F5:F12 G5:G11 I5:L5 M5:M9 N5:N7 O5:P6 Q5 V5 W5:W7 Z5:AA5 AB5:AB6 AC5:AD5 C6:C7 H6:H28 T6:T7 J7:J8 V7:V23 X7:Z7 AA7:AA10 AC7:AC8 AF7:AF8 AG7:AG10 O8 S8:S9 U8:U9 AB8 AD8:AE8 C9:C27 D9 N9 Q9:R11 W9 Y9:Y26 Z9 I10:I27 J10:J12 T10:T12 AB10:AB27 AC10:AD12 AE10:AE22 AF10:AF11 D11:D12 E11:E21 K11:K22 L11:L12 M11 N11:N12 O11:O22 P11 S11 U11:U22 W11:W26 X11:X23 Z11:Z22 AA12:AA22 AG12:AG21 G13:G21 M13:M21 P13:P21 Q13:Q27 R13:R21 S13:S19 T14:T15 AC14:AC15 AD14:AD22 AF14:AF15 L19 S21:S25 D22:D30 F22:F27 L22:L30 E23:E26 M23:M34 N23:N25 P23:P28 R23:R32 T23 AF23:AF24 AG23:AG26 G24:G30 K24:K27 O24:O25 U24:U27 AA24:AA27 AC24:AC35 AD24:AE25 J25 T25 V25:V26 X25 J27:J28 N27 O27:O32 S27 T27:T31 X27 Z27:Z29 AD27 E28:E29 AE28:AE32 C29 F29:F31 I29 K29 N29 V29:V35 W29 X29:X30 AA29:AA30 AD29:AD33 AF29:AF34 AG29 J30:J32 Q30:Q31 S30:S32 U30 AB30:AB32 E31:E32 H31:I32 N31:N32 P31:P34 W31:W35 AG31 C32 D32:D34 G32 K32:L32 Z32:AA32 C34 F34 G34:G35 K34:K35 L34 N34:O34 Q34 R34:R37 S34 U34 X34 AB34 AE34 I35 J35:J42 T35 C36 E36:E56 F36 H36 L36 M36:M37 S36 X36:X37 Z36 AA36:AB42 AD36:AD37 N37:N40 O37 V37:V38 Y37 AE37 AF37:AF39 F38:F39 G38:G40 P38 S38:S39 T38:T40 U38 H39:I39 K39:K42 L39:L57 M39:M42 W39:W57 AC39:AC59 AD39 AE39:AE46 AG39 C40:C62 O40:P40 V40 X40:X62 Z40:Z42 H41:H43 I41:I42 R41 S41:S43 D42 F42:F43 G42 O42:O44 T42:T43 U42 V42:V58 Y42:Y43 AD42:AD59 AG42 Q43 R43:R56 AF43 K44:K57 M44:M56 Z44:AA56 AB44:AB59 D46 F46:G46 H46:H59 I46:J46 N46:P46 Q46:Q56 S46:U46 Y46 AF46:AG46 B48:B54 D48:D55 F48:G55 I48:J55 N48:P55 S48:U55 Y48:Y55 AE48:AG55 S57 AE57 E58:E59 M58:M62 Y58:Y62 Z58:Z76 AA58:AA59 AF58:AF59 L59:L63 Q59:Q62 W59:W62 AG59 K60:K62 R60:R62 AE60:AE63 D61:J62 N61:P62 S61 T61:V62 AA61:AA69 AB61:AD76 AF61:AG61 F65 H65:H67 L65 R66 K67 L68:L69 T68 Y68 AE68:AE70 C69 H69:H72 AF69:AG69 S70 Y70 K71 AA71:AA72 Q72:R72 Y72 AE72:AE76 L74:L76 C75:K76 M75:N76 R75:R76 V75:X76 AA75:AA76 O76:Q76 S76:U76 Y76 AF76:AG76">
    <cfRule type="expression" dxfId="136" priority="30">
      <formula>WEEKDAY(#REF!,2)&gt;5</formula>
    </cfRule>
  </conditionalFormatting>
  <conditionalFormatting sqref="D5 E5:E9 F5:F12 G5:G11 I5:K5 L5:L6 M5:M9 N5:N7 O5:P6 Q5 S5:S6 V5:V38 W5:W7 Y5:Z7 AA5:AA10 AB5:AB8 AC5 AD5:AD6 C6:C7 H6:H28 T6:T7 U6 X6:X8 J7:J8 K7 AC7:AC8 AF7:AF8 AG7:AG10 O8:P8 Q8:Q11 S8:S9 U8:U9 AD8:AE8 C9:C27 D9 N9 R9:R11 W9 Y9:Y56 Z9:Z22 I10:I27 J10:J21 T10:T12 AB10:AC59 AD10:AD33 AE10:AE22 AF10:AF12 D11:D12 E11:E26 K11:K22 L11:L12 M11 N11:N12 O11:O25 P11 S11 U11:U22 W11:W26 X11:X23 AA12:AA59 AG12:AG33 G13:G21 M13:M34 P13:P28 Q13:Q27 R13:R21 S13:S19 T14:T15 AF14:AF15 L19 S21:S32 D22:D30 F22:F27 L22:L30 N22:N25 AF22:AF34 J23 R23:R32 T23 G24:G30 K24:K29 U24:U28 Z24:Z30 AE24:AE34 J25 T25 X25:X27 J27:J32 N27:N29 O27:O32 T27:T31 C29 E29 F29:F31 I29 Q29:Q31 W29 X29:X37 U30 E31:E32 H31:I32 N31:N32 P31:P34 W31:W35 C32 D32:D34 G32 K32:L32 Z32:Z76 T33 U33:U34 C34 F34 G34:G35 K34:K35 L34 N34 O34:O35 Q34:S34 I35 J35:J58 T35 C36 E36:E56 F36 H36 L36 M36:M37 R36:R37 S36 AD36:AD37 N37:N40 O37:O38 AE37 AF37:AF39 F38:F39 G38:G40 K38:K42 P38 S38:S43 T38:T40 U38 H39:I39 L39:L57 M39:M42 W39:W57 AD39 AE39:AE46 AG39 C40:C62 O40:P40 V40:V58 X40:X62 H41:H43 I41:I42 R41 AD41:AD59 AG41:AG42 D42 F42:F43 G42 O42:O55 T42:T43 U42 AF42:AF43 Q43 R43:R57 K44:K57 M44:M56 P45:P46 Q45:Q56 S45:U46 AF45:AG46 D46 F46:G46 H46:H59 I46 N46 B48:B54 D48:D55 F48:G55 I48:I55 N48:N55 P48:P55 S48:U55 AE48:AG55 N57 S57 AE57 AG57 E58:E59 M58:M62 U58 Y58:Y62 AF58:AF59 L59:L63 Q59:Q62 W59:W62 AG59 J60:K62 R60:R62 AE60:AE63 D61:I62 N61:P62 S61 T61:T62 U61:U66 V61:V62 AA61:AA69 AB61:AD76 AF61:AG61 F65 H65:H67 L65 R66 K67 L68:L69 T68:U68 Y68 AE68:AE70 AG68:AG69 H69:H72 AF69 S70 U70:U79 Y70 K71 AA71:AA76 Q72:R72 Y72:Y73 AE72:AE76 L74:L76 C75:K76 M75:T76 V75:Y76 AF75:AG76">
    <cfRule type="cellIs" dxfId="137" priority="34" operator="equal">
      <formula>"B"</formula>
    </cfRule>
    <cfRule type="cellIs" dxfId="137" priority="35" operator="equal">
      <formula>"AL"</formula>
    </cfRule>
    <cfRule type="cellIs" dxfId="138" priority="36" operator="equal">
      <formula>"DM"</formula>
    </cfRule>
    <cfRule type="cellIs" dxfId="139" priority="37" operator="equal">
      <formula>"CS1"</formula>
    </cfRule>
    <cfRule type="cellIs" dxfId="140" priority="38" operator="equal">
      <formula>"CS2"</formula>
    </cfRule>
    <cfRule type="cellIs" dxfId="141" priority="39" operator="equal">
      <formula>"SB1"</formula>
    </cfRule>
    <cfRule type="cellIs" dxfId="142" priority="40" operator="equal">
      <formula>"SB2"</formula>
    </cfRule>
    <cfRule type="cellIs" dxfId="143" priority="41" operator="equal">
      <formula>"AE"</formula>
    </cfRule>
    <cfRule type="cellIs" dxfId="137" priority="43" operator="equal">
      <formula>"DB"</formula>
    </cfRule>
    <cfRule type="containsText" dxfId="144" priority="44" operator="between" text="$AM">
      <formula>NOT(ISERROR(SEARCH("$AM",B5)))</formula>
    </cfRule>
    <cfRule type="containsText" dxfId="145" priority="45" operator="between" text="$PM">
      <formula>NOT(ISERROR(SEARCH("$PM",B5)))</formula>
    </cfRule>
    <cfRule type="containsText" dxfId="146" priority="46" operator="between" text="$L">
      <formula>NOT(ISERROR(SEARCH("$L",B5)))</formula>
    </cfRule>
    <cfRule type="containsText" dxfId="147" priority="47" operator="between" text="$BTP">
      <formula>NOT(ISERROR(SEARCH("$BTP",B5)))</formula>
    </cfRule>
    <cfRule type="containsText" dxfId="148" priority="48" operator="between" text="$M">
      <formula>NOT(ISERROR(SEARCH("$M",B5)))</formula>
    </cfRule>
    <cfRule type="containsText" dxfId="149" priority="49" operator="between" text="$N">
      <formula>NOT(ISERROR(SEARCH("$N",B5)))</formula>
    </cfRule>
    <cfRule type="containsText" dxfId="150" priority="50" operator="between" text="$FC">
      <formula>NOT(ISERROR(SEARCH("$FC",B5)))</formula>
    </cfRule>
    <cfRule type="containsText" dxfId="151" priority="51" operator="between" text="OAL">
      <formula>NOT(ISERROR(SEARCH("OAL",B5)))</formula>
    </cfRule>
    <cfRule type="containsText" dxfId="152" priority="52" operator="between" text="S+">
      <formula>NOT(ISERROR(SEARCH("S+",B5)))</formula>
    </cfRule>
    <cfRule type="containsText" dxfId="153" priority="53" operator="between" text="EX-D">
      <formula>NOT(ISERROR(SEARCH("EX-D",B5)))</formula>
    </cfRule>
    <cfRule type="expression" dxfId="136" priority="54">
      <formula>WEEKDAY(#REF!,2)&gt;5</formula>
    </cfRule>
  </conditionalFormatting>
  <conditionalFormatting sqref="BO5:BP79">
    <cfRule type="cellIs" dxfId="155" priority="63" operator="lessThan">
      <formula>1</formula>
    </cfRule>
  </conditionalFormatting>
  <conditionalFormatting sqref="W7:Z7 U8 G9 T10 Y10 AA10 AA12 AG12 Z13:Z19 Z21 V22 V25 X25 W29 AC29 X30 S32 AE32 AB34 AD36 S39 W40 S42 AF43 S57 Z61:Z62 S70">
    <cfRule type="expression" dxfId="136" priority="31">
      <formula>WEEKDAY(Y$3,2)&gt;5</formula>
    </cfRule>
  </conditionalFormatting>
  <conditionalFormatting sqref="W7:Z7 U8 Z9 T10 Y10 AA10 AA12 AG12 Z13:Z19 Z21 V22 V25 X25 W29 AC29 X30 AE32 AB34 AD36 S39 W40 S42 AF43 U58 Z61:Z62 U63:U66 U68 U70:U79">
    <cfRule type="expression" dxfId="136" priority="32">
      <formula>WEEKDAY(X$3,2)&gt;5</formula>
    </cfRule>
  </conditionalFormatting>
  <conditionalFormatting sqref="C9 G9 C23:F23 R23:S23 R25:R26 S32 C34:D34 F34:G34 R35 S57 S70">
    <cfRule type="expression" dxfId="136" priority="33">
      <formula>WEEKDAY(U$3,2)&gt;5</formula>
    </cfRule>
  </conditionalFormatting>
  <conditionalFormatting sqref="D9 E25 F31 G35">
    <cfRule type="expression" dxfId="136" priority="4">
      <formula>WEEKDAY(F$3,2)&gt;5</formula>
    </cfRule>
  </conditionalFormatting>
  <conditionalFormatting sqref="D9 H23 E25 T27 G28:H28 M28 R29 F31 H32 G35">
    <cfRule type="expression" dxfId="136" priority="9">
      <formula>WEEKDAY(E$3,2)&gt;5</formula>
    </cfRule>
  </conditionalFormatting>
  <conditionalFormatting sqref="D26:E26 C29">
    <cfRule type="expression" dxfId="136" priority="10">
      <formula>WEEKDAY(E$3,2)&gt;5</formula>
    </cfRule>
  </conditionalFormatting>
  <conditionalFormatting sqref="AC57:AD57 AB65">
    <cfRule type="cellIs" dxfId="1735" priority="78" operator="equal">
      <formula>"CS"</formula>
    </cfRule>
  </conditionalFormatting>
  <dataValidations count="4">
    <dataValidation type="list" allowBlank="1" sqref="E2 K23 P30 Z31 B32 D40 J40 F58:G58 S58 S59:T59 E60 AA60:AD60 AF62:AG62 C63:U63 C64 E64 I64:J64 L64 N64:O64 S64:U64 X64:Y64 AE64:AG64 C65:E65 H65:I65 K65:L65 N65 P65 AF65:AG65 J66:L66 N66:P66 R66 T66:U66 AC66:AF66 D67:E67 G67:H67 J67 M67:O67 W67 AE67:AG67 C68:G68 I68:K68 U68 Y68 D69:L69 X69:AD69 E70:L70 X70 AF70:AG70 G71:AG71 G72:L72 N72 P72 S72:U72 N73:O73 S73:V73 C74:G74 N74 P74 S74 X74:Z74 AC74:AG74 AF75 C77 E77:H77 J77 N77 U77:V77 X77 B5:B8 B10:B23 B25:B26 B28:B30 B61:B62 C70:C73 E71:E73 J59:J60 S67:S68 S78:S79 T69:T70 U74:U75 X72:X73 Y59:Y60 C78:L79 I73:L74 N68:P70 N78:P79 U78:AG79 AF72:AG73" showDropDown="1">
      <formula1>'Setting key Duty'!$B$7:$B$56</formula1>
    </dataValidation>
    <dataValidation type="custom" allowBlank="1" sqref="D5 J5 U5 AA5:AE5 L6 AB6 F7:H7 W7:Z7 AG7 S8 AA8:AC8 AF8:AG8 E9:G9 M9:N9 E10 L10 T10 C11:Z11 C12:E12 J12:L12 N12:P12 T12 V12 X12:Z12 AD12 N13:O13 Q13:S13 U13:Y13 N16:O16 Q16:S16 N17 P17:S17 J19:L19 Q20:R20 Q21:S21 C22:F22 J22 L22:Q22 S22 V22:W22 AF22:AG22 C23:I23 N23:O23 Q23:T23 AA23:AB23 AD23:AG23 C24:P24 S24 X24 AA24:AG24 C25:D25 G25 O25 T25:V25 X25:AE25 AG25 D26:F26 L26:M26 O26:Q26 U26:W26 Y26:AA26 AC26:AE26 C27:D27 G27:I27 O27 T27:U27 X27 AA27 AE27:AG27 D28:H28 J28:L28 N28:V28 X28:AG28 N29:O29 Q29:R29 T29 W29:Z29 AB29 AD29 AF29:AG29 I30 Q30 S30:U30 W30 AA30 AD30:AG30 I31:J31 M31:T31 V31 AC31 AE31 C32:H32 K32:M32 O32 V32:W32 Z32:AC32 AE32:AG32 C33:D33 G33:H33 J33:N33 P33:Q33 S33 U33:V33 Z33:AB33 AE33 E34:H34 J34 O34 U34 AA34 C35:E35 I35:M35 O35:P35 S35:T35 Y35:AB35 AF35 C36 E36:I36 L36:M36 O36 Q36 T36:U36 Y36 AA36 AC36:AG36 E37:G37 N37 Q37:S37 X37:Z37 AC37:AD37 AF37:AG37 C38 E38:F38 P38:W38 Y38 AE38 AG38 E39:G39 J39:M39 R39 W39:Z39 AB39 E40:F40 H40 K40 M40:Q40 T40 E41:G41 J41:N41 S41 AE41 C42:M42 P42 S42:T42 AF42 H43 J43:K43 O43 Q43:T43 V43:Y43 K44:O44 S44:T44 V44 X44:Y44 AA44:AE44 K45:N45 C46:AG46 AG47 C56:O56 S56:W56 Y56 G57:J57 O57 U57:W57 C58 E58 H58:O58 T58 V58 AG58 D59:F59 H59 L59:Q59 W59 C60:D60 I60 K60:N60 S60 Z60 AF60:AG60 C61:AG61 C62:Q62 T62:U62 W62:Z62 AB62 AE62 F65 C66 Q66 AG66 K67 T68 AG68 Y70 Q72 Y72 Z73 T74 C75:N75 S75 AB75 C76:AG76 C8:C10 C13:C21 E13:E21 G29:G30 I44:I45 J25:J26 O5:O6 T78:T79 U59:U60 V8:V9 Y9:Y10 Y22:Y23 Z40:Z41 AE72:AE73 AF16:AF21 AG33:AG34 AG40:AG41 AG43:AG44 Q18:S19 J20:K21 C29:E31 C43:F45 J13:K18 J37:L38 N14:AG15 N18:O21 Q9:R10 Y57:Z58 U16:Y21 AE56:AG57">
      <formula1>NOT(ISERROR(SEARCH((#REF!),(C5))))</formula1>
    </dataValidation>
    <dataValidation type="list" allowBlank="1" sqref="J7 V7 U8 T9 AG9 K10 AA10 AB11 AA12 Z13:AA13 AA22:AB22 AD22:AE22 L23 P23 V23 E25 R26:S26 AC27:AD27 AC29 AE29 M30 X30 F31 AD31 AG31 R32:S32 O33 AC33 AF33 AB34:AE34 G35 AC35 Z36 AE37 AF38 N39 S39 L40 AB40 W41:X41 AA41:AC41 O42 Y42 AA42 AF43 Z44 Q56 Z56:AD56 S57 AC57 AB58:AC58 AF58 C59 AA59:AB59 AD59 AF59:AG59 Q60 AE60 AC62:AD62 AC64 AB65 AE68 S70 AC70:AE70 D8:D9 M13:M21 X22:X23 AD16:AD21 AG12:AG13 AG16:AG21 Z16:AA21" showDropDown="1">
      <formula1>'Setting key Duty'!$B$7:$B$54</formula1>
    </dataValidation>
    <dataValidation type="list" allowBlank="1" sqref="C47:AF47 C48:AG55 C80:AG85" showDropDown="1">
      <formula1>'Setting key Duty'!$B$7:$B$23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workbookViewId="0">
      <selection activeCell="A14" sqref="A14"/>
    </sheetView>
  </sheetViews>
  <sheetFormatPr defaultColWidth="9.14285714285714" defaultRowHeight="12.75"/>
  <cols>
    <col min="1" max="1" width="51" customWidth="1"/>
    <col min="3" max="3" width="15" customWidth="1"/>
    <col min="4" max="4" width="14.7142857142857" customWidth="1"/>
    <col min="5" max="5" width="16.2857142857143" style="34" customWidth="1"/>
    <col min="6" max="8" width="19" customWidth="1"/>
    <col min="9" max="9" width="46.5714285714286" customWidth="1"/>
    <col min="11" max="11" width="15" customWidth="1"/>
    <col min="12" max="12" width="14.7142857142857" customWidth="1"/>
    <col min="13" max="13" width="16.2857142857143" style="34" customWidth="1"/>
    <col min="14" max="14" width="19" customWidth="1"/>
  </cols>
  <sheetData>
    <row r="1" spans="1:15">
      <c r="A1" s="35" t="s">
        <v>1025</v>
      </c>
      <c r="B1" s="35"/>
      <c r="C1" s="35"/>
      <c r="D1" s="35"/>
      <c r="E1" s="36"/>
      <c r="I1" s="37" t="s">
        <v>1026</v>
      </c>
      <c r="J1" s="38"/>
      <c r="K1" s="38"/>
      <c r="L1" s="38"/>
    </row>
    <row r="2" spans="1:15">
      <c r="A2" t="s">
        <v>1027</v>
      </c>
      <c r="B2" t="s">
        <v>1028</v>
      </c>
      <c r="C2" t="s">
        <v>1029</v>
      </c>
      <c r="D2" t="s">
        <v>1030</v>
      </c>
      <c r="E2" s="34" t="s">
        <v>1031</v>
      </c>
      <c r="F2" t="s">
        <v>1032</v>
      </c>
      <c r="G2" t="s">
        <v>1033</v>
      </c>
      <c r="I2" s="39" t="s">
        <v>1027</v>
      </c>
      <c r="K2" t="s">
        <v>1029</v>
      </c>
      <c r="L2" t="s">
        <v>1030</v>
      </c>
      <c r="M2" s="34" t="s">
        <v>1031</v>
      </c>
      <c r="N2" t="s">
        <v>1032</v>
      </c>
      <c r="O2" t="s">
        <v>1033</v>
      </c>
    </row>
    <row r="3" spans="1:15">
      <c r="A3" s="40" t="s">
        <v>927</v>
      </c>
      <c r="B3" t="s">
        <v>1034</v>
      </c>
      <c r="C3" t="s">
        <v>1035</v>
      </c>
      <c r="D3" t="s">
        <v>1036</v>
      </c>
      <c r="E3" s="34">
        <v>46253</v>
      </c>
      <c r="F3" t="s">
        <v>813</v>
      </c>
      <c r="I3" s="41" t="s">
        <v>895</v>
      </c>
      <c r="K3" t="s">
        <v>1035</v>
      </c>
      <c r="L3" t="s">
        <v>1036</v>
      </c>
    </row>
    <row r="4" spans="1:15">
      <c r="A4" s="42" t="s">
        <v>567</v>
      </c>
      <c r="B4" t="s">
        <v>1034</v>
      </c>
      <c r="C4" t="s">
        <v>1035</v>
      </c>
      <c r="D4" t="s">
        <v>1036</v>
      </c>
      <c r="E4" s="34">
        <v>46252</v>
      </c>
      <c r="F4" t="s">
        <v>813</v>
      </c>
      <c r="I4" s="43" t="s">
        <v>832</v>
      </c>
      <c r="K4" t="s">
        <v>1035</v>
      </c>
      <c r="L4" t="s">
        <v>1037</v>
      </c>
    </row>
    <row r="5" spans="1:15">
      <c r="A5" s="41" t="s">
        <v>718</v>
      </c>
      <c r="B5" t="s">
        <v>1038</v>
      </c>
      <c r="C5" t="s">
        <v>1035</v>
      </c>
      <c r="D5" t="s">
        <v>1036</v>
      </c>
      <c r="F5" t="s">
        <v>813</v>
      </c>
      <c r="I5" s="41" t="s">
        <v>820</v>
      </c>
      <c r="K5" t="s">
        <v>1035</v>
      </c>
      <c r="L5" t="s">
        <v>1037</v>
      </c>
    </row>
    <row r="6" spans="1:15">
      <c r="A6" s="41" t="s">
        <v>592</v>
      </c>
      <c r="B6" t="s">
        <v>1034</v>
      </c>
      <c r="C6" t="s">
        <v>1035</v>
      </c>
      <c r="D6" t="s">
        <v>1036</v>
      </c>
      <c r="E6" s="34">
        <v>46252</v>
      </c>
      <c r="F6" t="s">
        <v>813</v>
      </c>
      <c r="I6" s="41" t="s">
        <v>987</v>
      </c>
      <c r="J6" t="s">
        <v>1039</v>
      </c>
      <c r="K6" t="s">
        <v>1035</v>
      </c>
      <c r="L6" t="s">
        <v>1040</v>
      </c>
    </row>
    <row r="7" spans="1:15">
      <c r="A7" s="41" t="s">
        <v>609</v>
      </c>
      <c r="B7" t="s">
        <v>1041</v>
      </c>
      <c r="C7" t="s">
        <v>1042</v>
      </c>
      <c r="D7" t="s">
        <v>1036</v>
      </c>
      <c r="F7" t="s">
        <v>813</v>
      </c>
      <c r="I7" s="41" t="s">
        <v>988</v>
      </c>
      <c r="J7" t="s">
        <v>1039</v>
      </c>
      <c r="K7" t="s">
        <v>1035</v>
      </c>
      <c r="L7" t="s">
        <v>1040</v>
      </c>
      <c r="M7" s="34">
        <v>46204</v>
      </c>
      <c r="N7" t="s">
        <v>409</v>
      </c>
    </row>
    <row r="8" spans="1:15">
      <c r="A8" s="41" t="s">
        <v>610</v>
      </c>
      <c r="B8" t="s">
        <v>1043</v>
      </c>
      <c r="C8" t="s">
        <v>1035</v>
      </c>
      <c r="D8" t="s">
        <v>1036</v>
      </c>
      <c r="F8" t="s">
        <v>813</v>
      </c>
      <c r="I8" s="41" t="s">
        <v>933</v>
      </c>
      <c r="J8" t="s">
        <v>1039</v>
      </c>
      <c r="K8" t="s">
        <v>1035</v>
      </c>
      <c r="L8" t="s">
        <v>1040</v>
      </c>
    </row>
    <row r="9" spans="1:15">
      <c r="A9" s="41" t="s">
        <v>739</v>
      </c>
      <c r="B9" t="s">
        <v>1044</v>
      </c>
      <c r="C9" t="s">
        <v>1035</v>
      </c>
      <c r="D9" t="s">
        <v>1036</v>
      </c>
      <c r="F9" t="s">
        <v>813</v>
      </c>
      <c r="I9" s="41" t="s">
        <v>935</v>
      </c>
      <c r="J9" t="s">
        <v>1039</v>
      </c>
      <c r="K9" t="s">
        <v>1035</v>
      </c>
      <c r="L9" t="s">
        <v>1040</v>
      </c>
    </row>
    <row r="10" spans="1:15">
      <c r="A10" s="41" t="s">
        <v>965</v>
      </c>
      <c r="B10" t="s">
        <v>1044</v>
      </c>
      <c r="C10" t="s">
        <v>1035</v>
      </c>
      <c r="D10" t="s">
        <v>1036</v>
      </c>
      <c r="F10" t="s">
        <v>813</v>
      </c>
      <c r="I10" s="42" t="s">
        <v>825</v>
      </c>
      <c r="K10" t="s">
        <v>1035</v>
      </c>
      <c r="L10" t="s">
        <v>1045</v>
      </c>
      <c r="M10" s="34">
        <v>46220</v>
      </c>
      <c r="N10" t="s">
        <v>813</v>
      </c>
    </row>
    <row r="11" spans="1:15">
      <c r="A11" s="41" t="s">
        <v>970</v>
      </c>
      <c r="B11" t="s">
        <v>1046</v>
      </c>
      <c r="C11" t="s">
        <v>1035</v>
      </c>
      <c r="D11" t="s">
        <v>1036</v>
      </c>
      <c r="F11" t="s">
        <v>813</v>
      </c>
      <c r="I11" s="41" t="s">
        <v>814</v>
      </c>
      <c r="K11" t="s">
        <v>1035</v>
      </c>
      <c r="L11" t="s">
        <v>1047</v>
      </c>
    </row>
    <row r="12" spans="1:15">
      <c r="A12" s="41" t="s">
        <v>981</v>
      </c>
      <c r="B12" t="s">
        <v>1038</v>
      </c>
      <c r="C12" t="s">
        <v>1035</v>
      </c>
      <c r="D12" t="s">
        <v>1036</v>
      </c>
      <c r="F12" t="s">
        <v>813</v>
      </c>
      <c r="I12" s="43" t="s">
        <v>835</v>
      </c>
      <c r="K12" t="s">
        <v>1035</v>
      </c>
    </row>
    <row r="13" spans="1:15">
      <c r="A13" s="40" t="s">
        <v>584</v>
      </c>
      <c r="B13" t="s">
        <v>1046</v>
      </c>
      <c r="C13" t="s">
        <v>1035</v>
      </c>
      <c r="D13" t="s">
        <v>1037</v>
      </c>
      <c r="F13" t="s">
        <v>813</v>
      </c>
      <c r="I13" s="43" t="s">
        <v>836</v>
      </c>
      <c r="K13" t="s">
        <v>1035</v>
      </c>
    </row>
    <row r="14" spans="1:15">
      <c r="A14" s="40" t="s">
        <v>717</v>
      </c>
      <c r="B14" t="s">
        <v>1043</v>
      </c>
      <c r="C14" t="s">
        <v>1035</v>
      </c>
      <c r="D14" t="s">
        <v>1037</v>
      </c>
      <c r="F14" t="s">
        <v>813</v>
      </c>
      <c r="I14" s="43" t="s">
        <v>838</v>
      </c>
      <c r="K14" t="s">
        <v>1035</v>
      </c>
    </row>
    <row r="15" spans="1:15">
      <c r="A15" s="41" t="s">
        <v>944</v>
      </c>
      <c r="B15" t="s">
        <v>1034</v>
      </c>
      <c r="C15" t="s">
        <v>1035</v>
      </c>
      <c r="D15" t="s">
        <v>1037</v>
      </c>
      <c r="E15" s="34">
        <v>46234</v>
      </c>
      <c r="F15" t="s">
        <v>1048</v>
      </c>
      <c r="I15" s="43" t="s">
        <v>840</v>
      </c>
      <c r="K15" t="s">
        <v>1035</v>
      </c>
    </row>
    <row r="16" spans="1:15">
      <c r="A16" s="41" t="s">
        <v>951</v>
      </c>
      <c r="B16" t="s">
        <v>1041</v>
      </c>
      <c r="C16" t="s">
        <v>1035</v>
      </c>
      <c r="D16" t="s">
        <v>1037</v>
      </c>
      <c r="F16" t="s">
        <v>813</v>
      </c>
      <c r="I16" s="43" t="s">
        <v>844</v>
      </c>
      <c r="K16" t="s">
        <v>1035</v>
      </c>
    </row>
    <row r="17" spans="1:11">
      <c r="A17" s="41" t="s">
        <v>954</v>
      </c>
      <c r="B17" t="s">
        <v>1046</v>
      </c>
      <c r="C17" t="s">
        <v>1035</v>
      </c>
      <c r="D17" t="s">
        <v>1037</v>
      </c>
      <c r="F17" t="s">
        <v>813</v>
      </c>
      <c r="I17" s="43" t="s">
        <v>848</v>
      </c>
      <c r="K17" t="s">
        <v>1035</v>
      </c>
    </row>
    <row r="18" spans="1:11">
      <c r="A18" s="41" t="s">
        <v>639</v>
      </c>
      <c r="B18" t="s">
        <v>1043</v>
      </c>
      <c r="C18" t="s">
        <v>1035</v>
      </c>
      <c r="D18" t="s">
        <v>1037</v>
      </c>
      <c r="F18" t="s">
        <v>813</v>
      </c>
      <c r="I18" s="43" t="s">
        <v>914</v>
      </c>
      <c r="K18" t="s">
        <v>1035</v>
      </c>
    </row>
    <row r="19" spans="1:11">
      <c r="A19" s="41" t="s">
        <v>978</v>
      </c>
      <c r="B19" t="s">
        <v>1038</v>
      </c>
      <c r="C19" t="s">
        <v>1035</v>
      </c>
      <c r="D19" t="s">
        <v>1037</v>
      </c>
      <c r="F19" t="s">
        <v>813</v>
      </c>
      <c r="I19" s="43" t="s">
        <v>917</v>
      </c>
      <c r="K19" t="s">
        <v>1035</v>
      </c>
    </row>
    <row r="20" spans="1:11">
      <c r="A20" s="42" t="s">
        <v>715</v>
      </c>
      <c r="B20" t="s">
        <v>1046</v>
      </c>
      <c r="C20" t="s">
        <v>1035</v>
      </c>
      <c r="D20" t="s">
        <v>1045</v>
      </c>
      <c r="F20" t="s">
        <v>813</v>
      </c>
      <c r="I20" s="43" t="s">
        <v>921</v>
      </c>
      <c r="K20" t="s">
        <v>1035</v>
      </c>
    </row>
    <row r="21" spans="1:11">
      <c r="A21" s="41" t="s">
        <v>594</v>
      </c>
      <c r="B21" t="s">
        <v>1041</v>
      </c>
      <c r="C21" t="s">
        <v>1035</v>
      </c>
      <c r="D21" t="s">
        <v>1045</v>
      </c>
      <c r="F21" t="s">
        <v>813</v>
      </c>
      <c r="I21" s="43" t="s">
        <v>857</v>
      </c>
      <c r="K21" t="s">
        <v>1035</v>
      </c>
    </row>
    <row r="22" spans="1:11">
      <c r="A22" s="42" t="s">
        <v>591</v>
      </c>
      <c r="B22" t="s">
        <v>1044</v>
      </c>
      <c r="C22" t="s">
        <v>1035</v>
      </c>
      <c r="D22" t="s">
        <v>1049</v>
      </c>
      <c r="F22" t="s">
        <v>813</v>
      </c>
      <c r="I22" s="41" t="s">
        <v>821</v>
      </c>
      <c r="K22" t="s">
        <v>1035</v>
      </c>
    </row>
    <row r="23" spans="1:11">
      <c r="A23" s="41" t="s">
        <v>936</v>
      </c>
      <c r="C23" t="s">
        <v>1035</v>
      </c>
      <c r="D23" t="s">
        <v>1049</v>
      </c>
      <c r="F23" t="s">
        <v>813</v>
      </c>
    </row>
    <row r="24" spans="1:11">
      <c r="A24" s="41" t="s">
        <v>937</v>
      </c>
      <c r="C24" t="s">
        <v>1035</v>
      </c>
      <c r="D24" t="s">
        <v>1049</v>
      </c>
      <c r="F24" t="s">
        <v>813</v>
      </c>
    </row>
    <row r="25" spans="1:11">
      <c r="A25" s="41" t="s">
        <v>941</v>
      </c>
      <c r="C25" t="s">
        <v>1035</v>
      </c>
      <c r="D25" t="s">
        <v>1049</v>
      </c>
      <c r="F25" t="s">
        <v>813</v>
      </c>
    </row>
    <row r="26" spans="1:11">
      <c r="A26" s="41" t="s">
        <v>942</v>
      </c>
      <c r="C26" t="s">
        <v>1035</v>
      </c>
      <c r="D26" t="s">
        <v>1049</v>
      </c>
      <c r="F26" t="s">
        <v>813</v>
      </c>
    </row>
    <row r="27" spans="1:11">
      <c r="A27" s="41" t="s">
        <v>627</v>
      </c>
      <c r="B27" t="s">
        <v>1046</v>
      </c>
      <c r="C27" t="s">
        <v>1035</v>
      </c>
      <c r="D27" t="s">
        <v>1049</v>
      </c>
      <c r="F27" t="s">
        <v>813</v>
      </c>
    </row>
    <row r="28" spans="1:11">
      <c r="A28" s="41" t="s">
        <v>633</v>
      </c>
      <c r="B28" t="s">
        <v>1043</v>
      </c>
      <c r="C28" t="s">
        <v>1035</v>
      </c>
      <c r="D28" t="s">
        <v>1049</v>
      </c>
      <c r="F28" t="s">
        <v>813</v>
      </c>
    </row>
    <row r="29" spans="1:11">
      <c r="A29" s="41" t="s">
        <v>637</v>
      </c>
      <c r="B29" t="s">
        <v>1043</v>
      </c>
      <c r="C29" t="s">
        <v>1042</v>
      </c>
      <c r="D29" t="s">
        <v>1049</v>
      </c>
      <c r="F29" t="s">
        <v>813</v>
      </c>
    </row>
    <row r="30" spans="1:11">
      <c r="A30" s="41" t="s">
        <v>940</v>
      </c>
      <c r="C30" t="s">
        <v>1035</v>
      </c>
      <c r="D30" t="s">
        <v>1050</v>
      </c>
      <c r="F30" t="s">
        <v>813</v>
      </c>
    </row>
    <row r="31" spans="1:11">
      <c r="A31" s="41" t="s">
        <v>598</v>
      </c>
      <c r="B31" t="s">
        <v>1034</v>
      </c>
      <c r="C31" t="s">
        <v>1035</v>
      </c>
      <c r="D31" t="s">
        <v>1050</v>
      </c>
      <c r="E31" s="34">
        <v>46238</v>
      </c>
      <c r="F31" t="s">
        <v>813</v>
      </c>
    </row>
    <row r="32" spans="1:11">
      <c r="A32" s="41" t="s">
        <v>725</v>
      </c>
      <c r="B32" t="s">
        <v>1041</v>
      </c>
      <c r="C32" t="s">
        <v>1035</v>
      </c>
      <c r="D32" t="s">
        <v>1050</v>
      </c>
      <c r="E32" s="34">
        <v>46234</v>
      </c>
      <c r="F32" t="s">
        <v>1048</v>
      </c>
    </row>
    <row r="33" spans="1:6">
      <c r="A33" s="41" t="s">
        <v>736</v>
      </c>
      <c r="B33" t="s">
        <v>1044</v>
      </c>
      <c r="C33" t="s">
        <v>1035</v>
      </c>
      <c r="D33" t="s">
        <v>1050</v>
      </c>
      <c r="F33" t="s">
        <v>813</v>
      </c>
    </row>
    <row r="34" spans="1:6">
      <c r="A34" s="40" t="s">
        <v>930</v>
      </c>
      <c r="B34" t="s">
        <v>1041</v>
      </c>
      <c r="C34" t="s">
        <v>1035</v>
      </c>
      <c r="D34" t="s">
        <v>1047</v>
      </c>
      <c r="F34" t="s">
        <v>1051</v>
      </c>
    </row>
    <row r="35" spans="1:6">
      <c r="A35" s="42" t="s">
        <v>714</v>
      </c>
      <c r="B35" t="s">
        <v>1043</v>
      </c>
      <c r="C35" t="s">
        <v>1035</v>
      </c>
      <c r="D35" t="s">
        <v>1047</v>
      </c>
      <c r="F35" t="s">
        <v>813</v>
      </c>
    </row>
    <row r="36" spans="1:6">
      <c r="A36" s="41" t="s">
        <v>614</v>
      </c>
      <c r="B36" t="s">
        <v>1046</v>
      </c>
      <c r="C36" t="s">
        <v>1035</v>
      </c>
      <c r="D36" t="s">
        <v>1047</v>
      </c>
      <c r="F36" t="s">
        <v>813</v>
      </c>
    </row>
    <row r="37" spans="1:6">
      <c r="A37" s="41" t="s">
        <v>657</v>
      </c>
      <c r="B37" t="s">
        <v>1046</v>
      </c>
      <c r="C37" t="s">
        <v>1035</v>
      </c>
      <c r="D37" t="s">
        <v>1047</v>
      </c>
      <c r="F37" t="s">
        <v>1048</v>
      </c>
    </row>
    <row r="38" spans="1:6">
      <c r="A38" s="41" t="s">
        <v>974</v>
      </c>
      <c r="B38" t="s">
        <v>1038</v>
      </c>
      <c r="C38" t="s">
        <v>1035</v>
      </c>
      <c r="D38" t="s">
        <v>1047</v>
      </c>
      <c r="F38" t="s">
        <v>813</v>
      </c>
    </row>
    <row r="39" spans="1:6">
      <c r="A39" s="41" t="s">
        <v>984</v>
      </c>
      <c r="B39" t="s">
        <v>1038</v>
      </c>
      <c r="C39" t="s">
        <v>1035</v>
      </c>
      <c r="D39" t="s">
        <v>1047</v>
      </c>
      <c r="F39" t="s">
        <v>813</v>
      </c>
    </row>
    <row r="40" spans="1:6">
      <c r="A40" s="41" t="s">
        <v>938</v>
      </c>
      <c r="C40" t="s">
        <v>1035</v>
      </c>
      <c r="F40" t="s">
        <v>813</v>
      </c>
    </row>
  </sheetData>
  <sortState ref="I3:O22">
    <sortCondition ref="L3:L22"/>
  </sortState>
  <mergeCells count="2">
    <mergeCell ref="A1:D1"/>
    <mergeCell ref="I1:L1"/>
  </mergeCells>
  <conditionalFormatting sqref="I21:I22">
    <cfRule type="cellIs" dxfId="155" priority="1" operator="equal">
      <formula>"RESERVE"</formula>
    </cfRule>
  </conditionalFormatting>
  <conditionalFormatting sqref="I1:I2 A3:A11 I3:I11 A12:A14 I12:I14 A15:A18 I15:I18 A19:A20 I19:I20 A21:A40">
    <cfRule type="cellIs" dxfId="155" priority="64" operator="equal">
      <formula>"RESERVE"</formula>
    </cfRule>
  </conditionalFormatting>
  <dataValidations count="1">
    <dataValidation type="list" allowBlank="1" sqref="A28 A3:A6 A8:A19 A21:A22 A24:A26 I21:I22" showDropDown="1">
      <formula1>'Setting key Duty'!$B$7:$B$56</formula1>
    </dataValidation>
  </dataValidation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56"/>
  <sheetViews>
    <sheetView showGridLines="0" topLeftCell="A35" workbookViewId="0">
      <selection activeCell="F13" sqref="F13"/>
    </sheetView>
  </sheetViews>
  <sheetFormatPr defaultColWidth="12.6285714285714" defaultRowHeight="15.75" customHeight="1"/>
  <cols>
    <col min="1" max="1" width="5.13333333333333" customWidth="1"/>
    <col min="2" max="2" width="13.6285714285714" customWidth="1"/>
    <col min="3" max="3" width="45.1333333333333" customWidth="1"/>
    <col min="4" max="5" width="5.13333333333333" customWidth="1"/>
    <col min="6" max="6" width="10.752380952381" customWidth="1"/>
    <col min="7" max="7" width="11.6285714285714" customWidth="1"/>
    <col min="8" max="8" width="5.13333333333333" customWidth="1"/>
    <col min="9" max="9" width="6.62857142857143" customWidth="1"/>
    <col min="10" max="10" width="10" customWidth="1"/>
  </cols>
  <sheetData>
    <row r="1" ht="36" customHeight="1" spans="1:10">
      <c r="A1" s="12"/>
      <c r="B1" s="13" t="s">
        <v>1052</v>
      </c>
      <c r="D1" s="12"/>
      <c r="E1" s="12"/>
      <c r="F1" s="12"/>
      <c r="G1" s="12"/>
      <c r="H1" s="12"/>
      <c r="I1" s="12"/>
      <c r="J1" s="12"/>
    </row>
    <row r="2" ht="36" customHeight="1" spans="1:10">
      <c r="A2" s="14"/>
      <c r="B2" s="15" t="s">
        <v>1053</v>
      </c>
      <c r="C2" s="16"/>
      <c r="D2" s="14"/>
      <c r="E2" s="14"/>
      <c r="F2" s="17"/>
      <c r="G2" s="17"/>
      <c r="H2" s="17"/>
      <c r="I2" s="17"/>
      <c r="J2" s="17"/>
    </row>
    <row r="3" ht="24" customHeight="1" spans="1:10">
      <c r="A3" s="18"/>
      <c r="B3" s="19" t="s">
        <v>1054</v>
      </c>
      <c r="D3" s="18"/>
      <c r="E3" s="18"/>
      <c r="F3" s="18"/>
      <c r="G3" s="18"/>
      <c r="H3" s="18"/>
      <c r="I3" s="18"/>
      <c r="J3" s="18"/>
    </row>
    <row r="4" ht="36" customHeight="1" spans="1:10">
      <c r="A4" s="20"/>
      <c r="B4" s="21" t="s">
        <v>1055</v>
      </c>
      <c r="D4" s="20"/>
      <c r="E4" s="20"/>
      <c r="F4" s="20"/>
      <c r="G4" s="20"/>
      <c r="H4" s="20"/>
      <c r="I4" s="20"/>
      <c r="J4" s="20"/>
    </row>
    <row r="5" ht="18" customHeight="1" spans="1:10">
      <c r="A5" s="22"/>
      <c r="B5" s="23"/>
      <c r="C5" s="22"/>
      <c r="D5" s="22"/>
      <c r="E5" s="22"/>
      <c r="F5" s="22"/>
      <c r="G5" s="22"/>
      <c r="H5" s="22"/>
      <c r="I5" s="22"/>
      <c r="J5" s="22"/>
    </row>
    <row r="6" ht="24" customHeight="1" spans="1:10">
      <c r="A6" s="22"/>
      <c r="B6" s="24" t="s">
        <v>1056</v>
      </c>
      <c r="D6" s="25" t="s">
        <v>1057</v>
      </c>
      <c r="E6" s="22"/>
      <c r="F6" s="25" t="s">
        <v>1058</v>
      </c>
      <c r="G6" s="22"/>
      <c r="H6" s="22"/>
      <c r="I6" s="22"/>
      <c r="J6" s="22"/>
    </row>
    <row r="7" ht="19.5" customHeight="1" spans="1:10">
      <c r="A7" s="25"/>
      <c r="B7" s="26" t="s">
        <v>57</v>
      </c>
      <c r="C7" s="27" t="s">
        <v>57</v>
      </c>
      <c r="D7" s="27"/>
      <c r="E7" s="25"/>
      <c r="F7" s="25" t="s">
        <v>1059</v>
      </c>
      <c r="H7" s="22"/>
      <c r="I7" s="25" t="s">
        <v>1060</v>
      </c>
      <c r="J7" s="25"/>
    </row>
    <row r="8" ht="19.5" customHeight="1" spans="1:10">
      <c r="A8" s="25"/>
      <c r="B8" s="26" t="s">
        <v>56</v>
      </c>
      <c r="C8" s="27" t="s">
        <v>56</v>
      </c>
      <c r="D8" s="27"/>
      <c r="E8" s="25"/>
      <c r="F8" s="1" t="s">
        <v>1061</v>
      </c>
      <c r="H8" s="25"/>
      <c r="I8" s="25">
        <v>0.125</v>
      </c>
      <c r="J8" s="25"/>
    </row>
    <row r="9" ht="19.5" customHeight="1" spans="1:10">
      <c r="A9" s="25"/>
      <c r="B9" s="26" t="s">
        <v>59</v>
      </c>
      <c r="C9" s="27" t="s">
        <v>59</v>
      </c>
      <c r="D9" s="27"/>
      <c r="E9" s="25"/>
      <c r="F9" s="1" t="s">
        <v>1062</v>
      </c>
      <c r="H9" s="25"/>
      <c r="I9" s="25">
        <v>0.125</v>
      </c>
      <c r="J9" s="25"/>
    </row>
    <row r="10" ht="19.5" customHeight="1" spans="1:10">
      <c r="A10" s="25"/>
      <c r="B10" s="26" t="s">
        <v>566</v>
      </c>
      <c r="C10" s="27" t="s">
        <v>566</v>
      </c>
      <c r="D10" s="27"/>
      <c r="E10" s="25"/>
      <c r="F10" s="1" t="s">
        <v>1063</v>
      </c>
      <c r="H10" s="25"/>
      <c r="I10" s="25">
        <v>0.5</v>
      </c>
      <c r="J10" s="25"/>
    </row>
    <row r="11" ht="19.5" customHeight="1" spans="1:10">
      <c r="A11" s="25"/>
      <c r="B11" s="26" t="s">
        <v>58</v>
      </c>
      <c r="C11" s="27" t="s">
        <v>58</v>
      </c>
      <c r="D11" s="27"/>
      <c r="E11" s="25"/>
      <c r="F11" s="1" t="s">
        <v>1064</v>
      </c>
      <c r="H11" s="25"/>
      <c r="I11" s="25">
        <v>0.0625</v>
      </c>
      <c r="J11" s="25"/>
    </row>
    <row r="12" ht="19.5" customHeight="1" spans="1:10">
      <c r="A12" s="25"/>
      <c r="B12" s="26" t="s">
        <v>93</v>
      </c>
      <c r="C12" s="27" t="s">
        <v>93</v>
      </c>
      <c r="D12" s="27"/>
      <c r="E12" s="25"/>
      <c r="F12" s="25" t="s">
        <v>1065</v>
      </c>
      <c r="G12" s="25"/>
      <c r="H12" s="25"/>
      <c r="I12" s="25">
        <v>0.3125</v>
      </c>
      <c r="J12" s="25"/>
    </row>
    <row r="13" ht="19.5" customHeight="1" spans="1:10">
      <c r="A13" s="25"/>
      <c r="B13" s="26" t="s">
        <v>65</v>
      </c>
      <c r="C13" s="27" t="s">
        <v>65</v>
      </c>
      <c r="D13" s="27"/>
      <c r="E13" s="25"/>
      <c r="F13" s="25" t="s">
        <v>1066</v>
      </c>
      <c r="G13" s="25"/>
      <c r="H13" s="25"/>
      <c r="I13" s="25" t="s">
        <v>1067</v>
      </c>
      <c r="J13" s="25"/>
    </row>
    <row r="14" ht="19.5" customHeight="1" spans="1:10">
      <c r="A14" s="25"/>
      <c r="B14" s="26" t="s">
        <v>378</v>
      </c>
      <c r="C14" s="27" t="s">
        <v>378</v>
      </c>
      <c r="D14" s="27"/>
      <c r="E14" s="25"/>
      <c r="F14" s="25"/>
      <c r="G14" s="25"/>
      <c r="H14" s="25"/>
      <c r="I14" s="25"/>
      <c r="J14" s="25"/>
    </row>
    <row r="15" ht="19.5" customHeight="1" spans="1:10">
      <c r="A15" s="25"/>
      <c r="B15" s="26"/>
      <c r="C15" s="27" t="s">
        <v>1068</v>
      </c>
      <c r="D15" s="27"/>
      <c r="E15" s="25"/>
      <c r="F15" s="25"/>
      <c r="G15" s="25"/>
      <c r="H15" s="25"/>
      <c r="I15" s="25"/>
      <c r="J15" s="25"/>
    </row>
    <row r="16" ht="19.5" customHeight="1" spans="1:10">
      <c r="A16" s="25"/>
      <c r="B16" s="26" t="s">
        <v>576</v>
      </c>
      <c r="C16" s="27" t="s">
        <v>576</v>
      </c>
      <c r="D16" s="27"/>
      <c r="E16" s="25"/>
      <c r="F16" s="25"/>
      <c r="G16" s="25"/>
      <c r="H16" s="25"/>
      <c r="I16" s="25"/>
      <c r="J16" s="25"/>
    </row>
    <row r="17" ht="19.5" customHeight="1" spans="1:10">
      <c r="A17" s="25"/>
      <c r="B17" s="28" t="s">
        <v>350</v>
      </c>
      <c r="C17" s="27" t="s">
        <v>1069</v>
      </c>
      <c r="D17" s="27"/>
      <c r="E17" s="25"/>
      <c r="F17" s="25"/>
      <c r="G17" s="25"/>
      <c r="H17" s="25"/>
      <c r="I17" s="25"/>
      <c r="J17" s="25"/>
    </row>
    <row r="18" ht="19.5" customHeight="1" spans="1:10">
      <c r="A18" s="25"/>
      <c r="B18" s="26" t="s">
        <v>1070</v>
      </c>
      <c r="C18" s="27" t="s">
        <v>1071</v>
      </c>
      <c r="D18" s="27"/>
      <c r="E18" s="25"/>
      <c r="F18" s="25"/>
      <c r="G18" s="25"/>
      <c r="H18" s="25"/>
      <c r="I18" s="25"/>
      <c r="J18" s="25"/>
    </row>
    <row r="19" ht="19.5" customHeight="1" spans="1:10">
      <c r="A19" s="25"/>
      <c r="B19" s="26" t="s">
        <v>1072</v>
      </c>
      <c r="C19" s="27" t="s">
        <v>1073</v>
      </c>
      <c r="D19" s="27"/>
      <c r="E19" s="25"/>
      <c r="F19" s="25"/>
      <c r="G19" s="25"/>
      <c r="H19" s="25"/>
      <c r="I19" s="25"/>
      <c r="J19" s="25"/>
    </row>
    <row r="20" ht="19.5" customHeight="1" spans="1:10">
      <c r="A20" s="25"/>
      <c r="B20" s="26" t="s">
        <v>1074</v>
      </c>
      <c r="C20" s="27" t="s">
        <v>1075</v>
      </c>
      <c r="D20" s="27"/>
      <c r="E20" s="25"/>
      <c r="F20" s="25"/>
      <c r="G20" s="25"/>
      <c r="H20" s="25"/>
      <c r="I20" s="25"/>
      <c r="J20" s="25"/>
    </row>
    <row r="21" ht="19.5" customHeight="1" spans="1:10">
      <c r="A21" s="25"/>
      <c r="B21" s="26" t="s">
        <v>54</v>
      </c>
      <c r="C21" s="27" t="s">
        <v>54</v>
      </c>
      <c r="D21" s="27"/>
      <c r="E21" s="25"/>
      <c r="F21" s="25"/>
      <c r="G21" s="25"/>
      <c r="H21" s="25"/>
      <c r="I21" s="25"/>
      <c r="J21" s="25"/>
    </row>
    <row r="22" ht="19.5" customHeight="1" spans="1:10">
      <c r="A22" s="25"/>
      <c r="B22" s="26" t="s">
        <v>55</v>
      </c>
      <c r="C22" s="27" t="s">
        <v>55</v>
      </c>
      <c r="D22" s="27"/>
      <c r="E22" s="25"/>
      <c r="F22" s="25"/>
      <c r="G22" s="25"/>
      <c r="H22" s="25"/>
      <c r="I22" s="25"/>
      <c r="J22" s="25"/>
    </row>
    <row r="23" ht="19.5" hidden="1" customHeight="1" spans="1:10">
      <c r="A23" s="25"/>
      <c r="B23" s="29"/>
      <c r="C23" s="27"/>
      <c r="D23" s="27"/>
      <c r="E23" s="25"/>
      <c r="F23" s="25"/>
      <c r="G23" s="25"/>
      <c r="H23" s="25"/>
      <c r="I23" s="25"/>
      <c r="J23" s="25"/>
    </row>
    <row r="24" ht="19.5" customHeight="1" spans="1:10">
      <c r="A24" s="25"/>
      <c r="B24" s="26" t="s">
        <v>1076</v>
      </c>
      <c r="C24" s="30" t="s">
        <v>1077</v>
      </c>
      <c r="D24" s="30">
        <v>0.5</v>
      </c>
      <c r="E24" s="25"/>
      <c r="F24" s="25"/>
      <c r="G24" s="25"/>
      <c r="H24" s="25"/>
      <c r="I24" s="25"/>
      <c r="J24" s="25"/>
    </row>
    <row r="25" ht="19.5" customHeight="1" spans="1:10">
      <c r="A25" s="25"/>
      <c r="B25" s="26" t="s">
        <v>1078</v>
      </c>
      <c r="C25" s="27" t="s">
        <v>1079</v>
      </c>
      <c r="D25" s="30">
        <v>0.5</v>
      </c>
      <c r="E25" s="25"/>
      <c r="F25" s="25"/>
      <c r="G25" s="25"/>
      <c r="H25" s="25"/>
      <c r="I25" s="25"/>
      <c r="J25" s="25"/>
    </row>
    <row r="26" ht="19.5" customHeight="1" spans="1:10">
      <c r="A26" s="25"/>
      <c r="B26" s="26" t="s">
        <v>1080</v>
      </c>
      <c r="C26" s="27" t="s">
        <v>1081</v>
      </c>
      <c r="D26" s="30">
        <v>0.5</v>
      </c>
      <c r="E26" s="25"/>
      <c r="F26" s="25"/>
      <c r="G26" s="25"/>
      <c r="H26" s="25"/>
      <c r="I26" s="25"/>
      <c r="J26" s="25"/>
    </row>
    <row r="27" ht="19.5" customHeight="1" spans="1:10">
      <c r="A27" s="25"/>
      <c r="B27" s="26" t="s">
        <v>1082</v>
      </c>
      <c r="C27" s="27" t="s">
        <v>1083</v>
      </c>
      <c r="D27" s="30">
        <v>0.5</v>
      </c>
      <c r="E27" s="25"/>
      <c r="F27" s="25"/>
      <c r="G27" s="25"/>
      <c r="H27" s="25"/>
      <c r="I27" s="25"/>
      <c r="J27" s="25"/>
    </row>
    <row r="28" ht="19.5" customHeight="1" spans="1:10">
      <c r="A28" s="25"/>
      <c r="B28" s="26" t="s">
        <v>1084</v>
      </c>
      <c r="C28" s="27" t="s">
        <v>1085</v>
      </c>
      <c r="D28" s="30">
        <v>0.5</v>
      </c>
      <c r="E28" s="25"/>
      <c r="F28" s="25"/>
      <c r="G28" s="25"/>
      <c r="H28" s="25"/>
      <c r="I28" s="25"/>
      <c r="J28" s="25"/>
    </row>
    <row r="29" ht="19.5" customHeight="1" spans="1:10">
      <c r="A29" s="25"/>
      <c r="B29" s="26" t="s">
        <v>1086</v>
      </c>
      <c r="C29" s="27" t="s">
        <v>1087</v>
      </c>
      <c r="D29" s="30">
        <v>0.5</v>
      </c>
      <c r="E29" s="25"/>
      <c r="F29" s="25"/>
      <c r="G29" s="25"/>
      <c r="H29" s="25"/>
      <c r="I29" s="25"/>
      <c r="J29" s="25"/>
    </row>
    <row r="30" ht="19.5" customHeight="1" spans="1:10">
      <c r="A30" s="25"/>
      <c r="B30" s="26" t="s">
        <v>1088</v>
      </c>
      <c r="C30" s="27" t="s">
        <v>1089</v>
      </c>
      <c r="D30" s="30">
        <v>0.5</v>
      </c>
      <c r="E30" s="25"/>
      <c r="F30" s="25"/>
      <c r="G30" s="25"/>
      <c r="H30" s="25"/>
      <c r="I30" s="25"/>
      <c r="J30" s="25"/>
    </row>
    <row r="31" ht="19.5" customHeight="1" spans="1:10">
      <c r="A31" s="25"/>
      <c r="B31" s="26" t="s">
        <v>1090</v>
      </c>
      <c r="C31" s="27" t="s">
        <v>1091</v>
      </c>
      <c r="D31" s="30">
        <v>0.5</v>
      </c>
      <c r="E31" s="25"/>
      <c r="F31" s="25"/>
      <c r="G31" s="25"/>
      <c r="H31" s="25"/>
      <c r="I31" s="25"/>
      <c r="J31" s="25"/>
    </row>
    <row r="32" ht="19.5" customHeight="1" spans="1:10">
      <c r="A32" s="25"/>
      <c r="B32" s="26" t="s">
        <v>1092</v>
      </c>
      <c r="C32" s="27" t="s">
        <v>1093</v>
      </c>
      <c r="D32" s="30">
        <v>0.5</v>
      </c>
      <c r="E32" s="25"/>
      <c r="F32" s="25"/>
      <c r="G32" s="25"/>
      <c r="H32" s="25"/>
      <c r="I32" s="25"/>
      <c r="J32" s="25"/>
    </row>
    <row r="33" ht="19.5" customHeight="1" spans="1:10">
      <c r="A33" s="25"/>
      <c r="B33" s="26" t="s">
        <v>1094</v>
      </c>
      <c r="C33" s="27" t="s">
        <v>1095</v>
      </c>
      <c r="D33" s="30">
        <v>0.5</v>
      </c>
      <c r="E33" s="25"/>
      <c r="F33" s="25"/>
      <c r="G33" s="25"/>
      <c r="H33" s="25"/>
      <c r="I33" s="25"/>
      <c r="J33" s="25"/>
    </row>
    <row r="34" ht="19.5" customHeight="1" spans="1:10">
      <c r="A34" s="25"/>
      <c r="B34" s="26" t="s">
        <v>1096</v>
      </c>
      <c r="C34" s="27" t="s">
        <v>1097</v>
      </c>
      <c r="D34" s="30">
        <v>0.5</v>
      </c>
      <c r="E34" s="25"/>
      <c r="F34" s="25"/>
      <c r="G34" s="25"/>
      <c r="H34" s="25"/>
      <c r="I34" s="25"/>
      <c r="J34" s="25"/>
    </row>
    <row r="35" ht="19.5" customHeight="1" spans="1:10">
      <c r="A35" s="25"/>
      <c r="B35" s="26" t="s">
        <v>1098</v>
      </c>
      <c r="C35" s="27" t="s">
        <v>1099</v>
      </c>
      <c r="D35" s="30">
        <v>0.5</v>
      </c>
      <c r="E35" s="25"/>
      <c r="F35" s="25"/>
      <c r="G35" s="25"/>
      <c r="H35" s="25"/>
      <c r="I35" s="25"/>
      <c r="J35" s="25"/>
    </row>
    <row r="36" ht="19.5" customHeight="1" spans="1:10">
      <c r="A36" s="25"/>
      <c r="B36" s="26" t="s">
        <v>1100</v>
      </c>
      <c r="C36" s="27" t="s">
        <v>1101</v>
      </c>
      <c r="D36" s="30">
        <v>0.5</v>
      </c>
      <c r="E36" s="25"/>
      <c r="F36" s="25"/>
      <c r="G36" s="25"/>
      <c r="H36" s="25"/>
      <c r="I36" s="25"/>
      <c r="J36" s="25"/>
    </row>
    <row r="37" ht="19.5" customHeight="1" spans="1:10">
      <c r="A37" s="25"/>
      <c r="B37" s="26" t="s">
        <v>1102</v>
      </c>
      <c r="C37" s="27" t="s">
        <v>1103</v>
      </c>
      <c r="D37" s="30">
        <v>0.5</v>
      </c>
      <c r="E37" s="25"/>
      <c r="F37" s="25"/>
      <c r="G37" s="25"/>
      <c r="H37" s="25"/>
      <c r="I37" s="25"/>
      <c r="J37" s="25"/>
    </row>
    <row r="38" ht="19.5" customHeight="1" spans="1:10">
      <c r="A38" s="25"/>
      <c r="B38" s="26" t="s">
        <v>1104</v>
      </c>
      <c r="C38" s="27" t="s">
        <v>1105</v>
      </c>
      <c r="D38" s="30">
        <v>0.5</v>
      </c>
      <c r="E38" s="25"/>
      <c r="F38" s="25"/>
      <c r="G38" s="25"/>
      <c r="H38" s="25"/>
      <c r="I38" s="25"/>
      <c r="J38" s="25"/>
    </row>
    <row r="39" ht="19.5" customHeight="1" spans="1:10">
      <c r="A39" s="25"/>
      <c r="B39" s="26" t="s">
        <v>1106</v>
      </c>
      <c r="C39" s="27" t="s">
        <v>1107</v>
      </c>
      <c r="D39" s="30">
        <v>0.5</v>
      </c>
      <c r="E39" s="25"/>
      <c r="F39" s="25"/>
      <c r="G39" s="25"/>
      <c r="H39" s="25"/>
      <c r="I39" s="25"/>
      <c r="J39" s="25"/>
    </row>
    <row r="40" ht="19.5" customHeight="1" spans="1:10">
      <c r="A40" s="25"/>
      <c r="B40" s="26" t="s">
        <v>1108</v>
      </c>
      <c r="C40" s="27" t="s">
        <v>1109</v>
      </c>
      <c r="D40" s="30">
        <v>0.5</v>
      </c>
      <c r="E40" s="25"/>
      <c r="F40" s="25"/>
      <c r="G40" s="25"/>
      <c r="H40" s="25"/>
      <c r="I40" s="25"/>
      <c r="J40" s="25"/>
    </row>
    <row r="41" ht="19.5" customHeight="1" spans="1:10">
      <c r="A41" s="25"/>
      <c r="B41" s="26" t="s">
        <v>1110</v>
      </c>
      <c r="C41" s="27" t="s">
        <v>1111</v>
      </c>
      <c r="D41" s="30">
        <v>0.5</v>
      </c>
      <c r="E41" s="25"/>
      <c r="F41" s="25"/>
      <c r="G41" s="25"/>
      <c r="H41" s="25"/>
      <c r="I41" s="25"/>
      <c r="J41" s="25"/>
    </row>
    <row r="42" ht="19.5" customHeight="1" spans="1:10">
      <c r="A42" s="25"/>
      <c r="B42" s="26" t="s">
        <v>1112</v>
      </c>
      <c r="C42" s="27" t="s">
        <v>1113</v>
      </c>
      <c r="D42" s="30">
        <v>0.5</v>
      </c>
      <c r="E42" s="25"/>
      <c r="F42" s="25"/>
      <c r="G42" s="25"/>
      <c r="H42" s="25"/>
      <c r="I42" s="25"/>
      <c r="J42" s="25"/>
    </row>
    <row r="43" ht="19.5" customHeight="1" spans="1:10">
      <c r="A43" s="25"/>
      <c r="B43" s="26" t="s">
        <v>1114</v>
      </c>
      <c r="C43" s="27" t="s">
        <v>1115</v>
      </c>
      <c r="D43" s="30">
        <v>0.5</v>
      </c>
      <c r="E43" s="25"/>
      <c r="F43" s="25"/>
      <c r="G43" s="25"/>
      <c r="H43" s="25"/>
      <c r="I43" s="25"/>
      <c r="J43" s="25"/>
    </row>
    <row r="44" ht="19.5" customHeight="1" spans="1:10">
      <c r="A44" s="25"/>
      <c r="B44" s="26" t="s">
        <v>1116</v>
      </c>
      <c r="C44" s="27" t="s">
        <v>1117</v>
      </c>
      <c r="D44" s="30">
        <v>1</v>
      </c>
      <c r="E44" s="25"/>
      <c r="F44" s="25"/>
      <c r="G44" s="25"/>
      <c r="H44" s="25"/>
      <c r="I44" s="25"/>
      <c r="J44" s="25"/>
    </row>
    <row r="45" ht="19.5" customHeight="1" spans="1:10">
      <c r="A45" s="25"/>
      <c r="B45" s="26" t="s">
        <v>1118</v>
      </c>
      <c r="C45" s="27" t="s">
        <v>1119</v>
      </c>
      <c r="D45" s="30">
        <v>1</v>
      </c>
      <c r="E45" s="25"/>
      <c r="F45" s="25"/>
      <c r="G45" s="25"/>
      <c r="H45" s="25"/>
      <c r="I45" s="25"/>
      <c r="J45" s="25"/>
    </row>
    <row r="46" ht="19.5" customHeight="1" spans="1:10">
      <c r="A46" s="25"/>
      <c r="B46" s="26" t="s">
        <v>1120</v>
      </c>
      <c r="C46" s="27" t="s">
        <v>1121</v>
      </c>
      <c r="D46" s="30">
        <v>1</v>
      </c>
      <c r="E46" s="25"/>
      <c r="F46" s="25"/>
      <c r="G46" s="25"/>
      <c r="H46" s="25"/>
      <c r="I46" s="25"/>
      <c r="J46" s="25"/>
    </row>
    <row r="47" ht="19.5" customHeight="1" spans="1:10">
      <c r="A47" s="25"/>
      <c r="B47" s="26" t="s">
        <v>1122</v>
      </c>
      <c r="C47" s="27" t="s">
        <v>1123</v>
      </c>
      <c r="D47" s="30">
        <v>1</v>
      </c>
      <c r="E47" s="25"/>
      <c r="F47" s="25"/>
      <c r="G47" s="25"/>
      <c r="H47" s="25"/>
      <c r="I47" s="25"/>
      <c r="J47" s="25"/>
    </row>
    <row r="48" ht="19.5" customHeight="1" spans="1:10">
      <c r="A48" s="25"/>
      <c r="B48" s="26" t="s">
        <v>1124</v>
      </c>
      <c r="C48" s="27" t="s">
        <v>1125</v>
      </c>
      <c r="D48" s="30">
        <v>1</v>
      </c>
      <c r="E48" s="25"/>
      <c r="J48" s="25"/>
    </row>
    <row r="49" ht="19.5" customHeight="1" spans="1:10">
      <c r="A49" s="25"/>
      <c r="B49" s="31" t="s">
        <v>1126</v>
      </c>
      <c r="C49" s="32" t="s">
        <v>1127</v>
      </c>
      <c r="D49" s="30">
        <v>1</v>
      </c>
      <c r="E49" s="25"/>
      <c r="J49" s="25"/>
    </row>
    <row r="50" ht="19.5" customHeight="1" spans="1:10">
      <c r="A50" s="25"/>
      <c r="B50" s="26" t="s">
        <v>1128</v>
      </c>
      <c r="C50" s="27" t="s">
        <v>1129</v>
      </c>
      <c r="D50" s="30">
        <v>1</v>
      </c>
      <c r="E50" s="25"/>
      <c r="J50" s="25"/>
    </row>
    <row r="51" ht="19.5" customHeight="1" spans="1:10">
      <c r="A51" s="25"/>
      <c r="B51" s="26" t="s">
        <v>46</v>
      </c>
      <c r="C51" s="27" t="s">
        <v>32</v>
      </c>
      <c r="D51" s="30">
        <v>1.5</v>
      </c>
      <c r="E51" s="25"/>
      <c r="J51" s="25"/>
    </row>
    <row r="52" ht="19.5" customHeight="1" spans="1:10">
      <c r="A52" s="25"/>
      <c r="B52" s="26" t="s">
        <v>1130</v>
      </c>
      <c r="C52" s="27" t="s">
        <v>1131</v>
      </c>
      <c r="D52" s="30">
        <v>1</v>
      </c>
      <c r="E52" s="25"/>
      <c r="J52" s="25"/>
    </row>
    <row r="53" ht="19.5" customHeight="1" spans="1:10">
      <c r="A53" s="25"/>
      <c r="B53" s="33"/>
      <c r="C53" s="25"/>
      <c r="D53" s="25"/>
      <c r="E53" s="25"/>
      <c r="J53" s="25"/>
    </row>
    <row r="54" ht="19.5" customHeight="1" spans="1:10">
      <c r="A54" s="25"/>
      <c r="B54" s="33"/>
      <c r="C54" s="25"/>
      <c r="D54" s="25"/>
      <c r="E54" s="25"/>
      <c r="J54" s="25"/>
    </row>
    <row r="55" ht="19.5" customHeight="1" spans="1:10">
      <c r="A55" s="25"/>
      <c r="B55" s="33"/>
      <c r="C55" s="25"/>
      <c r="D55" s="25"/>
      <c r="E55" s="25"/>
      <c r="J55" s="25"/>
    </row>
    <row r="56" ht="19.5" customHeight="1" spans="1:10">
      <c r="A56" s="25"/>
      <c r="B56" s="33"/>
      <c r="C56" s="25"/>
      <c r="D56" s="25"/>
      <c r="E56" s="25"/>
      <c r="J56" s="25"/>
    </row>
  </sheetData>
  <mergeCells count="5">
    <mergeCell ref="B1:C1"/>
    <mergeCell ref="B2:C2"/>
    <mergeCell ref="B3:C3"/>
    <mergeCell ref="B4:C4"/>
    <mergeCell ref="B6:C6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9"/>
  <sheetViews>
    <sheetView workbookViewId="0">
      <selection activeCell="A1" sqref="A1"/>
    </sheetView>
  </sheetViews>
  <sheetFormatPr defaultColWidth="12.6285714285714" defaultRowHeight="15.75" customHeight="1" outlineLevelCol="6"/>
  <cols>
    <col min="1" max="1" width="13.1333333333333" customWidth="1"/>
    <col min="2" max="2" width="14.3809523809524" customWidth="1"/>
    <col min="3" max="3" width="37.3809523809524" customWidth="1"/>
  </cols>
  <sheetData>
    <row r="1" customHeight="1" spans="1:7">
      <c r="A1" s="1"/>
      <c r="B1" s="2" t="s">
        <v>1132</v>
      </c>
      <c r="C1" s="2" t="s">
        <v>1027</v>
      </c>
      <c r="D1" s="2" t="s">
        <v>1133</v>
      </c>
      <c r="G1" s="3"/>
    </row>
    <row r="2" customHeight="1" spans="1:7">
      <c r="A2" s="1"/>
      <c r="B2" s="4" t="s">
        <v>1134</v>
      </c>
      <c r="C2" s="5" t="s">
        <v>1135</v>
      </c>
      <c r="D2" s="4" t="s">
        <v>995</v>
      </c>
      <c r="G2" s="3"/>
    </row>
    <row r="3" customHeight="1" spans="1:7">
      <c r="A3" s="1"/>
      <c r="B3" s="6" t="s">
        <v>1134</v>
      </c>
      <c r="C3" s="7" t="s">
        <v>1136</v>
      </c>
      <c r="D3" s="6" t="s">
        <v>995</v>
      </c>
      <c r="G3" s="3"/>
    </row>
    <row r="4" customHeight="1" spans="1:7">
      <c r="A4" s="1"/>
      <c r="B4" s="6" t="s">
        <v>1134</v>
      </c>
      <c r="C4" s="7" t="s">
        <v>1137</v>
      </c>
      <c r="D4" s="6" t="s">
        <v>995</v>
      </c>
      <c r="G4" s="3"/>
    </row>
    <row r="5" customHeight="1" spans="1:7">
      <c r="A5" s="1"/>
      <c r="B5" s="6" t="s">
        <v>1138</v>
      </c>
      <c r="C5" s="7" t="s">
        <v>817</v>
      </c>
      <c r="D5" s="8" t="s">
        <v>934</v>
      </c>
      <c r="G5" s="3"/>
    </row>
    <row r="6" customHeight="1" spans="1:7">
      <c r="A6" s="1"/>
      <c r="B6" s="1"/>
      <c r="C6" s="1"/>
      <c r="D6" s="1"/>
      <c r="G6" s="3"/>
    </row>
    <row r="7" customHeight="1" spans="1:7">
      <c r="A7" s="1"/>
      <c r="B7" s="1"/>
      <c r="C7" s="1"/>
      <c r="D7" s="1"/>
      <c r="G7" s="3"/>
    </row>
    <row r="8" customHeight="1" spans="1:7">
      <c r="A8" s="1"/>
      <c r="B8" s="2" t="s">
        <v>1139</v>
      </c>
      <c r="C8" s="2" t="s">
        <v>1027</v>
      </c>
      <c r="D8" s="2" t="s">
        <v>1133</v>
      </c>
    </row>
    <row r="9" customHeight="1" spans="1:7">
      <c r="A9" s="1"/>
      <c r="B9" s="4" t="s">
        <v>1140</v>
      </c>
      <c r="C9" s="5" t="s">
        <v>1141</v>
      </c>
      <c r="D9" s="4" t="s">
        <v>995</v>
      </c>
    </row>
    <row r="10" customHeight="1" spans="1:7">
      <c r="A10" s="1"/>
      <c r="B10" s="9" t="s">
        <v>1142</v>
      </c>
      <c r="C10" s="10" t="s">
        <v>1143</v>
      </c>
      <c r="D10" s="4" t="s">
        <v>995</v>
      </c>
    </row>
    <row r="11" customHeight="1" spans="1:7">
      <c r="A11" s="1"/>
      <c r="B11" s="9" t="s">
        <v>1144</v>
      </c>
      <c r="C11" s="10" t="s">
        <v>1145</v>
      </c>
      <c r="D11" s="4" t="s">
        <v>995</v>
      </c>
    </row>
    <row r="12" customHeight="1" spans="1:7">
      <c r="A12" s="1"/>
      <c r="B12" s="4" t="s">
        <v>1146</v>
      </c>
      <c r="C12" s="5" t="s">
        <v>1147</v>
      </c>
      <c r="D12" s="8" t="s">
        <v>934</v>
      </c>
    </row>
    <row r="13" customHeight="1" spans="1:7">
      <c r="A13" s="1"/>
      <c r="B13" s="9" t="s">
        <v>1148</v>
      </c>
      <c r="C13" s="10" t="s">
        <v>1149</v>
      </c>
      <c r="D13" s="4" t="s">
        <v>995</v>
      </c>
    </row>
    <row r="14" customHeight="1" spans="1:7">
      <c r="A14" s="1"/>
      <c r="B14" s="9" t="s">
        <v>1148</v>
      </c>
      <c r="C14" s="10" t="s">
        <v>725</v>
      </c>
      <c r="D14" s="4" t="s">
        <v>995</v>
      </c>
    </row>
    <row r="15" customHeight="1" spans="1:7">
      <c r="A15" s="1"/>
      <c r="B15" s="9" t="s">
        <v>1150</v>
      </c>
      <c r="C15" s="10" t="s">
        <v>1151</v>
      </c>
      <c r="D15" s="4" t="s">
        <v>995</v>
      </c>
    </row>
    <row r="16" customHeight="1" spans="1:7">
      <c r="A16" s="1"/>
      <c r="B16" s="4" t="s">
        <v>1152</v>
      </c>
      <c r="C16" s="5" t="s">
        <v>1153</v>
      </c>
      <c r="D16" s="8" t="s">
        <v>934</v>
      </c>
    </row>
    <row r="17" customHeight="1" spans="1:4">
      <c r="A17" s="1"/>
      <c r="B17" s="4" t="s">
        <v>1152</v>
      </c>
      <c r="C17" s="5" t="s">
        <v>1154</v>
      </c>
      <c r="D17" s="8" t="s">
        <v>934</v>
      </c>
    </row>
    <row r="18" customHeight="1" spans="1:4">
      <c r="A18" s="1"/>
      <c r="B18" s="4" t="s">
        <v>1155</v>
      </c>
      <c r="C18" s="5" t="s">
        <v>1156</v>
      </c>
      <c r="D18" s="8" t="s">
        <v>934</v>
      </c>
    </row>
    <row r="19" customHeight="1" spans="1:4">
      <c r="A19" s="1"/>
      <c r="B19" s="9" t="s">
        <v>1157</v>
      </c>
      <c r="C19" s="10" t="s">
        <v>998</v>
      </c>
      <c r="D19" s="4"/>
    </row>
    <row r="20" customHeight="1" spans="1:4">
      <c r="A20" s="1"/>
      <c r="B20" s="9" t="s">
        <v>1158</v>
      </c>
      <c r="C20" s="10" t="s">
        <v>1159</v>
      </c>
      <c r="D20" s="4" t="s">
        <v>995</v>
      </c>
    </row>
    <row r="21" customHeight="1" spans="1:4">
      <c r="A21" s="1"/>
      <c r="B21" s="9" t="s">
        <v>1160</v>
      </c>
      <c r="C21" s="10" t="s">
        <v>1161</v>
      </c>
      <c r="D21" s="4" t="s">
        <v>995</v>
      </c>
    </row>
    <row r="22" customHeight="1" spans="1:4">
      <c r="A22" s="1"/>
      <c r="B22" s="4" t="s">
        <v>1162</v>
      </c>
      <c r="C22" s="5" t="s">
        <v>1163</v>
      </c>
      <c r="D22" s="8" t="s">
        <v>934</v>
      </c>
    </row>
    <row r="27" customHeight="1" spans="1:4">
      <c r="B27" s="2" t="s">
        <v>1164</v>
      </c>
      <c r="C27" s="2" t="s">
        <v>1027</v>
      </c>
      <c r="D27" s="2" t="s">
        <v>1133</v>
      </c>
    </row>
    <row r="28" customHeight="1" spans="1:4">
      <c r="B28" s="6" t="s">
        <v>1165</v>
      </c>
      <c r="C28" s="11" t="s">
        <v>1166</v>
      </c>
      <c r="D28" s="4" t="s">
        <v>995</v>
      </c>
    </row>
    <row r="29" customHeight="1" spans="1:4">
      <c r="B29" s="6" t="s">
        <v>1167</v>
      </c>
      <c r="C29" s="6" t="s">
        <v>1168</v>
      </c>
      <c r="D29" s="4" t="s">
        <v>995</v>
      </c>
    </row>
    <row r="30" customHeight="1" spans="1:4">
      <c r="B30" s="6" t="s">
        <v>1169</v>
      </c>
      <c r="C30" s="6" t="s">
        <v>1170</v>
      </c>
      <c r="D30" s="4" t="s">
        <v>995</v>
      </c>
    </row>
    <row r="31" customHeight="1" spans="1:4">
      <c r="B31" s="6" t="s">
        <v>1171</v>
      </c>
      <c r="C31" s="6" t="s">
        <v>1172</v>
      </c>
      <c r="D31" s="4" t="s">
        <v>995</v>
      </c>
    </row>
    <row r="32" customHeight="1" spans="1:4">
      <c r="B32" s="6" t="s">
        <v>1173</v>
      </c>
      <c r="C32" s="6" t="s">
        <v>1174</v>
      </c>
      <c r="D32" s="8" t="s">
        <v>934</v>
      </c>
    </row>
    <row r="33" customHeight="1" spans="2:4">
      <c r="B33" s="6" t="s">
        <v>1173</v>
      </c>
      <c r="C33" s="6" t="s">
        <v>1175</v>
      </c>
      <c r="D33" s="8" t="s">
        <v>934</v>
      </c>
    </row>
    <row r="34" customHeight="1" spans="2:4">
      <c r="B34" s="6" t="s">
        <v>1176</v>
      </c>
      <c r="C34" s="6" t="s">
        <v>853</v>
      </c>
      <c r="D34" s="8" t="s">
        <v>934</v>
      </c>
    </row>
    <row r="35" customHeight="1" spans="2:4">
      <c r="B35" s="6" t="s">
        <v>1176</v>
      </c>
      <c r="C35" s="6" t="s">
        <v>1177</v>
      </c>
      <c r="D35" s="8" t="s">
        <v>934</v>
      </c>
    </row>
    <row r="36" customHeight="1" spans="2:4">
      <c r="B36" s="6" t="s">
        <v>1176</v>
      </c>
      <c r="C36" s="6" t="s">
        <v>1178</v>
      </c>
      <c r="D36" s="8" t="s">
        <v>934</v>
      </c>
    </row>
    <row r="37" customHeight="1" spans="2:4">
      <c r="B37" s="6" t="s">
        <v>1176</v>
      </c>
      <c r="C37" s="6" t="s">
        <v>1179</v>
      </c>
      <c r="D37" s="8" t="s">
        <v>934</v>
      </c>
    </row>
    <row r="38" customHeight="1" spans="2:4">
      <c r="B38" s="6" t="s">
        <v>1180</v>
      </c>
      <c r="C38" s="6" t="s">
        <v>1181</v>
      </c>
      <c r="D38" s="4" t="s">
        <v>995</v>
      </c>
    </row>
    <row r="39" customHeight="1" spans="2:4">
      <c r="B39" s="6" t="s">
        <v>1180</v>
      </c>
      <c r="C39" s="6" t="s">
        <v>1182</v>
      </c>
      <c r="D39" s="4" t="s">
        <v>995</v>
      </c>
    </row>
  </sheetData>
  <conditionalFormatting sqref="C28">
    <cfRule type="cellIs" dxfId="155" priority="1" operator="equal">
      <formula>"RESERVE"</formula>
    </cfRule>
  </conditionalFormatting>
  <dataValidations count="1">
    <dataValidation type="list" allowBlank="1" sqref="C28" showDropDown="1">
      <formula1>'Setting key Duty'!$B$7:$B$56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Nov-2024-Roster</vt:lpstr>
      <vt:lpstr>Dec-2024-Roster</vt:lpstr>
      <vt:lpstr>Jan-2025-Roster</vt:lpstr>
      <vt:lpstr>Feb-2025-Roster</vt:lpstr>
      <vt:lpstr>Mar-2025-Roster</vt:lpstr>
      <vt:lpstr>Apr-2025-Roster</vt:lpstr>
      <vt:lpstr>May-2025-Roster</vt:lpstr>
      <vt:lpstr>Jun-2025-Roster</vt:lpstr>
      <vt:lpstr>Jul-2025-Roster</vt:lpstr>
      <vt:lpstr>Feb-2026-Roster</vt:lpstr>
      <vt:lpstr>Mar-2026-Roster</vt:lpstr>
      <vt:lpstr>Apr-2026-Roster</vt:lpstr>
      <vt:lpstr>May-2026-Roster</vt:lpstr>
      <vt:lpstr>Jun-2026 Roster</vt:lpstr>
      <vt:lpstr>Jul-2026 Roster</vt:lpstr>
      <vt:lpstr>Aug-2026 Roster</vt:lpstr>
      <vt:lpstr>Personnel</vt:lpstr>
      <vt:lpstr>Setting key Duty</vt:lpstr>
      <vt:lpstr>GPGX ROLES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2026-07-19T09:53:00Z</dcterms:created>
  <dcterms:modified xsi:type="dcterms:W3CDTF">2026-07-19T14:30:24Z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BBE8D4D7984D475FA8A6030F49FCE18D_12</vt:lpwstr>
  </property>
  <property fmtid="{D5CDD505-2E9C-101B-9397-08002B2CF9AE}" pid="4" name="KSOProductBuildVer">
    <vt:lpwstr>1033-12.1.0.27458</vt:lpwstr>
  </property>
  <property fmtid="{D5CDD505-2E9C-101B-9397-08002B2CF9AE}" pid="5" name="CalculationRule">
    <vt:i4>0</vt:i4>
  </property>
</Properties>
</file>